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6349099e5992d9/Desktop/Railway/"/>
    </mc:Choice>
  </mc:AlternateContent>
  <xr:revisionPtr revIDLastSave="3" documentId="8_{EF96A969-324F-4512-9BD6-4D5ABD2736E9}" xr6:coauthVersionLast="47" xr6:coauthVersionMax="47" xr10:uidLastSave="{3B0CACFC-6597-4023-8ED3-3B793012941A}"/>
  <bookViews>
    <workbookView xWindow="-108" yWindow="-108" windowWidth="23256" windowHeight="12456" activeTab="2" xr2:uid="{D0EC0974-9A42-4898-932C-D2554E43939B}"/>
  </bookViews>
  <sheets>
    <sheet name="Sheet3" sheetId="4" r:id="rId1"/>
    <sheet name="Indian-Railways-Delay-Project " sheetId="2" r:id="rId2"/>
    <sheet name="etrain_delays_cleaned" sheetId="7" r:id="rId3"/>
    <sheet name="etrain_delays" sheetId="5" r:id="rId4"/>
    <sheet name="Sheet1" sheetId="1" r:id="rId5"/>
  </sheets>
  <definedNames>
    <definedName name="ExternalData_1" localSheetId="3" hidden="1">etrain_delays!$A$1:$K$1830</definedName>
    <definedName name="ExternalData_1" localSheetId="1" hidden="1">'Indian-Railways-Delay-Project '!$A$1:$K$1831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5" l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18A0F7-426C-4A3F-B971-E7A874A620F4}" keepAlive="1" name="Query - etrain_delays" description="Connection to the 'etrain_delays' query in the workbook." type="5" refreshedVersion="8" background="1" saveData="1">
    <dbPr connection="Provider=Microsoft.Mashup.OleDb.1;Data Source=$Workbook$;Location=etrain_delays;Extended Properties=&quot;&quot;" command="SELECT * FROM [etrain_delays]"/>
  </connection>
  <connection id="2" xr16:uid="{52B1CE4E-237A-4C97-9A0D-EBDDEFF27A94}" keepAlive="1" name="Query - etrain_delays_raw" description="Connection to the 'etrain_delays_raw' query in the workbook." type="5" refreshedVersion="8" background="1" saveData="1">
    <dbPr connection="Provider=Microsoft.Mashup.OleDb.1;Data Source=$Workbook$;Location=etrain_delays_raw;Extended Properties=&quot;&quot;" command="SELECT * FROM [etrain_delays_raw]"/>
  </connection>
</connections>
</file>

<file path=xl/sharedStrings.xml><?xml version="1.0" encoding="utf-8"?>
<sst xmlns="http://schemas.openxmlformats.org/spreadsheetml/2006/main" count="16524" uniqueCount="1095">
  <si>
    <t>train_number</t>
  </si>
  <si>
    <t>train_name</t>
  </si>
  <si>
    <t>station_code</t>
  </si>
  <si>
    <t>station_name</t>
  </si>
  <si>
    <t>average_delay_minutes</t>
  </si>
  <si>
    <t>pct_right_time</t>
  </si>
  <si>
    <t>pct_slight_delay</t>
  </si>
  <si>
    <t>pct_significant_delay</t>
  </si>
  <si>
    <t>pct_cancelled_unknown</t>
  </si>
  <si>
    <t>scraped_at</t>
  </si>
  <si>
    <t>source_url</t>
  </si>
  <si>
    <t>Cheran Express</t>
  </si>
  <si>
    <t>MAS</t>
  </si>
  <si>
    <t>CHENNAI CENTRAL</t>
  </si>
  <si>
    <t>https://etrain.info/train/Cheran-Express-12673/history?d=1y</t>
  </si>
  <si>
    <t>AVD</t>
  </si>
  <si>
    <t>AVADI</t>
  </si>
  <si>
    <t>AJJ</t>
  </si>
  <si>
    <t>ARAKKONAM</t>
  </si>
  <si>
    <t>KPD</t>
  </si>
  <si>
    <t>KATPADI JN</t>
  </si>
  <si>
    <t>JTJ</t>
  </si>
  <si>
    <t>JOLARPETTAI</t>
  </si>
  <si>
    <t>SA</t>
  </si>
  <si>
    <t>SALEM JN</t>
  </si>
  <si>
    <t>ED</t>
  </si>
  <si>
    <t>ERODE JN</t>
  </si>
  <si>
    <t>TUP</t>
  </si>
  <si>
    <t>TIRUPPUR</t>
  </si>
  <si>
    <t>CBF</t>
  </si>
  <si>
    <t>COIMBATORE NRTH</t>
  </si>
  <si>
    <t>CBE</t>
  </si>
  <si>
    <t>COIMBATORE JN</t>
  </si>
  <si>
    <t>https://etrain.info/train/Cheran-Express-12674/history?d=1y</t>
  </si>
  <si>
    <t>PER</t>
  </si>
  <si>
    <t>PERAMBUR</t>
  </si>
  <si>
    <t>Kovai Express</t>
  </si>
  <si>
    <t>https://etrain.info/train/Kovai-Express-12681/history?d=1y</t>
  </si>
  <si>
    <t>https://etrain.info/train/Kovai-Express-12682/history?d=1y</t>
  </si>
  <si>
    <t>Pandian Exp</t>
  </si>
  <si>
    <t>MS</t>
  </si>
  <si>
    <t>CHENNAI EGMORE</t>
  </si>
  <si>
    <t>https://etrain.info/train/Pandian-Exp-12637/history?d=1y</t>
  </si>
  <si>
    <t>TBM</t>
  </si>
  <si>
    <t>TAMBARAM</t>
  </si>
  <si>
    <t>CGL</t>
  </si>
  <si>
    <t>CHENGALPATTU</t>
  </si>
  <si>
    <t>MLMR</t>
  </si>
  <si>
    <t>MELMARUVATTUR</t>
  </si>
  <si>
    <t>VM</t>
  </si>
  <si>
    <t>VILLUPURAM JN</t>
  </si>
  <si>
    <t>VRI</t>
  </si>
  <si>
    <t>VRIDHACHALAM JN</t>
  </si>
  <si>
    <t>TPJ</t>
  </si>
  <si>
    <t>TIRUCHCHIRAPALI</t>
  </si>
  <si>
    <t>MPA</t>
  </si>
  <si>
    <t>MANAPARAI</t>
  </si>
  <si>
    <t>DG</t>
  </si>
  <si>
    <t>DINDIGUL JN</t>
  </si>
  <si>
    <t>ABI</t>
  </si>
  <si>
    <t>AMBATURAI</t>
  </si>
  <si>
    <t>KQN</t>
  </si>
  <si>
    <t>KODAIKANAL ROAD</t>
  </si>
  <si>
    <t>MDU</t>
  </si>
  <si>
    <t>MADURAI JN</t>
  </si>
  <si>
    <t>https://etrain.info/train/Pandian-Exp-12638/history?d=1y</t>
  </si>
  <si>
    <t>MBM</t>
  </si>
  <si>
    <t>MAMBALAM</t>
  </si>
  <si>
    <t>Nellai Express</t>
  </si>
  <si>
    <t>https://etrain.info/train/Nellai-Express-12631/history?d=1y</t>
  </si>
  <si>
    <t>TMV</t>
  </si>
  <si>
    <t>TINDIVANAM</t>
  </si>
  <si>
    <t>SDN</t>
  </si>
  <si>
    <t>SHOLAVANDAN</t>
  </si>
  <si>
    <t>VPT</t>
  </si>
  <si>
    <t>VIRUDUNAGAR JN</t>
  </si>
  <si>
    <t>SRT</t>
  </si>
  <si>
    <t>SATUR</t>
  </si>
  <si>
    <t>CVP</t>
  </si>
  <si>
    <t>KOVILPATTI</t>
  </si>
  <si>
    <t>TEN</t>
  </si>
  <si>
    <t>TIRUNELVELI JN</t>
  </si>
  <si>
    <t>https://etrain.info/train/Nellai-Express-12632/history?d=1y</t>
  </si>
  <si>
    <t>Vande Bharat</t>
  </si>
  <si>
    <t>https://etrain.info/train/Vande-Bharat-20665/history?d=1y</t>
  </si>
  <si>
    <t>https://etrain.info/train/Vande-Bharat-20666/history?d=1y</t>
  </si>
  <si>
    <t>Tamil Nadu Exp</t>
  </si>
  <si>
    <t>https://etrain.info/train/Tamil-Nadu-Exp-12621/history?d=1y</t>
  </si>
  <si>
    <t>BZA</t>
  </si>
  <si>
    <t>VIJAYAWADA JN</t>
  </si>
  <si>
    <t>KMT</t>
  </si>
  <si>
    <t>KHAMMAM</t>
  </si>
  <si>
    <t>WL</t>
  </si>
  <si>
    <t>WARANGAL</t>
  </si>
  <si>
    <t>BPQ</t>
  </si>
  <si>
    <t>BALHARSHAH</t>
  </si>
  <si>
    <t>NGP</t>
  </si>
  <si>
    <t>NAGPUR</t>
  </si>
  <si>
    <t>ET</t>
  </si>
  <si>
    <t>ITARSI JN</t>
  </si>
  <si>
    <t>BPL</t>
  </si>
  <si>
    <t>BHOPAL JN</t>
  </si>
  <si>
    <t>VGLJ</t>
  </si>
  <si>
    <t>V LAKSHMIBAI JHANSI</t>
  </si>
  <si>
    <t>GWL</t>
  </si>
  <si>
    <t>GWALIOR</t>
  </si>
  <si>
    <t>AGC</t>
  </si>
  <si>
    <t>AGRA CANTT</t>
  </si>
  <si>
    <t>NZM</t>
  </si>
  <si>
    <t>H NIZAMUDDIN</t>
  </si>
  <si>
    <t>NDLS</t>
  </si>
  <si>
    <t>NEW DELHI</t>
  </si>
  <si>
    <t>https://etrain.info/train/Tamil-Nadu-Exp-12622/history?d=1y</t>
  </si>
  <si>
    <t>Howrah Mail</t>
  </si>
  <si>
    <t>HWH</t>
  </si>
  <si>
    <t>HOWRAH JN</t>
  </si>
  <si>
    <t>https://etrain.info/train/Howrah-Mail-12839/history?d=1y</t>
  </si>
  <si>
    <t>KGP</t>
  </si>
  <si>
    <t>KHARAGPUR JN</t>
  </si>
  <si>
    <t>BLS</t>
  </si>
  <si>
    <t>BALASORE</t>
  </si>
  <si>
    <t>BHC</t>
  </si>
  <si>
    <t>BHADRAKH</t>
  </si>
  <si>
    <t>JJKR</t>
  </si>
  <si>
    <t>JAJPUR K ROAD</t>
  </si>
  <si>
    <t>CTC</t>
  </si>
  <si>
    <t>CUTTACK</t>
  </si>
  <si>
    <t>BBS</t>
  </si>
  <si>
    <t>BHUBANESWAR</t>
  </si>
  <si>
    <t>KUR</t>
  </si>
  <si>
    <t>KHURDA ROAD JN</t>
  </si>
  <si>
    <t>BALU</t>
  </si>
  <si>
    <t>BALUGAN</t>
  </si>
  <si>
    <t>CAP</t>
  </si>
  <si>
    <t>CHATRAPUR</t>
  </si>
  <si>
    <t>BAM</t>
  </si>
  <si>
    <t>BRAHMAPUR</t>
  </si>
  <si>
    <t>IPM</t>
  </si>
  <si>
    <t>ICHCHPURAM</t>
  </si>
  <si>
    <t>SPT</t>
  </si>
  <si>
    <t>SOMPETA</t>
  </si>
  <si>
    <t>PSA</t>
  </si>
  <si>
    <t>PALASA</t>
  </si>
  <si>
    <t>NWP</t>
  </si>
  <si>
    <t>NAUPADA JN</t>
  </si>
  <si>
    <t>CHE</t>
  </si>
  <si>
    <t>SRIKAKULAM ROAD</t>
  </si>
  <si>
    <t>CPP</t>
  </si>
  <si>
    <t>CHIPURUPALLE</t>
  </si>
  <si>
    <t>VZM</t>
  </si>
  <si>
    <t>VIZIANAGRAM JN</t>
  </si>
  <si>
    <t>VSKP</t>
  </si>
  <si>
    <t>VISAKHAPATNAM</t>
  </si>
  <si>
    <t>AKP</t>
  </si>
  <si>
    <t>ANAKAPALLE</t>
  </si>
  <si>
    <t>TUNI</t>
  </si>
  <si>
    <t>ANV</t>
  </si>
  <si>
    <t>ANNAVARAM</t>
  </si>
  <si>
    <t>SLO</t>
  </si>
  <si>
    <t>SAMALKOT JN</t>
  </si>
  <si>
    <t>RJY</t>
  </si>
  <si>
    <t>RAJAMUNDRY</t>
  </si>
  <si>
    <t>NDD</t>
  </si>
  <si>
    <t>NIDADAVOLU JN</t>
  </si>
  <si>
    <t>TDD</t>
  </si>
  <si>
    <t>TADEPALLIGUDEM</t>
  </si>
  <si>
    <t>EE</t>
  </si>
  <si>
    <t>ELURU</t>
  </si>
  <si>
    <t>TEL</t>
  </si>
  <si>
    <t>TENALI JN</t>
  </si>
  <si>
    <t>BPP</t>
  </si>
  <si>
    <t>BAPATLA</t>
  </si>
  <si>
    <t>CLX</t>
  </si>
  <si>
    <t>CHIRALA</t>
  </si>
  <si>
    <t>OGL</t>
  </si>
  <si>
    <t>ONGOLE</t>
  </si>
  <si>
    <t>NLR</t>
  </si>
  <si>
    <t>NELLORE</t>
  </si>
  <si>
    <t>GDR</t>
  </si>
  <si>
    <t>GUDUR JN</t>
  </si>
  <si>
    <t>https://etrain.info/train/Howrah-Mail-12840/history?d=1y</t>
  </si>
  <si>
    <t>SRC</t>
  </si>
  <si>
    <t>SANTRAGACHI JN</t>
  </si>
  <si>
    <t>Rajdhani</t>
  </si>
  <si>
    <t>https://etrain.info/train/Rajdhani-12433/history?d=1y</t>
  </si>
  <si>
    <t>https://etrain.info/train/Rajdhani-12434/history?d=1y</t>
  </si>
  <si>
    <t>Sanghamitra Express</t>
  </si>
  <si>
    <t>SMVB</t>
  </si>
  <si>
    <t>SMVT BENGALURU</t>
  </si>
  <si>
    <t>https://etrain.info/train/Sanghamitra-Express-12295/history?d=1y</t>
  </si>
  <si>
    <t>KJM</t>
  </si>
  <si>
    <t>KRISHNARAJAPURM</t>
  </si>
  <si>
    <t>BWT</t>
  </si>
  <si>
    <t>BANGARAPET</t>
  </si>
  <si>
    <t>KPN</t>
  </si>
  <si>
    <t>KUPPAM</t>
  </si>
  <si>
    <t>RDM</t>
  </si>
  <si>
    <t>RAMGUNDAM</t>
  </si>
  <si>
    <t>SKZR</t>
  </si>
  <si>
    <t>SIRPUR KAGAZNGR</t>
  </si>
  <si>
    <t>CD</t>
  </si>
  <si>
    <t>CHANDRAPUR</t>
  </si>
  <si>
    <t>SEGM</t>
  </si>
  <si>
    <t>SEVAGRAM</t>
  </si>
  <si>
    <t>BZU</t>
  </si>
  <si>
    <t>BETUL</t>
  </si>
  <si>
    <t>GDYA</t>
  </si>
  <si>
    <t>GHORADONGRI</t>
  </si>
  <si>
    <t>PPI</t>
  </si>
  <si>
    <t>PIPARIYA</t>
  </si>
  <si>
    <t>NU</t>
  </si>
  <si>
    <t>NARSINGHPUR</t>
  </si>
  <si>
    <t>JBP</t>
  </si>
  <si>
    <t>JABALPUR</t>
  </si>
  <si>
    <t>KTE</t>
  </si>
  <si>
    <t>KATNI</t>
  </si>
  <si>
    <t>MYR</t>
  </si>
  <si>
    <t>MAIHAR</t>
  </si>
  <si>
    <t>STA</t>
  </si>
  <si>
    <t>SATNA</t>
  </si>
  <si>
    <t>PCOI</t>
  </si>
  <si>
    <t>PRAYAGRAJ CHHEOKI</t>
  </si>
  <si>
    <t>MZP</t>
  </si>
  <si>
    <t>MIRZAPUR</t>
  </si>
  <si>
    <t>DDU</t>
  </si>
  <si>
    <t>PT DEEN DAYAL UPADHYAY JN</t>
  </si>
  <si>
    <t>DLN</t>
  </si>
  <si>
    <t>DILDARNAGAR JN</t>
  </si>
  <si>
    <t>BXR</t>
  </si>
  <si>
    <t>BUXAR</t>
  </si>
  <si>
    <t>ARA</t>
  </si>
  <si>
    <t>DNR</t>
  </si>
  <si>
    <t>DANAPUR</t>
  </si>
  <si>
    <t>https://etrain.info/train/Sanghamitra-Express-12296/history?d=1y</t>
  </si>
  <si>
    <t>Coromandel Express</t>
  </si>
  <si>
    <t>https://etrain.info/train/Coromandel-Express-12841/history?d=1y</t>
  </si>
  <si>
    <t>SHM</t>
  </si>
  <si>
    <t>SHALIMAR</t>
  </si>
  <si>
    <t>https://etrain.info/train/Coromandel-Express-12842/history?d=1y</t>
  </si>
  <si>
    <t>Kerala Express</t>
  </si>
  <si>
    <t>TVC</t>
  </si>
  <si>
    <t>TRIVANDRUM CNTL</t>
  </si>
  <si>
    <t>https://etrain.info/train/Kerala-Express-12625/history?d=1y</t>
  </si>
  <si>
    <t>VAK</t>
  </si>
  <si>
    <t>VARKALA</t>
  </si>
  <si>
    <t>QLN</t>
  </si>
  <si>
    <t>KOLLAM JN</t>
  </si>
  <si>
    <t>KYJ</t>
  </si>
  <si>
    <t>KAYANKULAM JN</t>
  </si>
  <si>
    <t>MVLK</t>
  </si>
  <si>
    <t>MAVELIKARA</t>
  </si>
  <si>
    <t>CNGR</t>
  </si>
  <si>
    <t>CHENGANNUR</t>
  </si>
  <si>
    <t>TRVL</t>
  </si>
  <si>
    <t>TIRUVALLA</t>
  </si>
  <si>
    <t>CGY</t>
  </si>
  <si>
    <t>CHANGANASERI</t>
  </si>
  <si>
    <t>KTYM</t>
  </si>
  <si>
    <t>KOTTAYAM</t>
  </si>
  <si>
    <t>VARD</t>
  </si>
  <si>
    <t>VAIKAM ROAD</t>
  </si>
  <si>
    <t>ERN</t>
  </si>
  <si>
    <t>ERNAKULAM TOWN</t>
  </si>
  <si>
    <t>AWY</t>
  </si>
  <si>
    <t>ALUVA</t>
  </si>
  <si>
    <t>TCR</t>
  </si>
  <si>
    <t>THRISUR</t>
  </si>
  <si>
    <t>OTP</t>
  </si>
  <si>
    <t>OTTAPPALAM</t>
  </si>
  <si>
    <t>PGT</t>
  </si>
  <si>
    <t>PALAKKAD JN</t>
  </si>
  <si>
    <t>CTO</t>
  </si>
  <si>
    <t>CHITTOOR</t>
  </si>
  <si>
    <t>TPTY</t>
  </si>
  <si>
    <t>TIRUPATI</t>
  </si>
  <si>
    <t>RU</t>
  </si>
  <si>
    <t>RENIGUNTA JN</t>
  </si>
  <si>
    <t>BINA</t>
  </si>
  <si>
    <t>BINA JN</t>
  </si>
  <si>
    <t>MTJ</t>
  </si>
  <si>
    <t>MATHURA JN</t>
  </si>
  <si>
    <t>FDB</t>
  </si>
  <si>
    <t>FARIDABAD</t>
  </si>
  <si>
    <t>https://etrain.info/train/Kerala-Express-12626/history?d=1y</t>
  </si>
  <si>
    <t>TVP</t>
  </si>
  <si>
    <t>TRIVANDRUM PETT</t>
  </si>
  <si>
    <t>Mumbai Rajdhani</t>
  </si>
  <si>
    <t>MMCT</t>
  </si>
  <si>
    <t>MUMBAI CENTRAL</t>
  </si>
  <si>
    <t>https://etrain.info/train/Mumbai-Rajdhani-12951/history?d=1y</t>
  </si>
  <si>
    <t>BVI</t>
  </si>
  <si>
    <t>BORIVALI</t>
  </si>
  <si>
    <t>ST</t>
  </si>
  <si>
    <t>SURAT</t>
  </si>
  <si>
    <t>BRC</t>
  </si>
  <si>
    <t>VADODARA JN</t>
  </si>
  <si>
    <t>RTM</t>
  </si>
  <si>
    <t>RATLAM JN</t>
  </si>
  <si>
    <t>NAD</t>
  </si>
  <si>
    <t>NAGDA JN</t>
  </si>
  <si>
    <t>KOTA</t>
  </si>
  <si>
    <t>KOTA JN</t>
  </si>
  <si>
    <t>https://etrain.info/train/Mumbai-Rajdhani-12952/history?d=1y</t>
  </si>
  <si>
    <t>https://etrain.info/train/Vande-Bharat-22301/history?d=1y</t>
  </si>
  <si>
    <t>BHP</t>
  </si>
  <si>
    <t>BOLPUR S NIKTN</t>
  </si>
  <si>
    <t>MLDT</t>
  </si>
  <si>
    <t>MALDA TOWN</t>
  </si>
  <si>
    <t>BOE</t>
  </si>
  <si>
    <t>BARSOI JN</t>
  </si>
  <si>
    <t>KNE</t>
  </si>
  <si>
    <t>KISHANGANJ</t>
  </si>
  <si>
    <t>NJP</t>
  </si>
  <si>
    <t>NEW JALPAIGURI</t>
  </si>
  <si>
    <t>https://etrain.info/train/Vande-Bharat-22302/history?d=1y</t>
  </si>
  <si>
    <t>Shatabdi</t>
  </si>
  <si>
    <t>RKMP</t>
  </si>
  <si>
    <t>RANI KAMLAPATI</t>
  </si>
  <si>
    <t>https://etrain.info/train/Shatabdi-12001/history?d=1y</t>
  </si>
  <si>
    <t>LAR</t>
  </si>
  <si>
    <t>LALITPUR</t>
  </si>
  <si>
    <t>MRA</t>
  </si>
  <si>
    <t>MORENA</t>
  </si>
  <si>
    <t>DHO</t>
  </si>
  <si>
    <t>DHAULPUR</t>
  </si>
  <si>
    <t>https://etrain.info/train/Shatabdi-12002/history?d=1y</t>
  </si>
  <si>
    <t>Golden Temple Mail</t>
  </si>
  <si>
    <t>BDTS</t>
  </si>
  <si>
    <t>BANDRA TERMINUS</t>
  </si>
  <si>
    <t>https://etrain.info/train/Golden-Temple-Mail-12903/history?d=1y</t>
  </si>
  <si>
    <t>GDA</t>
  </si>
  <si>
    <t>GODHRA JN</t>
  </si>
  <si>
    <t>DHD</t>
  </si>
  <si>
    <t>DAHOD</t>
  </si>
  <si>
    <t>MGN</t>
  </si>
  <si>
    <t>MEGHNAGAR</t>
  </si>
  <si>
    <t>SGZ</t>
  </si>
  <si>
    <t>SHAMGARH</t>
  </si>
  <si>
    <t>BWM</t>
  </si>
  <si>
    <t>BHAWANI MANDI</t>
  </si>
  <si>
    <t>RMA</t>
  </si>
  <si>
    <t>RAMGANJ MANDI</t>
  </si>
  <si>
    <t>SWM</t>
  </si>
  <si>
    <t>SAWAI MADHOPUR</t>
  </si>
  <si>
    <t>GGC</t>
  </si>
  <si>
    <t>GANGAPUR CITY</t>
  </si>
  <si>
    <t>SMVJ</t>
  </si>
  <si>
    <t>SHRI MAHAVEERJI</t>
  </si>
  <si>
    <t>HAN</t>
  </si>
  <si>
    <t>HINDAUN CITY</t>
  </si>
  <si>
    <t>BXN</t>
  </si>
  <si>
    <t>BAYANA JN</t>
  </si>
  <si>
    <t>BTE</t>
  </si>
  <si>
    <t>BHARATPUR JN</t>
  </si>
  <si>
    <t>GZB</t>
  </si>
  <si>
    <t>GHAZIABAD</t>
  </si>
  <si>
    <t>MTC</t>
  </si>
  <si>
    <t>MEERUT CITY</t>
  </si>
  <si>
    <t>MUT</t>
  </si>
  <si>
    <t>MEERUT CANT</t>
  </si>
  <si>
    <t>SKF</t>
  </si>
  <si>
    <t>SAKHOTI TANDA</t>
  </si>
  <si>
    <t>MOZ</t>
  </si>
  <si>
    <t>MUZAFFARNAGAR</t>
  </si>
  <si>
    <t>SRE</t>
  </si>
  <si>
    <t>SAHARANPUR</t>
  </si>
  <si>
    <t>YJUD</t>
  </si>
  <si>
    <t>YAMUNANAGAR JAGADHRI</t>
  </si>
  <si>
    <t>UMB</t>
  </si>
  <si>
    <t>AMBALA CANT JN</t>
  </si>
  <si>
    <t>LDH</t>
  </si>
  <si>
    <t>LUDHIANA JN</t>
  </si>
  <si>
    <t>JUC</t>
  </si>
  <si>
    <t>JALANDHAR CITY</t>
  </si>
  <si>
    <t>BEAS</t>
  </si>
  <si>
    <t>ASR</t>
  </si>
  <si>
    <t>AMRITSAR JN</t>
  </si>
  <si>
    <t>https://etrain.info/train/Golden-Temple-Mail-12904/history?d=1y</t>
  </si>
  <si>
    <t>Devagiri Express</t>
  </si>
  <si>
    <t>CSMT</t>
  </si>
  <si>
    <t>C SHIVAJI TERM MUMBAI</t>
  </si>
  <si>
    <t>https://etrain.info/train/Devagiri-Express-17057/history?d=1y</t>
  </si>
  <si>
    <t>DR</t>
  </si>
  <si>
    <t>DADAR</t>
  </si>
  <si>
    <t>TNA</t>
  </si>
  <si>
    <t>THANE</t>
  </si>
  <si>
    <t>KYN</t>
  </si>
  <si>
    <t>KALYAN JN</t>
  </si>
  <si>
    <t>KSRA</t>
  </si>
  <si>
    <t>KASARA</t>
  </si>
  <si>
    <t>IGP</t>
  </si>
  <si>
    <t>IGATPURI</t>
  </si>
  <si>
    <t>NK</t>
  </si>
  <si>
    <t>NASIK ROAD</t>
  </si>
  <si>
    <t>MMR</t>
  </si>
  <si>
    <t>MANMAD JN</t>
  </si>
  <si>
    <t>RGO</t>
  </si>
  <si>
    <t>ROTEGAON</t>
  </si>
  <si>
    <t>LSR</t>
  </si>
  <si>
    <t>LASUR</t>
  </si>
  <si>
    <t>AWB</t>
  </si>
  <si>
    <t>AURANGABAD</t>
  </si>
  <si>
    <t>PTU</t>
  </si>
  <si>
    <t>PARTUR</t>
  </si>
  <si>
    <t>SELU</t>
  </si>
  <si>
    <t>MVO</t>
  </si>
  <si>
    <t>MANWATH ROAD</t>
  </si>
  <si>
    <t>PBN</t>
  </si>
  <si>
    <t>PARBHANI JN</t>
  </si>
  <si>
    <t>PAU</t>
  </si>
  <si>
    <t>PURNA JN</t>
  </si>
  <si>
    <t>NED</t>
  </si>
  <si>
    <t>H SAHIB NANDED</t>
  </si>
  <si>
    <t>MUE</t>
  </si>
  <si>
    <t>MUDKHED</t>
  </si>
  <si>
    <t>UMRI</t>
  </si>
  <si>
    <t>DAB</t>
  </si>
  <si>
    <t>DHARMABAD</t>
  </si>
  <si>
    <t>BSX</t>
  </si>
  <si>
    <t>BASAR</t>
  </si>
  <si>
    <t>NZB</t>
  </si>
  <si>
    <t>NIZAMABAD</t>
  </si>
  <si>
    <t>KMC</t>
  </si>
  <si>
    <t>KAMAREDDI</t>
  </si>
  <si>
    <t>AKE</t>
  </si>
  <si>
    <t>AKANAPET</t>
  </si>
  <si>
    <t>MZL</t>
  </si>
  <si>
    <t>MIRZAPALI</t>
  </si>
  <si>
    <t>BMO</t>
  </si>
  <si>
    <t>BOLARUM</t>
  </si>
  <si>
    <t>SC</t>
  </si>
  <si>
    <t>SECUNDERABAD JN</t>
  </si>
  <si>
    <t>BMT</t>
  </si>
  <si>
    <t>BEGUMPET</t>
  </si>
  <si>
    <t>LPI</t>
  </si>
  <si>
    <t>LINGAMPALLI</t>
  </si>
  <si>
    <t>https://etrain.info/train/Devagiri-Express-17058/history?d=1y</t>
  </si>
  <si>
    <t>Palakkad Superfast</t>
  </si>
  <si>
    <t>https://etrain.info/train/Palakkad-Superfast-22651/history?d=1y</t>
  </si>
  <si>
    <t>TRL</t>
  </si>
  <si>
    <t>TIRUVALLUR</t>
  </si>
  <si>
    <t>GYM</t>
  </si>
  <si>
    <t>GUDIYATTAM</t>
  </si>
  <si>
    <t>MAP</t>
  </si>
  <si>
    <t>MORAPPUR</t>
  </si>
  <si>
    <t>RASP</t>
  </si>
  <si>
    <t>RASIPURAM</t>
  </si>
  <si>
    <t>NMKL</t>
  </si>
  <si>
    <t>NAMAKKAL</t>
  </si>
  <si>
    <t>MONR</t>
  </si>
  <si>
    <t>MOHANUR</t>
  </si>
  <si>
    <t>KRR</t>
  </si>
  <si>
    <t>KARUR</t>
  </si>
  <si>
    <t>ODC</t>
  </si>
  <si>
    <t>ODDANCHATRAM</t>
  </si>
  <si>
    <t>PLNI</t>
  </si>
  <si>
    <t>PALANI</t>
  </si>
  <si>
    <t>UDT</t>
  </si>
  <si>
    <t>UDUMALAIPPETTAI</t>
  </si>
  <si>
    <t>POY</t>
  </si>
  <si>
    <t>POLLACHI JN</t>
  </si>
  <si>
    <t>PGTN</t>
  </si>
  <si>
    <t>PALGHAT TOWN</t>
  </si>
  <si>
    <t>https://etrain.info/train/Palakkad-Superfast-22652/history?d=1y</t>
  </si>
  <si>
    <t>Chennai Express</t>
  </si>
  <si>
    <t>LTT</t>
  </si>
  <si>
    <t>LOKMANYATILAK T</t>
  </si>
  <si>
    <t>https://etrain.info/train/Chennai-Express-12163/history?d=1y</t>
  </si>
  <si>
    <t>LNL</t>
  </si>
  <si>
    <t>LONAVALA</t>
  </si>
  <si>
    <t>PUNE</t>
  </si>
  <si>
    <t>PUNE JN</t>
  </si>
  <si>
    <t>SUR</t>
  </si>
  <si>
    <t>SOLAPUR JN</t>
  </si>
  <si>
    <t>KLBG</t>
  </si>
  <si>
    <t>KALABURAGI JN</t>
  </si>
  <si>
    <t>WADI</t>
  </si>
  <si>
    <t>YG</t>
  </si>
  <si>
    <t>YADGIR</t>
  </si>
  <si>
    <t>SADP</t>
  </si>
  <si>
    <t>SAIDAPUR</t>
  </si>
  <si>
    <t>RC</t>
  </si>
  <si>
    <t>RAICHUR</t>
  </si>
  <si>
    <t>MALM</t>
  </si>
  <si>
    <t>MANTHRALAYAM RD</t>
  </si>
  <si>
    <t>AD</t>
  </si>
  <si>
    <t>ADONI</t>
  </si>
  <si>
    <t>GTL</t>
  </si>
  <si>
    <t>GUNTAKAL JN</t>
  </si>
  <si>
    <t>GY</t>
  </si>
  <si>
    <t>GOOTY JN</t>
  </si>
  <si>
    <t>TU</t>
  </si>
  <si>
    <t>TADIPATRI</t>
  </si>
  <si>
    <t>YA</t>
  </si>
  <si>
    <t>YERRAGUNTLA</t>
  </si>
  <si>
    <t>HX</t>
  </si>
  <si>
    <t>CUDDAPAH</t>
  </si>
  <si>
    <t>RJP</t>
  </si>
  <si>
    <t>RAZAMPETA</t>
  </si>
  <si>
    <t>KOU</t>
  </si>
  <si>
    <t>KODURU</t>
  </si>
  <si>
    <t>PUT</t>
  </si>
  <si>
    <t>PUTTUR</t>
  </si>
  <si>
    <t>TRT</t>
  </si>
  <si>
    <t>TIRUTTANI</t>
  </si>
  <si>
    <t>https://etrain.info/train/Chennai-Express-12164/history?d=1y</t>
  </si>
  <si>
    <t>Coimbatore Intercity</t>
  </si>
  <si>
    <t>https://etrain.info/train/Coimbatore-Intercity-12679/history?d=1y</t>
  </si>
  <si>
    <t>AB</t>
  </si>
  <si>
    <t>AMBUR</t>
  </si>
  <si>
    <t>SLY</t>
  </si>
  <si>
    <t>SAMALPATTI</t>
  </si>
  <si>
    <t>BQI</t>
  </si>
  <si>
    <t>BOMMIDI</t>
  </si>
  <si>
    <t>https://etrain.info/train/Coimbatore-Intercity-12680/history?d=1y</t>
  </si>
  <si>
    <t>Paschim Express</t>
  </si>
  <si>
    <t>https://etrain.info/train/Paschim-Express-12925/history?d=1y</t>
  </si>
  <si>
    <t>DRD</t>
  </si>
  <si>
    <t>DAHANU ROAD</t>
  </si>
  <si>
    <t>VAPI</t>
  </si>
  <si>
    <t>BL</t>
  </si>
  <si>
    <t>VALSAD</t>
  </si>
  <si>
    <t>NVS</t>
  </si>
  <si>
    <t>NAVSARI</t>
  </si>
  <si>
    <t>BH</t>
  </si>
  <si>
    <t>BHARUCH JN</t>
  </si>
  <si>
    <t>KUH</t>
  </si>
  <si>
    <t>KHACHROD</t>
  </si>
  <si>
    <t>SZM</t>
  </si>
  <si>
    <t>SUBZI MANDI</t>
  </si>
  <si>
    <t>SNP</t>
  </si>
  <si>
    <t>SONIPAT JN</t>
  </si>
  <si>
    <t>BDMJ</t>
  </si>
  <si>
    <t>BHODWAL MAJRI</t>
  </si>
  <si>
    <t>PNP</t>
  </si>
  <si>
    <t>PANIPAT JN</t>
  </si>
  <si>
    <t>KUN</t>
  </si>
  <si>
    <t>KARNAL</t>
  </si>
  <si>
    <t>KKDE</t>
  </si>
  <si>
    <t>KURUKSHETRA JN</t>
  </si>
  <si>
    <t>CDG</t>
  </si>
  <si>
    <t>CHANDIGARH</t>
  </si>
  <si>
    <t>SASN</t>
  </si>
  <si>
    <t>SAHIBZADA ASNGR</t>
  </si>
  <si>
    <t>PGW</t>
  </si>
  <si>
    <t>PHAGWARA JN</t>
  </si>
  <si>
    <t>JRC</t>
  </si>
  <si>
    <t>JALANDHAR CANT</t>
  </si>
  <si>
    <t>https://etrain.info/train/Paschim-Express-12926/history?d=1y</t>
  </si>
  <si>
    <t>Punjab Mail</t>
  </si>
  <si>
    <t>https://etrain.info/train/Punjab-Mail-12137/history?d=1y</t>
  </si>
  <si>
    <t>CSN</t>
  </si>
  <si>
    <t>CHALISGAON JN</t>
  </si>
  <si>
    <t>JL</t>
  </si>
  <si>
    <t>JALGAON JN</t>
  </si>
  <si>
    <t>BSL</t>
  </si>
  <si>
    <t>BHUSAVAL JN</t>
  </si>
  <si>
    <t>BAU</t>
  </si>
  <si>
    <t>BURHANPUR</t>
  </si>
  <si>
    <t>KNW</t>
  </si>
  <si>
    <t>KHANDWA</t>
  </si>
  <si>
    <t>KKN</t>
  </si>
  <si>
    <t>KHIRKIYA</t>
  </si>
  <si>
    <t>HD</t>
  </si>
  <si>
    <t>HARDA</t>
  </si>
  <si>
    <t>BPF</t>
  </si>
  <si>
    <t>BANAPURA</t>
  </si>
  <si>
    <t>NDPM</t>
  </si>
  <si>
    <t>NARMADAPURAM</t>
  </si>
  <si>
    <t>BHS</t>
  </si>
  <si>
    <t>VIDISHA</t>
  </si>
  <si>
    <t>BAQ</t>
  </si>
  <si>
    <t>GANJ BASODA</t>
  </si>
  <si>
    <t>BAB</t>
  </si>
  <si>
    <t>BABINA</t>
  </si>
  <si>
    <t>DAA</t>
  </si>
  <si>
    <t>DATIA</t>
  </si>
  <si>
    <t>DBA</t>
  </si>
  <si>
    <t>DABRA</t>
  </si>
  <si>
    <t>RKM</t>
  </si>
  <si>
    <t>RAJA KI MANDI</t>
  </si>
  <si>
    <t>KSV</t>
  </si>
  <si>
    <t>KOSI KALAN</t>
  </si>
  <si>
    <t>DKZ</t>
  </si>
  <si>
    <t>DELHI KISHANGNJ</t>
  </si>
  <si>
    <t>SSB</t>
  </si>
  <si>
    <t>SHAKURBASTI</t>
  </si>
  <si>
    <t>BGZ</t>
  </si>
  <si>
    <t>BAHADURGARH</t>
  </si>
  <si>
    <t>ROK</t>
  </si>
  <si>
    <t>ROHTAK JN</t>
  </si>
  <si>
    <t>JIND</t>
  </si>
  <si>
    <t>JIND JN</t>
  </si>
  <si>
    <t>NRW</t>
  </si>
  <si>
    <t>NARWANA JN</t>
  </si>
  <si>
    <t>TUN</t>
  </si>
  <si>
    <t>TOHANA</t>
  </si>
  <si>
    <t>JHL</t>
  </si>
  <si>
    <t>JAKHAL JN</t>
  </si>
  <si>
    <t>BRZ</t>
  </si>
  <si>
    <t>BARETA</t>
  </si>
  <si>
    <t>BLZ</t>
  </si>
  <si>
    <t>BUDHLADA</t>
  </si>
  <si>
    <t>MSZ</t>
  </si>
  <si>
    <t>MANSA</t>
  </si>
  <si>
    <t>MAUR</t>
  </si>
  <si>
    <t>BTI</t>
  </si>
  <si>
    <t>BHATINDA JN</t>
  </si>
  <si>
    <t>GNA</t>
  </si>
  <si>
    <t>GONEANA BHAI JAGTA</t>
  </si>
  <si>
    <t>GJUT</t>
  </si>
  <si>
    <t>GANGSAR JAITU</t>
  </si>
  <si>
    <t>KKP</t>
  </si>
  <si>
    <t>KOT KAPURA</t>
  </si>
  <si>
    <t>FDK</t>
  </si>
  <si>
    <t>FARIDKOT</t>
  </si>
  <si>
    <t>FZR</t>
  </si>
  <si>
    <t>FIROZPUR CANT</t>
  </si>
  <si>
    <t>https://etrain.info/train/Punjab-Mail-12138/history?d=1y</t>
  </si>
  <si>
    <t>Guwahati Sbc Express</t>
  </si>
  <si>
    <t>https://etrain.info/train/Guwahati-SBC-Express-12509/history?d=1y</t>
  </si>
  <si>
    <t>DKAE</t>
  </si>
  <si>
    <t>DANKUNI</t>
  </si>
  <si>
    <t>RPH</t>
  </si>
  <si>
    <t>RAMPUR HAT</t>
  </si>
  <si>
    <t>NFK</t>
  </si>
  <si>
    <t>NEW FARAKKA JN</t>
  </si>
  <si>
    <t>JPE</t>
  </si>
  <si>
    <t>JALPAIGURI ROAD</t>
  </si>
  <si>
    <t>DQG</t>
  </si>
  <si>
    <t>DHUPGURI</t>
  </si>
  <si>
    <t>NCB</t>
  </si>
  <si>
    <t>NEW COOCH BEHAR</t>
  </si>
  <si>
    <t>NOQ</t>
  </si>
  <si>
    <t>NEW ALIPURDAUR</t>
  </si>
  <si>
    <t>KOJ</t>
  </si>
  <si>
    <t>KOKRAJHAR</t>
  </si>
  <si>
    <t>NBQ</t>
  </si>
  <si>
    <t>NEW BONGAIGAON</t>
  </si>
  <si>
    <t>BPRD</t>
  </si>
  <si>
    <t>BARPETA ROAD</t>
  </si>
  <si>
    <t>RNY</t>
  </si>
  <si>
    <t>RANGIYA JN</t>
  </si>
  <si>
    <t>KYQ</t>
  </si>
  <si>
    <t>KAMAKHYA</t>
  </si>
  <si>
    <t>GHY</t>
  </si>
  <si>
    <t>GUWAHATI</t>
  </si>
  <si>
    <t>Sbc Guwahati Express</t>
  </si>
  <si>
    <t>https://etrain.info/train/SBC-Guwahati-Express-12510/history?d=1y</t>
  </si>
  <si>
    <t>Nagercoil Express</t>
  </si>
  <si>
    <t>https://etrain.info/train/Nagercoil-Express-16339/history?d=1y</t>
  </si>
  <si>
    <t>KJT</t>
  </si>
  <si>
    <t>KARJAT</t>
  </si>
  <si>
    <t>DD</t>
  </si>
  <si>
    <t>DAUND JN</t>
  </si>
  <si>
    <t>KWV</t>
  </si>
  <si>
    <t>KURDUVADI</t>
  </si>
  <si>
    <t>SDB</t>
  </si>
  <si>
    <t>SHAHABAD</t>
  </si>
  <si>
    <t>ATP</t>
  </si>
  <si>
    <t>ANANTAPUR</t>
  </si>
  <si>
    <t>DMM</t>
  </si>
  <si>
    <t>DHARMAVARAM JN</t>
  </si>
  <si>
    <t>KRY</t>
  </si>
  <si>
    <t>KADIRI</t>
  </si>
  <si>
    <t>MPL</t>
  </si>
  <si>
    <t>MADANAPALLE RD</t>
  </si>
  <si>
    <t>PIL</t>
  </si>
  <si>
    <t>PILER</t>
  </si>
  <si>
    <t>PAK</t>
  </si>
  <si>
    <t>PAKALA JN</t>
  </si>
  <si>
    <t>TPT</t>
  </si>
  <si>
    <t>TIRUPATTUR JN</t>
  </si>
  <si>
    <t>NNN</t>
  </si>
  <si>
    <t>NANGUNERI</t>
  </si>
  <si>
    <t>VLY</t>
  </si>
  <si>
    <t>VALLIYUR</t>
  </si>
  <si>
    <t>NCJ</t>
  </si>
  <si>
    <t>NAGERCOIL JN</t>
  </si>
  <si>
    <t>https://etrain.info/train/Nagercoil-Express-16340/history?d=1y</t>
  </si>
  <si>
    <t>Guruvayur Express</t>
  </si>
  <si>
    <t>https://etrain.info/train/Guruvayur-Express-16127/history?d=1y</t>
  </si>
  <si>
    <t>PNDM</t>
  </si>
  <si>
    <t>PENNADAM</t>
  </si>
  <si>
    <t>ALU</t>
  </si>
  <si>
    <t>ARIYALUR</t>
  </si>
  <si>
    <t>SRGM</t>
  </si>
  <si>
    <t>SRIRANGAM</t>
  </si>
  <si>
    <t>KON</t>
  </si>
  <si>
    <t>KUDALNAGAR</t>
  </si>
  <si>
    <t>MEJ</t>
  </si>
  <si>
    <t>VANCHI MANIYACHCHI</t>
  </si>
  <si>
    <t>AAY</t>
  </si>
  <si>
    <t>ARALVAYMOZHI</t>
  </si>
  <si>
    <t>NJT</t>
  </si>
  <si>
    <t>NAGER COIL TOWN</t>
  </si>
  <si>
    <t>ERL</t>
  </si>
  <si>
    <t>ERANIEL</t>
  </si>
  <si>
    <t>KZT</t>
  </si>
  <si>
    <t>KULITTHURAI</t>
  </si>
  <si>
    <t>NYY</t>
  </si>
  <si>
    <t>NEYYATTINKARA</t>
  </si>
  <si>
    <t>CRY</t>
  </si>
  <si>
    <t>CHIRAYINKIL</t>
  </si>
  <si>
    <t>KVU</t>
  </si>
  <si>
    <t>KADAKAVUR</t>
  </si>
  <si>
    <t>PVU</t>
  </si>
  <si>
    <t>PARAVUR</t>
  </si>
  <si>
    <t>HAD</t>
  </si>
  <si>
    <t>HARIPPAD</t>
  </si>
  <si>
    <t>ALLP</t>
  </si>
  <si>
    <t>ALLEPPEY</t>
  </si>
  <si>
    <t>SRTL</t>
  </si>
  <si>
    <t>SHERTALAI</t>
  </si>
  <si>
    <t>ERS</t>
  </si>
  <si>
    <t>ERNAKULAM JN</t>
  </si>
  <si>
    <t>AFK</t>
  </si>
  <si>
    <t>ANGAMALI</t>
  </si>
  <si>
    <t>CKI</t>
  </si>
  <si>
    <t>CHALAKUDI</t>
  </si>
  <si>
    <t>IJK</t>
  </si>
  <si>
    <t>IRINJALAKUDA</t>
  </si>
  <si>
    <t>PNQ</t>
  </si>
  <si>
    <t>PUNKUNNAM</t>
  </si>
  <si>
    <t>GUV</t>
  </si>
  <si>
    <t>GURUVAYUR</t>
  </si>
  <si>
    <t>https://etrain.info/train/Guruvayur-Express-16128/history?d=1y</t>
  </si>
  <si>
    <t>Chennai Intercity</t>
  </si>
  <si>
    <t>https://etrain.info/train/Chennai-Intercity-22601/history?d=1y</t>
  </si>
  <si>
    <t>MLO</t>
  </si>
  <si>
    <t>MALUR</t>
  </si>
  <si>
    <t>YNK</t>
  </si>
  <si>
    <t>YELHANKA JN</t>
  </si>
  <si>
    <t>HUP</t>
  </si>
  <si>
    <t>HINDUPUR</t>
  </si>
  <si>
    <t>SSPN</t>
  </si>
  <si>
    <t>SAI P NILAYAM</t>
  </si>
  <si>
    <t>ANG</t>
  </si>
  <si>
    <t>AHMADNAGAR</t>
  </si>
  <si>
    <t>SNSI</t>
  </si>
  <si>
    <t>SAINAGAR SHIRDI</t>
  </si>
  <si>
    <t>https://etrain.info/train/Chennai-Intercity-22602/history?d=1y</t>
  </si>
  <si>
    <t>https://etrain.info/train/Shatabdi-12009/history?d=1y</t>
  </si>
  <si>
    <t>ANND</t>
  </si>
  <si>
    <t>ANAND JN</t>
  </si>
  <si>
    <t>ND</t>
  </si>
  <si>
    <t>NADIAD JN</t>
  </si>
  <si>
    <t>ADI</t>
  </si>
  <si>
    <t>AHMEDABAD JN</t>
  </si>
  <si>
    <t>https://etrain.info/train/Shatabdi-12010/history?d=1y</t>
  </si>
  <si>
    <t>https://etrain.info/train/Shatabdi-12019/history?d=1y</t>
  </si>
  <si>
    <t>DGR</t>
  </si>
  <si>
    <t>DURGAPUR</t>
  </si>
  <si>
    <t>RNG</t>
  </si>
  <si>
    <t>RANIGANJ</t>
  </si>
  <si>
    <t>ASN</t>
  </si>
  <si>
    <t>ASANSOL JN</t>
  </si>
  <si>
    <t>DHN</t>
  </si>
  <si>
    <t>DHANBAD JN</t>
  </si>
  <si>
    <t>CRP</t>
  </si>
  <si>
    <t>CHANDRAPURA</t>
  </si>
  <si>
    <t>BKSC</t>
  </si>
  <si>
    <t>BOKARO STL CITY</t>
  </si>
  <si>
    <t>MURI</t>
  </si>
  <si>
    <t>RNC</t>
  </si>
  <si>
    <t>RANCHI</t>
  </si>
  <si>
    <t>https://etrain.info/train/Shatabdi-12020/history?d=1y</t>
  </si>
  <si>
    <t>Gatimaan Express</t>
  </si>
  <si>
    <t>https://etrain.info/train/Gatimaan-Express-12049/history?d=1y</t>
  </si>
  <si>
    <t>https://etrain.info/train/Gatimaan-Express-12050/history?d=1y</t>
  </si>
  <si>
    <t>Duronto Express</t>
  </si>
  <si>
    <t>MDP</t>
  </si>
  <si>
    <t>MADHUPUR JN</t>
  </si>
  <si>
    <t>https://etrain.info/train/Duronto-Express-12235/history?d=1y</t>
  </si>
  <si>
    <t>JSME</t>
  </si>
  <si>
    <t>JASIDIH JN</t>
  </si>
  <si>
    <t>JAJ</t>
  </si>
  <si>
    <t>JHAJHA</t>
  </si>
  <si>
    <t>KIUL</t>
  </si>
  <si>
    <t>KIUL JN</t>
  </si>
  <si>
    <t>MKA</t>
  </si>
  <si>
    <t>MOKAMEH JN</t>
  </si>
  <si>
    <t>PNBE</t>
  </si>
  <si>
    <t>PATNA JN</t>
  </si>
  <si>
    <t>PRYJ</t>
  </si>
  <si>
    <t>PRAYAGRAJ JN</t>
  </si>
  <si>
    <t>CNB</t>
  </si>
  <si>
    <t>KANPUR CENTRAL</t>
  </si>
  <si>
    <t>ANVT</t>
  </si>
  <si>
    <t>ANAND VIHAR TRM</t>
  </si>
  <si>
    <t>https://etrain.info/train/Duronto-Express-12236/history?d=1y</t>
  </si>
  <si>
    <t>https://etrain.info/train/Duronto-Express-12245/history?d=1y</t>
  </si>
  <si>
    <t>https://etrain.info/train/Duronto-Express-12246/history?d=1y</t>
  </si>
  <si>
    <t>Sealdah Duronto</t>
  </si>
  <si>
    <t>SDAH</t>
  </si>
  <si>
    <t>SEALDAH</t>
  </si>
  <si>
    <t>https://etrain.info/train/Sealdah-Duronto-12259/history?d=1y</t>
  </si>
  <si>
    <t>KQR</t>
  </si>
  <si>
    <t>KODERMA</t>
  </si>
  <si>
    <t>LHU</t>
  </si>
  <si>
    <t>LOHARU</t>
  </si>
  <si>
    <t>SDLP</t>
  </si>
  <si>
    <t>SADULPUR JN</t>
  </si>
  <si>
    <t>CUR</t>
  </si>
  <si>
    <t>CHURU</t>
  </si>
  <si>
    <t>RTGH</t>
  </si>
  <si>
    <t>RATANGARH JN</t>
  </si>
  <si>
    <t>SDGH</t>
  </si>
  <si>
    <t>SRI DUNGARGARH</t>
  </si>
  <si>
    <t>BKN</t>
  </si>
  <si>
    <t>BIKANER JN</t>
  </si>
  <si>
    <t>https://etrain.info/train/Sealdah-Duronto-12260/history?d=1y</t>
  </si>
  <si>
    <t>Howrah Duronto</t>
  </si>
  <si>
    <t>https://etrain.info/train/Howrah-Duronto-12261/history?d=1y</t>
  </si>
  <si>
    <t>AK</t>
  </si>
  <si>
    <t>AKOLA JN</t>
  </si>
  <si>
    <t>BSP</t>
  </si>
  <si>
    <t>BILASPUR JN</t>
  </si>
  <si>
    <t>TATA</t>
  </si>
  <si>
    <t>TATANAGAR JN</t>
  </si>
  <si>
    <t>https://etrain.info/train/Howrah-Duronto-12262/history?d=1y</t>
  </si>
  <si>
    <t>Howrah Rajdhani</t>
  </si>
  <si>
    <t>https://etrain.info/train/Howrah-Rajdhani-12301/history?d=1y</t>
  </si>
  <si>
    <t>PNME</t>
  </si>
  <si>
    <t>PARASNATH</t>
  </si>
  <si>
    <t>GAYA</t>
  </si>
  <si>
    <t>GAYA JN</t>
  </si>
  <si>
    <t>https://etrain.info/train/Howrah-Rajdhani-12302/history?d=1y</t>
  </si>
  <si>
    <t>Kolkata Rajdhani</t>
  </si>
  <si>
    <t>https://etrain.info/train/Kolkata-Rajdhani-12305/history?d=1y</t>
  </si>
  <si>
    <t>BWN</t>
  </si>
  <si>
    <t>BARDDHAMAN JN</t>
  </si>
  <si>
    <t>https://etrain.info/train/Kolkata-Rajdhani-12306/history?d=1y</t>
  </si>
  <si>
    <t>Sealdah Rajdhani</t>
  </si>
  <si>
    <t>https://etrain.info/train/Sealdah-Rajdhani-12313/history?d=1y</t>
  </si>
  <si>
    <t>https://etrain.info/train/Sealdah-Rajdhani-12314/history?d=1y</t>
  </si>
  <si>
    <t>Dibrugarh Rajdhani</t>
  </si>
  <si>
    <t>DBRG</t>
  </si>
  <si>
    <t>DIBRUGARH</t>
  </si>
  <si>
    <t>https://etrain.info/train/Dibrugarh-Rajdhani-12423/history?d=1y</t>
  </si>
  <si>
    <t>NTSK</t>
  </si>
  <si>
    <t>NEW TINSUKIA JN</t>
  </si>
  <si>
    <t>MXN</t>
  </si>
  <si>
    <t>MARIANI JN</t>
  </si>
  <si>
    <t>DMV</t>
  </si>
  <si>
    <t>DIMAPUR</t>
  </si>
  <si>
    <t>DPU</t>
  </si>
  <si>
    <t>DIPHU</t>
  </si>
  <si>
    <t>LMG</t>
  </si>
  <si>
    <t>LUMDING JN</t>
  </si>
  <si>
    <t>CPK</t>
  </si>
  <si>
    <t>CHAPARMUKH JN</t>
  </si>
  <si>
    <t>KIR</t>
  </si>
  <si>
    <t>KATIHAR JN</t>
  </si>
  <si>
    <t>NNA</t>
  </si>
  <si>
    <t>NAUGACHIA</t>
  </si>
  <si>
    <t>MNE</t>
  </si>
  <si>
    <t>MANSI JN</t>
  </si>
  <si>
    <t>BJU</t>
  </si>
  <si>
    <t>BARAUNI JN</t>
  </si>
  <si>
    <t>PPTA</t>
  </si>
  <si>
    <t>PATLIPUTRA</t>
  </si>
  <si>
    <t>https://etrain.info/train/Dibrugarh-Rajdhani-12424/history?d=1y</t>
  </si>
  <si>
    <t>August Kranti Rajdhani</t>
  </si>
  <si>
    <t>https://etrain.info/train/August-Kranti-Rajdhani-12953/history?d=1y</t>
  </si>
  <si>
    <t>https://etrain.info/train/August-Kranti-Rajdhani-12954/history?d=1y</t>
  </si>
  <si>
    <t>Swarna Jayanti Rajdhani</t>
  </si>
  <si>
    <t>SBIB</t>
  </si>
  <si>
    <t>SABARMATI BG</t>
  </si>
  <si>
    <t>https://etrain.info/train/Swarna-Jayanti-Rajdhani-12957/history?d=1y</t>
  </si>
  <si>
    <t>MSH</t>
  </si>
  <si>
    <t>MAHESANA JN</t>
  </si>
  <si>
    <t>PNU</t>
  </si>
  <si>
    <t>PALANPUR JN</t>
  </si>
  <si>
    <t>ABR</t>
  </si>
  <si>
    <t>ABU ROAD</t>
  </si>
  <si>
    <t>FA</t>
  </si>
  <si>
    <t>FALNA</t>
  </si>
  <si>
    <t>AII</t>
  </si>
  <si>
    <t>AJMER JN</t>
  </si>
  <si>
    <t>JP</t>
  </si>
  <si>
    <t>JAIPUR</t>
  </si>
  <si>
    <t>GGN</t>
  </si>
  <si>
    <t>GURGAON</t>
  </si>
  <si>
    <t>DEC</t>
  </si>
  <si>
    <t>DELHI CANTT</t>
  </si>
  <si>
    <t>https://etrain.info/train/Swarna-Jayanti-Rajdhani-12958/history?d=1y</t>
  </si>
  <si>
    <t>Mumbai Vande Bharat</t>
  </si>
  <si>
    <t>https://etrain.info/train/Mumbai-Vande-Bharat-22221/history?d=1y</t>
  </si>
  <si>
    <t>https://etrain.info/train/Mumbai-Vande-Bharat-22222/history?d=1y</t>
  </si>
  <si>
    <t>Chennai Vande Bharat</t>
  </si>
  <si>
    <t>https://etrain.info/train/Chennai-Vande-Bharat-22225/history?d=1y</t>
  </si>
  <si>
    <t>https://etrain.info/train/Chennai-Vande-Bharat-22226/history?d=1y</t>
  </si>
  <si>
    <t>Coimbatore Express</t>
  </si>
  <si>
    <t>https://etrain.info/train/Coimbatore-Express-11013/history?d=1y</t>
  </si>
  <si>
    <t>DUD</t>
  </si>
  <si>
    <t>DUDHANI</t>
  </si>
  <si>
    <t>GUR</t>
  </si>
  <si>
    <t>GANAGAPUR ROAD</t>
  </si>
  <si>
    <t>KSN</t>
  </si>
  <si>
    <t>KRISHNA</t>
  </si>
  <si>
    <t>GBD</t>
  </si>
  <si>
    <t>GAURIBIDANUR</t>
  </si>
  <si>
    <t>BNC</t>
  </si>
  <si>
    <t>BANGALORE CANT</t>
  </si>
  <si>
    <t>SBC</t>
  </si>
  <si>
    <t>KSR BANGALORE CY JN</t>
  </si>
  <si>
    <t>HSRA</t>
  </si>
  <si>
    <t>HOSUR</t>
  </si>
  <si>
    <t>DPJ</t>
  </si>
  <si>
    <t>DHARMAPURI</t>
  </si>
  <si>
    <t>https://etrain.info/train/Coimbatore-Express-11014/history?d=1y</t>
  </si>
  <si>
    <t>Mumbai Chennai Mail</t>
  </si>
  <si>
    <t>https://etrain.info/train/Mumbai-Chennai-Mail-11027/history?d=1y</t>
  </si>
  <si>
    <t>TGN</t>
  </si>
  <si>
    <t>TALEGAON</t>
  </si>
  <si>
    <t>CCH</t>
  </si>
  <si>
    <t>CHINCHVAD</t>
  </si>
  <si>
    <t>URI</t>
  </si>
  <si>
    <t>URULI</t>
  </si>
  <si>
    <t>KDG</t>
  </si>
  <si>
    <t>KEDGAON</t>
  </si>
  <si>
    <t>BGVN</t>
  </si>
  <si>
    <t>BHIGWAN</t>
  </si>
  <si>
    <t>JEUR</t>
  </si>
  <si>
    <t>KEM</t>
  </si>
  <si>
    <t>PVR</t>
  </si>
  <si>
    <t>PANDHARPUR</t>
  </si>
  <si>
    <t>SGLA</t>
  </si>
  <si>
    <t>SANGOLA</t>
  </si>
  <si>
    <t>MSDG</t>
  </si>
  <si>
    <t>MHASODA DONGAR</t>
  </si>
  <si>
    <t>JTRD</t>
  </si>
  <si>
    <t>JATH ROAD</t>
  </si>
  <si>
    <t>DLGN</t>
  </si>
  <si>
    <t>DHALGAON</t>
  </si>
  <si>
    <t>KVK</t>
  </si>
  <si>
    <t>KAVATHE MAHANKL</t>
  </si>
  <si>
    <t>MRJ</t>
  </si>
  <si>
    <t>MIRAJ JN</t>
  </si>
  <si>
    <t>SLI</t>
  </si>
  <si>
    <t>SANGLI</t>
  </si>
  <si>
    <t>BVQ</t>
  </si>
  <si>
    <t>BHILAVDI</t>
  </si>
  <si>
    <t>KOV</t>
  </si>
  <si>
    <t>KIRLOSKARVADI</t>
  </si>
  <si>
    <t>TKR</t>
  </si>
  <si>
    <t>TAKARI</t>
  </si>
  <si>
    <t>KRD</t>
  </si>
  <si>
    <t>KARAD</t>
  </si>
  <si>
    <t>MSR</t>
  </si>
  <si>
    <t>MASUR</t>
  </si>
  <si>
    <t>KRG</t>
  </si>
  <si>
    <t>KOREGAON</t>
  </si>
  <si>
    <t>STR</t>
  </si>
  <si>
    <t>SATARA</t>
  </si>
  <si>
    <t>https://etrain.info/train/Mumbai-Chennai-Mail-11028/history?d=1y</t>
  </si>
  <si>
    <t>Vikramshila Express</t>
  </si>
  <si>
    <t>BGP</t>
  </si>
  <si>
    <t>BHAGALPUR</t>
  </si>
  <si>
    <t>https://etrain.info/train/Vikramshila-Express-12367/history?d=1y</t>
  </si>
  <si>
    <t>SGG</t>
  </si>
  <si>
    <t>SULTANGANJ</t>
  </si>
  <si>
    <t>BUP</t>
  </si>
  <si>
    <t>BARIARPUR</t>
  </si>
  <si>
    <t>JMP</t>
  </si>
  <si>
    <t>JAMALPUR JN</t>
  </si>
  <si>
    <t>DRH</t>
  </si>
  <si>
    <t>DHARHARA</t>
  </si>
  <si>
    <t>AHA</t>
  </si>
  <si>
    <t>ABHAIPUR</t>
  </si>
  <si>
    <t>KJH</t>
  </si>
  <si>
    <t>KAJRA</t>
  </si>
  <si>
    <t>LKR</t>
  </si>
  <si>
    <t>LUCKEESARAI JN</t>
  </si>
  <si>
    <t>BRYA</t>
  </si>
  <si>
    <t>BARHIYA</t>
  </si>
  <si>
    <t>HTZ</t>
  </si>
  <si>
    <t>HATHIDAH JN</t>
  </si>
  <si>
    <t>BARH</t>
  </si>
  <si>
    <t>BKP</t>
  </si>
  <si>
    <t>BAKHTIYARPUR JN</t>
  </si>
  <si>
    <t>KOO</t>
  </si>
  <si>
    <t>KHUSROPUR</t>
  </si>
  <si>
    <t>FUT</t>
  </si>
  <si>
    <t>FATUHA JN</t>
  </si>
  <si>
    <t>PNC</t>
  </si>
  <si>
    <t>PATNA SAHEB</t>
  </si>
  <si>
    <t>https://etrain.info/train/Vikramshila-Express-12368/history?d=1y</t>
  </si>
  <si>
    <t>Kamrup Express</t>
  </si>
  <si>
    <t>https://etrain.info/train/Kamrup-Express-15959/history?d=1y</t>
  </si>
  <si>
    <t>BDC</t>
  </si>
  <si>
    <t>BANDEL JN</t>
  </si>
  <si>
    <t>ABKA</t>
  </si>
  <si>
    <t>AMBIKA KALNA</t>
  </si>
  <si>
    <t>NDAE</t>
  </si>
  <si>
    <t>NABADWIP DHAM</t>
  </si>
  <si>
    <t>KWAE</t>
  </si>
  <si>
    <t>KATWA</t>
  </si>
  <si>
    <t>SALE</t>
  </si>
  <si>
    <t>SALAR</t>
  </si>
  <si>
    <t>KGLE</t>
  </si>
  <si>
    <t>KHAGRAGHAT ROAD</t>
  </si>
  <si>
    <t>AZ</t>
  </si>
  <si>
    <t>AZIMGANJ JN</t>
  </si>
  <si>
    <t>JRLE</t>
  </si>
  <si>
    <t>JANGIPUR ROAD</t>
  </si>
  <si>
    <t>NILE</t>
  </si>
  <si>
    <t>NIMTITA</t>
  </si>
  <si>
    <t>DGLE</t>
  </si>
  <si>
    <t>DHULIAN GANGA</t>
  </si>
  <si>
    <t>SM</t>
  </si>
  <si>
    <t>SAMSI</t>
  </si>
  <si>
    <t>HCR</t>
  </si>
  <si>
    <t>HARISCHANDRPUR</t>
  </si>
  <si>
    <t>AUB</t>
  </si>
  <si>
    <t>ALUABARI ROAD</t>
  </si>
  <si>
    <t>NMX</t>
  </si>
  <si>
    <t>NEW MAYNAGURI</t>
  </si>
  <si>
    <t>FLK</t>
  </si>
  <si>
    <t>FALAKATA</t>
  </si>
  <si>
    <t>KAMG</t>
  </si>
  <si>
    <t>KAMAKHYAGURI</t>
  </si>
  <si>
    <t>GOGH</t>
  </si>
  <si>
    <t>GOSSAIGAON HAT</t>
  </si>
  <si>
    <t>FKM</t>
  </si>
  <si>
    <t>FAKIRAGRAM JN</t>
  </si>
  <si>
    <t>BNGN</t>
  </si>
  <si>
    <t>BONGAIGAON</t>
  </si>
  <si>
    <t>SBE</t>
  </si>
  <si>
    <t>SORBHOG JN</t>
  </si>
  <si>
    <t>PBL</t>
  </si>
  <si>
    <t>PATHSALA</t>
  </si>
  <si>
    <t>TIHU</t>
  </si>
  <si>
    <t>NLV</t>
  </si>
  <si>
    <t>NALBARI</t>
  </si>
  <si>
    <t>HJI</t>
  </si>
  <si>
    <t>HOJAI</t>
  </si>
  <si>
    <t>LKA</t>
  </si>
  <si>
    <t>LANKA</t>
  </si>
  <si>
    <t>SZR</t>
  </si>
  <si>
    <t>SARUPATHAR</t>
  </si>
  <si>
    <t>BXP</t>
  </si>
  <si>
    <t>BARPATHAR</t>
  </si>
  <si>
    <t>FKG</t>
  </si>
  <si>
    <t>FURKATING JN</t>
  </si>
  <si>
    <t>AGI</t>
  </si>
  <si>
    <t>AMGURI</t>
  </si>
  <si>
    <t>SLGR</t>
  </si>
  <si>
    <t>SIMALUGURI JN</t>
  </si>
  <si>
    <t>BOJ</t>
  </si>
  <si>
    <t>BHOJO</t>
  </si>
  <si>
    <t>NAM</t>
  </si>
  <si>
    <t>NAMRUP</t>
  </si>
  <si>
    <t>NHK</t>
  </si>
  <si>
    <t>NAHARKATIYA</t>
  </si>
  <si>
    <t>DJG</t>
  </si>
  <si>
    <t>DULIAJAN</t>
  </si>
  <si>
    <t>https://etrain.info/train/Kamrup-Express-15960/history?d=1y</t>
  </si>
  <si>
    <t>Garib Rath</t>
  </si>
  <si>
    <t>https://etrain.info/train/Garib-Rath-12201/history?d=1y</t>
  </si>
  <si>
    <t>PNVL</t>
  </si>
  <si>
    <t>PANVEL</t>
  </si>
  <si>
    <t>RN</t>
  </si>
  <si>
    <t>RATNAGIRI</t>
  </si>
  <si>
    <t>MAO</t>
  </si>
  <si>
    <t>MADGAON</t>
  </si>
  <si>
    <t>KAWR</t>
  </si>
  <si>
    <t>KARWAR</t>
  </si>
  <si>
    <t>ANKL</t>
  </si>
  <si>
    <t>ANKOLA</t>
  </si>
  <si>
    <t>BYNR</t>
  </si>
  <si>
    <t>MOOKAMBIKA ROAD</t>
  </si>
  <si>
    <t>UD</t>
  </si>
  <si>
    <t>UDUPI</t>
  </si>
  <si>
    <t>MAJN</t>
  </si>
  <si>
    <t>MANGALORE JN</t>
  </si>
  <si>
    <t>KGQ</t>
  </si>
  <si>
    <t>KASARAGOD</t>
  </si>
  <si>
    <t>CAN</t>
  </si>
  <si>
    <t>KANNUR</t>
  </si>
  <si>
    <t>CLT</t>
  </si>
  <si>
    <t>KOZHIKODE</t>
  </si>
  <si>
    <t>TIR</t>
  </si>
  <si>
    <t>TIRUR</t>
  </si>
  <si>
    <t>SRR</t>
  </si>
  <si>
    <t>SHORANUR JN</t>
  </si>
  <si>
    <t>TVCN</t>
  </si>
  <si>
    <t>TRIVANDRUM NORTH</t>
  </si>
  <si>
    <t>https://etrain.info/train/Garib-Rath-12202/history?d=1y</t>
  </si>
  <si>
    <t>Row Labels</t>
  </si>
  <si>
    <t>Grand Total</t>
  </si>
  <si>
    <t>Average of average_delay_minutes</t>
  </si>
  <si>
    <t>stop_order</t>
  </si>
  <si>
    <t>original_order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</si>
</sst>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[Entrain_delays_final.xlsx]etrain_delays_cleaned!PivotTable2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etrain_delays_cleaned!$D$3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etrain_delays_cleaned!$A$4:$C$34</c:f>
              <c:multiLvlStrCache>
                <c:ptCount val="30"/>
                <c:lvl>
                  <c:pt idx="0">
                    <c:v>LOKMANYATILAK T</c:v>
                  </c:pt>
                  <c:pt idx="1">
                    <c:v>THANE</c:v>
                  </c:pt>
                  <c:pt idx="2">
                    <c:v>KALYAN JN</c:v>
                  </c:pt>
                  <c:pt idx="3">
                    <c:v>PUNE JN</c:v>
                  </c:pt>
                  <c:pt idx="4">
                    <c:v>KURDUVADI</c:v>
                  </c:pt>
                  <c:pt idx="5">
                    <c:v>SOLAPUR JN</c:v>
                  </c:pt>
                  <c:pt idx="6">
                    <c:v>DUDHANI</c:v>
                  </c:pt>
                  <c:pt idx="7">
                    <c:v>GANAGAPUR ROAD</c:v>
                  </c:pt>
                  <c:pt idx="8">
                    <c:v>KALABURAGI JN</c:v>
                  </c:pt>
                  <c:pt idx="9">
                    <c:v>SHAHABAD</c:v>
                  </c:pt>
                  <c:pt idx="10">
                    <c:v>WADI</c:v>
                  </c:pt>
                  <c:pt idx="11">
                    <c:v>YADGIR</c:v>
                  </c:pt>
                  <c:pt idx="12">
                    <c:v>KRISHNA</c:v>
                  </c:pt>
                  <c:pt idx="13">
                    <c:v>RAICHUR</c:v>
                  </c:pt>
                  <c:pt idx="14">
                    <c:v>MANTHRALAYAM RD</c:v>
                  </c:pt>
                  <c:pt idx="15">
                    <c:v>ADONI</c:v>
                  </c:pt>
                  <c:pt idx="16">
                    <c:v>GUNTAKAL JN</c:v>
                  </c:pt>
                  <c:pt idx="17">
                    <c:v>ANANTAPUR</c:v>
                  </c:pt>
                  <c:pt idx="18">
                    <c:v>DHARMAVARAM JN</c:v>
                  </c:pt>
                  <c:pt idx="19">
                    <c:v>SAI P NILAYAM</c:v>
                  </c:pt>
                  <c:pt idx="20">
                    <c:v>HINDUPUR</c:v>
                  </c:pt>
                  <c:pt idx="21">
                    <c:v>GAURIBIDANUR</c:v>
                  </c:pt>
                  <c:pt idx="22">
                    <c:v>BANGALORE CANT</c:v>
                  </c:pt>
                  <c:pt idx="23">
                    <c:v>KSR BANGALORE CY JN</c:v>
                  </c:pt>
                  <c:pt idx="24">
                    <c:v>HOSUR</c:v>
                  </c:pt>
                  <c:pt idx="25">
                    <c:v>DHARMAPURI</c:v>
                  </c:pt>
                  <c:pt idx="26">
                    <c:v>SALEM JN</c:v>
                  </c:pt>
                  <c:pt idx="27">
                    <c:v>ERODE JN</c:v>
                  </c:pt>
                  <c:pt idx="28">
                    <c:v>TIRUPPUR</c:v>
                  </c:pt>
                  <c:pt idx="29">
                    <c:v>COIMBATORE JN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</c:lvl>
                <c:lvl>
                  <c:pt idx="0">
                    <c:v>11013</c:v>
                  </c:pt>
                </c:lvl>
              </c:multiLvlStrCache>
            </c:multiLvlStrRef>
          </c:cat>
          <c:val>
            <c:numRef>
              <c:f>etrain_delays_cleaned!$D$4:$D$34</c:f>
              <c:numCache>
                <c:formatCode>General</c:formatCode>
                <c:ptCount val="30"/>
                <c:pt idx="1">
                  <c:v>26</c:v>
                </c:pt>
                <c:pt idx="2">
                  <c:v>30</c:v>
                </c:pt>
                <c:pt idx="4">
                  <c:v>60</c:v>
                </c:pt>
                <c:pt idx="5">
                  <c:v>51</c:v>
                </c:pt>
                <c:pt idx="6">
                  <c:v>63</c:v>
                </c:pt>
                <c:pt idx="7">
                  <c:v>67</c:v>
                </c:pt>
                <c:pt idx="8">
                  <c:v>66</c:v>
                </c:pt>
                <c:pt idx="9">
                  <c:v>54</c:v>
                </c:pt>
                <c:pt idx="10">
                  <c:v>26</c:v>
                </c:pt>
                <c:pt idx="11">
                  <c:v>31</c:v>
                </c:pt>
                <c:pt idx="12">
                  <c:v>29</c:v>
                </c:pt>
                <c:pt idx="13">
                  <c:v>28</c:v>
                </c:pt>
                <c:pt idx="14">
                  <c:v>31</c:v>
                </c:pt>
                <c:pt idx="15">
                  <c:v>36</c:v>
                </c:pt>
                <c:pt idx="16">
                  <c:v>29</c:v>
                </c:pt>
                <c:pt idx="17">
                  <c:v>28</c:v>
                </c:pt>
                <c:pt idx="18">
                  <c:v>18</c:v>
                </c:pt>
                <c:pt idx="22">
                  <c:v>30</c:v>
                </c:pt>
                <c:pt idx="23">
                  <c:v>14</c:v>
                </c:pt>
                <c:pt idx="25">
                  <c:v>61</c:v>
                </c:pt>
                <c:pt idx="27">
                  <c:v>26</c:v>
                </c:pt>
                <c:pt idx="2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4A-49F9-A856-254EA827B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181008"/>
        <c:axId val="405174288"/>
      </c:lineChart>
      <c:catAx>
        <c:axId val="40518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Stations (in travel order)</a:t>
                </a:r>
                <a:r>
                  <a:rPr lang="en-IN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174288"/>
        <c:crosses val="autoZero"/>
        <c:auto val="1"/>
        <c:lblAlgn val="ctr"/>
        <c:lblOffset val="100"/>
        <c:noMultiLvlLbl val="0"/>
      </c:catAx>
      <c:valAx>
        <c:axId val="40517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Axis</a:t>
                </a:r>
                <a:r>
                  <a:rPr lang="en-IN" sz="1000" b="0" i="0" u="none" strike="noStrike" baseline="0"/>
                  <a:t>Average Delay (minutes)</a:t>
                </a:r>
                <a:r>
                  <a:rPr lang="en-IN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18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22412</xdr:colOff>
      <xdr:row>1</xdr:row>
      <xdr:rowOff>152400</xdr:rowOff>
    </xdr:from>
    <xdr:to>
      <xdr:col>17</xdr:col>
      <xdr:colOff>439270</xdr:colOff>
      <xdr:row>33</xdr:row>
      <xdr:rowOff>143435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F1CFF-55A8-33D2-2DC2-3A5E8CAB3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navi Dhole" refreshedDate="46194.825033796296" createdVersion="8" refreshedVersion="8" minRefreshableVersion="3" recordCount="1830" xr:uid="{72E97D83-A6A3-4FA8-B49C-89C60D4E3972}">
  <cacheSource type="worksheet">
    <worksheetSource name="etrain_delays_raw"/>
  </cacheSource>
  <cacheFields count="11">
    <cacheField name="train_number" numFmtId="0">
      <sharedItems containsSemiMixedTypes="0" containsString="0" containsNumber="1" containsInteger="1" minValue="0" maxValue="22652" count="91">
        <n v="11013"/>
        <n v="11014"/>
        <n v="11027"/>
        <n v="11028"/>
        <n v="12001"/>
        <n v="12002"/>
        <n v="12009"/>
        <n v="12010"/>
        <n v="12019"/>
        <n v="12020"/>
        <n v="12049"/>
        <n v="12050"/>
        <n v="12137"/>
        <n v="12138"/>
        <n v="12163"/>
        <n v="12164"/>
        <n v="12201"/>
        <n v="12202"/>
        <n v="12235"/>
        <n v="12236"/>
        <n v="12245"/>
        <n v="12246"/>
        <n v="12259"/>
        <n v="12260"/>
        <n v="12261"/>
        <n v="12262"/>
        <n v="12295"/>
        <n v="12296"/>
        <n v="12301"/>
        <n v="12302"/>
        <n v="12305"/>
        <n v="12306"/>
        <n v="12313"/>
        <n v="12314"/>
        <n v="12367"/>
        <n v="12368"/>
        <n v="12423"/>
        <n v="12424"/>
        <n v="12433"/>
        <n v="12434"/>
        <n v="12509"/>
        <n v="12510"/>
        <n v="12621"/>
        <n v="12622"/>
        <n v="12625"/>
        <n v="12626"/>
        <n v="12631"/>
        <n v="12632"/>
        <n v="12637"/>
        <n v="12638"/>
        <n v="12673"/>
        <n v="12674"/>
        <n v="12679"/>
        <n v="12680"/>
        <n v="12681"/>
        <n v="12682"/>
        <n v="12839"/>
        <n v="12840"/>
        <n v="12841"/>
        <n v="12842"/>
        <n v="12903"/>
        <n v="12904"/>
        <n v="12925"/>
        <n v="12926"/>
        <n v="12951"/>
        <n v="12952"/>
        <n v="12953"/>
        <n v="12954"/>
        <n v="12957"/>
        <n v="12958"/>
        <n v="15959"/>
        <n v="15960"/>
        <n v="16127"/>
        <n v="16128"/>
        <n v="16339"/>
        <n v="16340"/>
        <n v="17057"/>
        <n v="17058"/>
        <n v="20665"/>
        <n v="20666"/>
        <n v="22221"/>
        <n v="22222"/>
        <n v="22225"/>
        <n v="22226"/>
        <n v="22301"/>
        <n v="22302"/>
        <n v="22601"/>
        <n v="22602"/>
        <n v="22651"/>
        <n v="22652"/>
        <n v="0"/>
      </sharedItems>
    </cacheField>
    <cacheField name="train_name" numFmtId="0">
      <sharedItems containsMixedTypes="1" containsNumber="1" containsInteger="1" minValue="0" maxValue="0"/>
    </cacheField>
    <cacheField name="station_code" numFmtId="0">
      <sharedItems containsMixedTypes="1" containsNumber="1" containsInteger="1" minValue="0" maxValue="0"/>
    </cacheField>
    <cacheField name="station_name" numFmtId="0">
      <sharedItems containsMixedTypes="1" containsNumber="1" containsInteger="1" minValue="0" maxValue="0" count="481">
        <s v="COIMBATORE JN"/>
        <s v="DHARMAVARAM JN"/>
        <s v="KSR BANGALORE CY JN"/>
        <s v="LOKMANYATILAK T"/>
        <s v="THANE"/>
        <s v="WADI"/>
        <s v="KRISHNA"/>
        <s v="RAICHUR"/>
        <s v="KALYAN JN"/>
        <s v="YADGIR"/>
        <s v="MANTHRALAYAM RD"/>
        <s v="GUNTAKAL JN"/>
        <s v="ANANTAPUR"/>
        <s v="SAI P NILAYAM"/>
        <s v="ADONI"/>
        <s v="SALEM JN"/>
        <s v="ERODE JN"/>
        <s v="HINDUPUR"/>
        <s v="GAURIBIDANUR"/>
        <s v="BANGALORE CANT"/>
        <s v="TIRUPPUR"/>
        <s v="SOLAPUR JN"/>
        <s v="SHAHABAD"/>
        <s v="DUDHANI"/>
        <s v="HOSUR"/>
        <s v="GANAGAPUR ROAD"/>
        <s v="KALABURAGI JN"/>
        <s v="KURDUVADI"/>
        <s v="DHARMAPURI"/>
        <s v="PUNE JN"/>
        <s v="DAUND JN"/>
        <s v="DADAR"/>
        <s v="SATARA"/>
        <s v="MIRAJ JN"/>
        <s v="SANGLI"/>
        <s v="BHILAVDI"/>
        <s v="KIRLOSKARVADI"/>
        <s v="TAKARI"/>
        <s v="LONAVALA"/>
        <s v="KARAD"/>
        <s v="CHINCHVAD"/>
        <s v="TALEGAON"/>
        <s v="PANDHARPUR"/>
        <s v="URULI"/>
        <s v="BHIGWAN"/>
        <s v="MHASODA DONGAR"/>
        <s v="MASUR"/>
        <s v="KEDGAON"/>
        <s v="SANGOLA"/>
        <s v="JEUR"/>
        <s v="KEM"/>
        <s v="JATH ROAD"/>
        <s v="DHALGAON"/>
        <s v="KAVATHE MAHANKL"/>
        <s v="KOREGAON"/>
        <s v="RANI KAMLAPATI"/>
        <s v="BHOPAL JN"/>
        <s v="BINA JN"/>
        <s v="NEW DELHI"/>
        <s v="V LAKSHMIBAI JHANSI"/>
        <s v="DHAULPUR"/>
        <s v="AGRA CANTT"/>
        <s v="MATHURA JN"/>
        <s v="LALITPUR"/>
        <s v="GWALIOR"/>
        <s v="MORENA"/>
        <s v="MUMBAI CENTRAL"/>
        <s v="VADODARA JN"/>
        <s v="NADIAD JN"/>
        <s v="ANAND JN"/>
        <s v="AHMEDABAD JN"/>
        <s v="SURAT"/>
        <s v="BORIVALI"/>
        <s v="BHARUCH JN"/>
        <s v="VAPI"/>
        <s v="HOWRAH JN"/>
        <s v="DHANBAD JN"/>
        <s v="BOKARO STL CITY"/>
        <s v="CHANDRAPURA"/>
        <s v="RANCHI"/>
        <s v="MURI"/>
        <s v="DURGAPUR"/>
        <s v="RANIGANJ"/>
        <s v="ASANSOL JN"/>
        <s v="H NIZAMUDDIN"/>
        <s v="C SHIVAJI TERM MUMBAI"/>
        <s v="KHANDWA"/>
        <s v="ITARSI JN"/>
        <s v="NARMADAPURAM"/>
        <s v="FARIDABAD"/>
        <s v="KHIRKIYA"/>
        <s v="RAJA KI MANDI"/>
        <s v="FIROZPUR CANT"/>
        <s v="HARDA"/>
        <s v="BHATINDA JN"/>
        <s v="DATIA"/>
        <s v="KASARA"/>
        <s v="BABINA"/>
        <s v="GONEANA BHAI JAGTA"/>
        <s v="BHUSAVAL JN"/>
        <s v="MANMAD JN"/>
        <s v="GANGSAR JAITU"/>
        <s v="NASIK ROAD"/>
        <s v="BURHANPUR"/>
        <s v="KOT KAPURA"/>
        <s v="FARIDKOT"/>
        <s v="DABRA"/>
        <s v="DELHI KISHANGNJ"/>
        <s v="VIDISHA"/>
        <s v="JALGAON JN"/>
        <s v="SHAKURBASTI"/>
        <s v="JAKHAL JN"/>
        <s v="CHALISGAON JN"/>
        <s v="BANAPURA"/>
        <s v="BARETA"/>
        <s v="BUDHLADA"/>
        <s v="MANSA"/>
        <s v="JIND JN"/>
        <s v="GANJ BASODA"/>
        <s v="NARWANA JN"/>
        <s v="TOHANA"/>
        <s v="MAUR"/>
        <s v="KOSI KALAN"/>
        <s v="BAHADURGARH"/>
        <s v="ROHTAK JN"/>
        <s v="CHENNAI CENTRAL"/>
        <s v="RENIGUNTA JN"/>
        <s v="PUTTUR"/>
        <s v="TIRUTTANI"/>
        <s v="CUDDAPAH"/>
        <s v="TADIPATRI"/>
        <s v="GOOTY JN"/>
        <s v="SAIDAPUR"/>
        <s v="YERRAGUNTLA"/>
        <s v="RAZAMPETA"/>
        <s v="ARAKKONAM"/>
        <s v="PERAMBUR"/>
        <s v="KODURU"/>
        <s v="TRIVANDRUM NORTH"/>
        <s v="MANGALORE JN"/>
        <s v="KASARAGOD"/>
        <s v="KOZHIKODE"/>
        <s v="SHORANUR JN"/>
        <s v="THRISUR"/>
        <s v="KOTTAYAM"/>
        <s v="CHANGANASERI"/>
        <s v="TIRUVALLA"/>
        <s v="CHENGANNUR"/>
        <s v="KAYANKULAM JN"/>
        <s v="PANVEL"/>
        <s v="ERNAKULAM TOWN"/>
        <s v="KOLLAM JN"/>
        <s v="MOOKAMBIKA ROAD"/>
        <s v="UDUPI"/>
        <s v="KANNUR"/>
        <s v="TIRUR"/>
        <s v="MADGAON"/>
        <s v="KARWAR"/>
        <s v="ANKOLA"/>
        <s v="RATNAGIRI"/>
        <s v="JHAJHA"/>
        <s v="PT DEEN DAYAL UPADHYAY JN"/>
        <s v="PRAYAGRAJ JN"/>
        <s v="ANAND VIHAR TRM"/>
        <s v="MADHUPUR JN"/>
        <s v="JASIDIH JN"/>
        <s v="PATNA JN"/>
        <s v="KANPUR CENTRAL"/>
        <s v="KIUL JN"/>
        <s v="MOKAMEH JN"/>
        <s v="ARA"/>
        <s v="BUXAR"/>
        <s v="SMVT BENGALURU"/>
        <s v="VIZIANAGRAM JN"/>
        <s v="VIJAYAWADA JN"/>
        <s v="BHUBANESWAR"/>
        <s v="SEALDAH"/>
        <s v="KODERMA"/>
        <s v="BIKANER JN"/>
        <s v="LOHARU"/>
        <s v="SADULPUR JN"/>
        <s v="CHURU"/>
        <s v="RATANGARH JN"/>
        <s v="SRI DUNGARGARH"/>
        <s v="NAGPUR"/>
        <s v="BILASPUR JN"/>
        <s v="AKOLA JN"/>
        <s v="TATANAGAR JN"/>
        <s v="DILDARNAGAR JN"/>
        <s v="DANAPUR"/>
        <s v="KATPADI JN"/>
        <s v="KRISHNARAJAPURM"/>
        <s v="BALHARSHAH"/>
        <s v="KUPPAM"/>
        <s v="JOLARPETTAI"/>
        <s v="KHAMMAM"/>
        <s v="CHANDRAPUR"/>
        <s v="PIPARIYA"/>
        <s v="BANGARAPET"/>
        <s v="MIRZAPUR"/>
        <s v="SEVAGRAM"/>
        <s v="JABALPUR"/>
        <s v="RAMGUNDAM"/>
        <s v="GUDUR JN"/>
        <s v="PRAYAGRAJ CHHEOKI"/>
        <s v="BETUL"/>
        <s v="NARSINGHPUR"/>
        <s v="ONGOLE"/>
        <s v="SIRPUR KAGAZNGR"/>
        <s v="NELLORE"/>
        <s v="WARANGAL"/>
        <s v="GHORADONGRI"/>
        <s v="KATNI"/>
        <s v="MAIHAR"/>
        <s v="SATNA"/>
        <s v="PARASNATH"/>
        <s v="GAYA JN"/>
        <s v="BARDDHAMAN JN"/>
        <s v="BHAGALPUR"/>
        <s v="BARIARPUR"/>
        <s v="SULTANGANJ"/>
        <s v="LUCKEESARAI JN"/>
        <s v="JAMALPUR JN"/>
        <s v="BARHIYA"/>
        <s v="ABHAIPUR"/>
        <s v="DHARHARA"/>
        <s v="KAJRA"/>
        <s v="HATHIDAH JN"/>
        <s v="BARH"/>
        <s v="BAKHTIYARPUR JN"/>
        <s v="KHUSROPUR"/>
        <s v="PATNA SAHEB"/>
        <s v="FATUHA JN"/>
        <s v="DIBRUGARH"/>
        <s v="KATIHAR JN"/>
        <s v="NAUGACHIA"/>
        <s v="PATLIPUTRA"/>
        <s v="NEW TINSUKIA JN"/>
        <s v="NEW BONGAIGAON"/>
        <s v="MANSI JN"/>
        <s v="KOKRAJHAR"/>
        <s v="NEW JALPAIGURI"/>
        <s v="KISHANGANJ"/>
        <s v="RANGIYA JN"/>
        <s v="MARIANI JN"/>
        <s v="DIMAPUR"/>
        <s v="DIPHU"/>
        <s v="GUWAHATI"/>
        <s v="LUMDING JN"/>
        <s v="NEW COOCH BEHAR"/>
        <s v="CHAPARMUKH JN"/>
        <s v="BARAUNI JN"/>
        <s v="CUTTACK"/>
        <s v="VISAKHAPATNAM"/>
        <s v="RAJAMUNDRY"/>
        <s v="SRIKAKULAM ROAD"/>
        <s v="PALASA"/>
        <s v="KHURDA ROAD JN"/>
        <s v="BRAHMAPUR"/>
        <s v="BALUGAN"/>
        <s v="JAJPUR K ROAD"/>
        <s v="BHADRAKH"/>
        <s v="BALASORE"/>
        <s v="KHARAGPUR JN"/>
        <s v="DANKUNI"/>
        <s v="BOLPUR S NIKTN"/>
        <s v="RAMPUR HAT"/>
        <s v="NEW FARAKKA JN"/>
        <s v="MALDA TOWN"/>
        <s v="BARSOI JN"/>
        <s v="JALPAIGURI ROAD"/>
        <s v="DHUPGURI"/>
        <s v="NEW ALIPURDAUR"/>
        <s v="BARPETA ROAD"/>
        <s v="KAMAKHYA"/>
        <s v="TRIVANDRUM CNTL"/>
        <s v="VARKALA"/>
        <s v="OTTAPPALAM"/>
        <s v="CHITTOOR"/>
        <s v="MAVELIKARA"/>
        <s v="TIRUPATI"/>
        <s v="VAIKAM ROAD"/>
        <s v="PALAKKAD JN"/>
        <s v="ALUVA"/>
        <s v="TRIVANDRUM PETT"/>
        <s v="CHENNAI EGMORE"/>
        <s v="TIRUNELVELI JN"/>
        <s v="TAMBARAM"/>
        <s v="CHENGALPATTU"/>
        <s v="VILLUPURAM JN"/>
        <s v="MELMARUVATTUR"/>
        <s v="TIRUCHCHIRAPALI"/>
        <s v="VRIDHACHALAM JN"/>
        <s v="DINDIGUL JN"/>
        <s v="MADURAI JN"/>
        <s v="VIRUDUNAGAR JN"/>
        <s v="SATUR"/>
        <s v="TINDIVANAM"/>
        <s v="SHOLAVANDAN"/>
        <s v="KOVILPATTI"/>
        <s v="MAMBALAM"/>
        <s v="MANAPARAI"/>
        <s v="AMBATURAI"/>
        <s v="KODAIKANAL ROAD"/>
        <s v="COIMBATORE NRTH"/>
        <s v="AVADI"/>
        <s v="SAMALPATTI"/>
        <s v="MORAPPUR"/>
        <s v="BOMMIDI"/>
        <s v="AMBUR"/>
        <s v="ANAKAPALLE"/>
        <s v="NAUPADA JN"/>
        <s v="CHIPURUPALLE"/>
        <s v="TUNI"/>
        <s v="ELURU"/>
        <s v="CHATRAPUR"/>
        <s v="ICHCHPURAM"/>
        <s v="SOMPETA"/>
        <s v="ANNAVARAM"/>
        <s v="SAMALKOT JN"/>
        <s v="NIDADAVOLU JN"/>
        <s v="TADEPALLIGUDEM"/>
        <s v="TENALI JN"/>
        <s v="BAPATLA"/>
        <s v="CHIRALA"/>
        <s v="SANTRAGACHI JN"/>
        <s v="SHALIMAR"/>
        <s v="BANDRA TERMINUS"/>
        <s v="RATLAM JN"/>
        <s v="NAGDA JN"/>
        <s v="GODHRA JN"/>
        <s v="BHAWANI MANDI"/>
        <s v="RAMGANJ MANDI"/>
        <s v="SHAMGARH"/>
        <s v="SAHARANPUR"/>
        <s v="YAMUNANAGAR JAGADHRI"/>
        <s v="BEAS"/>
        <s v="KOTA JN"/>
        <s v="JALANDHAR CITY"/>
        <s v="GHAZIABAD"/>
        <s v="AMRITSAR JN"/>
        <s v="AMBALA CANT JN"/>
        <s v="SAWAI MADHOPUR"/>
        <s v="DAHOD"/>
        <s v="MEGHNAGAR"/>
        <s v="BAYANA JN"/>
        <s v="MEERUT CITY"/>
        <s v="MEERUT CANT"/>
        <s v="SAKHOTI TANDA"/>
        <s v="GANGAPUR CITY"/>
        <s v="HINDAUN CITY"/>
        <s v="BHARATPUR JN"/>
        <s v="LUDHIANA JN"/>
        <s v="MUZAFFARNAGAR"/>
        <s v="SHRI MAHAVEERJI"/>
        <s v="CHANDIGARH"/>
        <s v="KHACHROD"/>
        <s v="PHAGWARA JN"/>
        <s v="SUBZI MANDI"/>
        <s v="JALANDHAR CANT"/>
        <s v="SONIPAT JN"/>
        <s v="SAHIBZADA ASNGR"/>
        <s v="DAHANU ROAD"/>
        <s v="PANIPAT JN"/>
        <s v="KARNAL"/>
        <s v="NAVSARI"/>
        <s v="VALSAD"/>
        <s v="KURUKSHETRA JN"/>
        <s v="BHODWAL MAJRI"/>
        <s v="SABARMATI BG"/>
        <s v="PALANPUR JN"/>
        <s v="ABU ROAD"/>
        <s v="FALNA"/>
        <s v="AJMER JN"/>
        <s v="JAIPUR"/>
        <s v="GURGAON"/>
        <s v="DELHI CANTT"/>
        <s v="MAHESANA JN"/>
        <s v="BANDEL JN"/>
        <s v="JANGIPUR ROAD"/>
        <s v="SAMSI"/>
        <s v="AZIMGANJ JN"/>
        <s v="HARISCHANDRPUR"/>
        <s v="KATWA"/>
        <s v="NIMTITA"/>
        <s v="DHULIAN GANGA"/>
        <s v="FALAKATA"/>
        <s v="FURKATING JN"/>
        <s v="KAMAKHYAGURI"/>
        <s v="AMBIKA KALNA"/>
        <s v="BONGAIGAON"/>
        <s v="NABADWIP DHAM"/>
        <s v="SALAR"/>
        <s v="SORBHOG JN"/>
        <s v="NEW MAYNAGURI"/>
        <s v="KHAGRAGHAT ROAD"/>
        <s v="PATHSALA"/>
        <s v="TIHU"/>
        <s v="NALBARI"/>
        <s v="LANKA"/>
        <s v="HOJAI"/>
        <s v="SIMALUGURI JN"/>
        <s v="SARUPATHAR"/>
        <s v="BARPATHAR"/>
        <s v="ALUABARI ROAD"/>
        <s v="AMGURI"/>
        <s v="BHOJO"/>
        <s v="DULIAJAN"/>
        <s v="FAKIRAGRAM JN"/>
        <s v="NAMRUP"/>
        <s v="NAHARKATIYA"/>
        <s v="GOSSAIGAON HAT"/>
        <s v="PENNADAM"/>
        <s v="CHIRAYINKIL"/>
        <s v="ARIYALUR"/>
        <s v="SRIRANGAM"/>
        <s v="GURUVAYUR"/>
        <s v="NAGER COIL TOWN"/>
        <s v="PUNKUNNAM"/>
        <s v="ARALVAYMOZHI"/>
        <s v="VANCHI MANIYACHCHI"/>
        <s v="NANGUNERI"/>
        <s v="VALLIYUR"/>
        <s v="ERANIEL"/>
        <s v="KULITTHURAI"/>
        <s v="KUDALNAGAR"/>
        <s v="ERNAKULAM JN"/>
        <s v="NEYYATTINKARA"/>
        <s v="KADAKAVUR"/>
        <s v="PARAVUR"/>
        <s v="ANGAMALI"/>
        <s v="CHALAKUDI"/>
        <s v="IRINJALAKUDA"/>
        <s v="HARIPPAD"/>
        <s v="ALLEPPEY"/>
        <s v="SHERTALAI"/>
        <s v="NAGERCOIL JN"/>
        <s v="KARUR"/>
        <s v="PILER"/>
        <s v="TIRUPATTUR JN"/>
        <s v="KADIRI"/>
        <s v="KARJAT"/>
        <s v="MADANAPALLE RD"/>
        <s v="NAMAKKAL"/>
        <s v="PAKALA JN"/>
        <s v="LINGAMPALLI"/>
        <s v="BEGUMPET"/>
        <s v="ROTEGAON"/>
        <s v="AURANGABAD"/>
        <s v="LASUR"/>
        <s v="BOLARUM"/>
        <s v="SECUNDERABAD JN"/>
        <s v="IGATPURI"/>
        <s v="MUDKHED"/>
        <s v="PURNA JN"/>
        <s v="UMRI"/>
        <s v="H SAHIB NANDED"/>
        <s v="KAMAREDDI"/>
        <s v="AKANAPET"/>
        <s v="MIRZAPALI"/>
        <s v="PARBHANI JN"/>
        <s v="DHARMABAD"/>
        <s v="SELU"/>
        <s v="BASAR"/>
        <s v="NIZAMABAD"/>
        <s v="PARTUR"/>
        <s v="MANWATH ROAD"/>
        <s v="YELHANKA JN"/>
        <s v="SAINAGAR SHIRDI"/>
        <s v="MALUR"/>
        <s v="AHMADNAGAR"/>
        <s v="PALGHAT TOWN"/>
        <s v="TIRUVALLUR"/>
        <s v="POLLACHI JN"/>
        <s v="RASIPURAM"/>
        <s v="MOHANUR"/>
        <s v="ODDANCHATRAM"/>
        <s v="UDUMALAIPPETTAI"/>
        <s v="PALANI"/>
        <s v="GUDIYATTAM"/>
        <n v="0"/>
      </sharedItems>
    </cacheField>
    <cacheField name="average_delay_minutes" numFmtId="0">
      <sharedItems containsSemiMixedTypes="0" containsString="0" containsNumber="1" containsInteger="1" minValue="0" maxValue="586"/>
    </cacheField>
    <cacheField name="pct_right_time" numFmtId="0">
      <sharedItems containsSemiMixedTypes="0" containsString="0" containsNumber="1" minValue="0" maxValue="100"/>
    </cacheField>
    <cacheField name="pct_slight_delay" numFmtId="0">
      <sharedItems containsSemiMixedTypes="0" containsString="0" containsNumber="1" minValue="0" maxValue="100"/>
    </cacheField>
    <cacheField name="pct_significant_delay" numFmtId="0">
      <sharedItems containsSemiMixedTypes="0" containsString="0" containsNumber="1" minValue="0" maxValue="100"/>
    </cacheField>
    <cacheField name="pct_cancelled_unknown" numFmtId="0">
      <sharedItems containsSemiMixedTypes="0" containsString="0" containsNumber="1" minValue="0" maxValue="99.73"/>
    </cacheField>
    <cacheField name="scraped_at" numFmtId="22">
      <sharedItems containsSemiMixedTypes="0" containsNonDate="0" containsDate="1" containsString="0" minDate="1899-12-30T00:00:00" maxDate="2025-09-28T02:16:19"/>
    </cacheField>
    <cacheField name="source_url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navi Dhole" refreshedDate="46195.387228935186" createdVersion="8" refreshedVersion="8" minRefreshableVersion="3" recordCount="1829" xr:uid="{1BF6FF72-27AE-4435-A7CB-FEA497521A52}">
  <cacheSource type="worksheet">
    <worksheetSource name="etrain_delays"/>
  </cacheSource>
  <cacheFields count="13">
    <cacheField name="train_number" numFmtId="0">
      <sharedItems containsSemiMixedTypes="0" containsString="0" containsNumber="1" containsInteger="1" minValue="11013" maxValue="22652" count="90">
        <n v="12673"/>
        <n v="12674"/>
        <n v="12681"/>
        <n v="12682"/>
        <n v="12637"/>
        <n v="12638"/>
        <n v="12631"/>
        <n v="12632"/>
        <n v="20665"/>
        <n v="20666"/>
        <n v="12621"/>
        <n v="12622"/>
        <n v="12839"/>
        <n v="12840"/>
        <n v="12433"/>
        <n v="12434"/>
        <n v="12295"/>
        <n v="12296"/>
        <n v="12841"/>
        <n v="12842"/>
        <n v="12625"/>
        <n v="12626"/>
        <n v="12951"/>
        <n v="12952"/>
        <n v="22301"/>
        <n v="22302"/>
        <n v="12001"/>
        <n v="12002"/>
        <n v="12903"/>
        <n v="12904"/>
        <n v="17057"/>
        <n v="17058"/>
        <n v="22651"/>
        <n v="22652"/>
        <n v="12163"/>
        <n v="12164"/>
        <n v="12679"/>
        <n v="12680"/>
        <n v="12925"/>
        <n v="12926"/>
        <n v="12137"/>
        <n v="12138"/>
        <n v="12509"/>
        <n v="12510"/>
        <n v="16339"/>
        <n v="16340"/>
        <n v="16127"/>
        <n v="16128"/>
        <n v="22601"/>
        <n v="22602"/>
        <n v="12009"/>
        <n v="12010"/>
        <n v="12019"/>
        <n v="12020"/>
        <n v="12049"/>
        <n v="12050"/>
        <n v="12235"/>
        <n v="12236"/>
        <n v="12245"/>
        <n v="12246"/>
        <n v="12259"/>
        <n v="12260"/>
        <n v="12261"/>
        <n v="12262"/>
        <n v="12301"/>
        <n v="12302"/>
        <n v="12305"/>
        <n v="12306"/>
        <n v="12313"/>
        <n v="12314"/>
        <n v="12423"/>
        <n v="12424"/>
        <n v="12953"/>
        <n v="12954"/>
        <n v="12957"/>
        <n v="12958"/>
        <n v="22221"/>
        <n v="22222"/>
        <n v="22225"/>
        <n v="22226"/>
        <n v="11013"/>
        <n v="11014"/>
        <n v="11027"/>
        <n v="11028"/>
        <n v="12367"/>
        <n v="12368"/>
        <n v="15959"/>
        <n v="15960"/>
        <n v="12201"/>
        <n v="12202"/>
      </sharedItems>
    </cacheField>
    <cacheField name="train_name" numFmtId="0">
      <sharedItems/>
    </cacheField>
    <cacheField name="station_code" numFmtId="0">
      <sharedItems/>
    </cacheField>
    <cacheField name="station_name" numFmtId="0">
      <sharedItems count="480">
        <s v="CHENNAI CENTRAL"/>
        <s v="AVADI"/>
        <s v="ARAKKONAM"/>
        <s v="KATPADI JN"/>
        <s v="JOLARPETTAI"/>
        <s v="SALEM JN"/>
        <s v="ERODE JN"/>
        <s v="TIRUPPUR"/>
        <s v="COIMBATORE NRTH"/>
        <s v="COIMBATORE JN"/>
        <s v="PERAMBUR"/>
        <s v="CHENNAI EGMORE"/>
        <s v="TAMBARAM"/>
        <s v="CHENGALPATTU"/>
        <s v="MELMARUVATTUR"/>
        <s v="VILLUPURAM JN"/>
        <s v="VRIDHACHALAM JN"/>
        <s v="TIRUCHCHIRAPALI"/>
        <s v="MANAPARAI"/>
        <s v="DINDIGUL JN"/>
        <s v="AMBATURAI"/>
        <s v="KODAIKANAL ROAD"/>
        <s v="MADURAI JN"/>
        <s v="MAMBALAM"/>
        <s v="TINDIVANAM"/>
        <s v="SHOLAVANDAN"/>
        <s v="VIRUDUNAGAR JN"/>
        <s v="SATUR"/>
        <s v="KOVILPATTI"/>
        <s v="TIRUNELVELI JN"/>
        <s v="VIJAYAWADA JN"/>
        <s v="KHAMMAM"/>
        <s v="WARANGAL"/>
        <s v="BALHARSHAH"/>
        <s v="NAGPUR"/>
        <s v="ITARSI JN"/>
        <s v="BHOPAL JN"/>
        <s v="V LAKSHMIBAI JHANSI"/>
        <s v="GWALIOR"/>
        <s v="AGRA CANTT"/>
        <s v="H NIZAMUDDIN"/>
        <s v="NEW DELHI"/>
        <s v="HOWRAH JN"/>
        <s v="KHARAGPUR JN"/>
        <s v="BALASORE"/>
        <s v="BHADRAKH"/>
        <s v="JAJPUR K ROAD"/>
        <s v="CUTTACK"/>
        <s v="BHUBANESWAR"/>
        <s v="KHURDA ROAD JN"/>
        <s v="BALUGAN"/>
        <s v="CHATRAPUR"/>
        <s v="BRAHMAPUR"/>
        <s v="ICHCHPURAM"/>
        <s v="SOMPETA"/>
        <s v="PALASA"/>
        <s v="NAUPADA JN"/>
        <s v="SRIKAKULAM ROAD"/>
        <s v="CHIPURUPALLE"/>
        <s v="VIZIANAGRAM JN"/>
        <s v="VISAKHAPATNAM"/>
        <s v="ANAKAPALLE"/>
        <s v="TUNI"/>
        <s v="ANNAVARAM"/>
        <s v="SAMALKOT JN"/>
        <s v="RAJAMUNDRY"/>
        <s v="NIDADAVOLU JN"/>
        <s v="TADEPALLIGUDEM"/>
        <s v="ELURU"/>
        <s v="TENALI JN"/>
        <s v="BAPATLA"/>
        <s v="CHIRALA"/>
        <s v="ONGOLE"/>
        <s v="NELLORE"/>
        <s v="GUDUR JN"/>
        <s v="SANTRAGACHI JN"/>
        <s v="SMVT BENGALURU"/>
        <s v="KRISHNARAJAPURM"/>
        <s v="BANGARAPET"/>
        <s v="KUPPAM"/>
        <s v="RAMGUNDAM"/>
        <s v="SIRPUR KAGAZNGR"/>
        <s v="CHANDRAPUR"/>
        <s v="SEVAGRAM"/>
        <s v="BETUL"/>
        <s v="GHORADONGRI"/>
        <s v="PIPARIYA"/>
        <s v="NARSINGHPUR"/>
        <s v="JABALPUR"/>
        <s v="KATNI"/>
        <s v="MAIHAR"/>
        <s v="SATNA"/>
        <s v="PRAYAGRAJ CHHEOKI"/>
        <s v="MIRZAPUR"/>
        <s v="PT DEEN DAYAL UPADHYAY JN"/>
        <s v="DILDARNAGAR JN"/>
        <s v="BUXAR"/>
        <s v="ARA"/>
        <s v="DANAPUR"/>
        <s v="SHALIMAR"/>
        <s v="TRIVANDRUM CNTL"/>
        <s v="VARKALA"/>
        <s v="KOLLAM JN"/>
        <s v="KAYANKULAM JN"/>
        <s v="MAVELIKARA"/>
        <s v="CHENGANNUR"/>
        <s v="TIRUVALLA"/>
        <s v="CHANGANASERI"/>
        <s v="KOTTAYAM"/>
        <s v="VAIKAM ROAD"/>
        <s v="ERNAKULAM TOWN"/>
        <s v="ALUVA"/>
        <s v="THRISUR"/>
        <s v="OTTAPPALAM"/>
        <s v="PALAKKAD JN"/>
        <s v="CHITTOOR"/>
        <s v="TIRUPATI"/>
        <s v="RENIGUNTA JN"/>
        <s v="BINA JN"/>
        <s v="MATHURA JN"/>
        <s v="FARIDABAD"/>
        <s v="TRIVANDRUM PETT"/>
        <s v="MUMBAI CENTRAL"/>
        <s v="BORIVALI"/>
        <s v="SURAT"/>
        <s v="VADODARA JN"/>
        <s v="RATLAM JN"/>
        <s v="NAGDA JN"/>
        <s v="KOTA JN"/>
        <s v="BOLPUR S NIKTN"/>
        <s v="MALDA TOWN"/>
        <s v="BARSOI JN"/>
        <s v="KISHANGANJ"/>
        <s v="NEW JALPAIGURI"/>
        <s v="RANI KAMLAPATI"/>
        <s v="LALITPUR"/>
        <s v="MORENA"/>
        <s v="DHAULPUR"/>
        <s v="BANDRA TERMINUS"/>
        <s v="GODHRA JN"/>
        <s v="DAHOD"/>
        <s v="MEGHNAGAR"/>
        <s v="SHAMGARH"/>
        <s v="BHAWANI MANDI"/>
        <s v="RAMGANJ MANDI"/>
        <s v="SAWAI MADHOPUR"/>
        <s v="GANGAPUR CITY"/>
        <s v="SHRI MAHAVEERJI"/>
        <s v="HINDAUN CITY"/>
        <s v="BAYANA JN"/>
        <s v="BHARATPUR JN"/>
        <s v="GHAZIABAD"/>
        <s v="MEERUT CITY"/>
        <s v="MEERUT CANT"/>
        <s v="SAKHOTI TANDA"/>
        <s v="MUZAFFARNAGAR"/>
        <s v="SAHARANPUR"/>
        <s v="YAMUNANAGAR JAGADHRI"/>
        <s v="AMBALA CANT JN"/>
        <s v="LUDHIANA JN"/>
        <s v="JALANDHAR CITY"/>
        <s v="BEAS"/>
        <s v="AMRITSAR JN"/>
        <s v="C SHIVAJI TERM MUMBAI"/>
        <s v="DADAR"/>
        <s v="THANE"/>
        <s v="KALYAN JN"/>
        <s v="KASARA"/>
        <s v="IGATPURI"/>
        <s v="NASIK ROAD"/>
        <s v="MANMAD JN"/>
        <s v="ROTEGAON"/>
        <s v="LASUR"/>
        <s v="AURANGABAD"/>
        <s v="PARTUR"/>
        <s v="SELU"/>
        <s v="MANWATH ROAD"/>
        <s v="PARBHANI JN"/>
        <s v="PURNA JN"/>
        <s v="H SAHIB NANDED"/>
        <s v="MUDKHED"/>
        <s v="UMRI"/>
        <s v="DHARMABAD"/>
        <s v="BASAR"/>
        <s v="NIZAMABAD"/>
        <s v="KAMAREDDI"/>
        <s v="AKANAPET"/>
        <s v="MIRZAPALI"/>
        <s v="BOLARUM"/>
        <s v="SECUNDERABAD JN"/>
        <s v="BEGUMPET"/>
        <s v="LINGAMPALLI"/>
        <s v="TIRUVALLUR"/>
        <s v="GUDIYATTAM"/>
        <s v="MORAPPUR"/>
        <s v="RASIPURAM"/>
        <s v="NAMAKKAL"/>
        <s v="MOHANUR"/>
        <s v="KARUR"/>
        <s v="ODDANCHATRAM"/>
        <s v="PALANI"/>
        <s v="UDUMALAIPPETTAI"/>
        <s v="POLLACHI JN"/>
        <s v="PALGHAT TOWN"/>
        <s v="LOKMANYATILAK T"/>
        <s v="LONAVALA"/>
        <s v="PUNE JN"/>
        <s v="SOLAPUR JN"/>
        <s v="KALABURAGI JN"/>
        <s v="WADI"/>
        <s v="YADGIR"/>
        <s v="SAIDAPUR"/>
        <s v="RAICHUR"/>
        <s v="MANTHRALAYAM RD"/>
        <s v="ADONI"/>
        <s v="GUNTAKAL JN"/>
        <s v="GOOTY JN"/>
        <s v="TADIPATRI"/>
        <s v="YERRAGUNTLA"/>
        <s v="CUDDAPAH"/>
        <s v="RAZAMPETA"/>
        <s v="KODURU"/>
        <s v="PUTTUR"/>
        <s v="TIRUTTANI"/>
        <s v="AMBUR"/>
        <s v="SAMALPATTI"/>
        <s v="BOMMIDI"/>
        <s v="DAHANU ROAD"/>
        <s v="VAPI"/>
        <s v="VALSAD"/>
        <s v="NAVSARI"/>
        <s v="BHARUCH JN"/>
        <s v="KHACHROD"/>
        <s v="SUBZI MANDI"/>
        <s v="SONIPAT JN"/>
        <s v="BHODWAL MAJRI"/>
        <s v="PANIPAT JN"/>
        <s v="KARNAL"/>
        <s v="KURUKSHETRA JN"/>
        <s v="CHANDIGARH"/>
        <s v="SAHIBZADA ASNGR"/>
        <s v="PHAGWARA JN"/>
        <s v="JALANDHAR CANT"/>
        <s v="CHALISGAON JN"/>
        <s v="JALGAON JN"/>
        <s v="BHUSAVAL JN"/>
        <s v="BURHANPUR"/>
        <s v="KHANDWA"/>
        <s v="KHIRKIYA"/>
        <s v="HARDA"/>
        <s v="BANAPURA"/>
        <s v="NARMADAPURAM"/>
        <s v="VIDISHA"/>
        <s v="GANJ BASODA"/>
        <s v="BABINA"/>
        <s v="DATIA"/>
        <s v="DABRA"/>
        <s v="RAJA KI MANDI"/>
        <s v="KOSI KALAN"/>
        <s v="DELHI KISHANGNJ"/>
        <s v="SHAKURBASTI"/>
        <s v="BAHADURGARH"/>
        <s v="ROHTAK JN"/>
        <s v="JIND JN"/>
        <s v="NARWANA JN"/>
        <s v="TOHANA"/>
        <s v="JAKHAL JN"/>
        <s v="BARETA"/>
        <s v="BUDHLADA"/>
        <s v="MANSA"/>
        <s v="MAUR"/>
        <s v="BHATINDA JN"/>
        <s v="GONEANA BHAI JAGTA"/>
        <s v="GANGSAR JAITU"/>
        <s v="KOT KAPURA"/>
        <s v="FARIDKOT"/>
        <s v="FIROZPUR CANT"/>
        <s v="DANKUNI"/>
        <s v="RAMPUR HAT"/>
        <s v="NEW FARAKKA JN"/>
        <s v="JALPAIGURI ROAD"/>
        <s v="DHUPGURI"/>
        <s v="NEW COOCH BEHAR"/>
        <s v="NEW ALIPURDAUR"/>
        <s v="KOKRAJHAR"/>
        <s v="NEW BONGAIGAON"/>
        <s v="BARPETA ROAD"/>
        <s v="RANGIYA JN"/>
        <s v="KAMAKHYA"/>
        <s v="GUWAHATI"/>
        <s v="KARJAT"/>
        <s v="DAUND JN"/>
        <s v="KURDUVADI"/>
        <s v="SHAHABAD"/>
        <s v="ANANTAPUR"/>
        <s v="DHARMAVARAM JN"/>
        <s v="KADIRI"/>
        <s v="MADANAPALLE RD"/>
        <s v="PILER"/>
        <s v="PAKALA JN"/>
        <s v="TIRUPATTUR JN"/>
        <s v="NANGUNERI"/>
        <s v="VALLIYUR"/>
        <s v="NAGERCOIL JN"/>
        <s v="PENNADAM"/>
        <s v="ARIYALUR"/>
        <s v="SRIRANGAM"/>
        <s v="KUDALNAGAR"/>
        <s v="VANCHI MANIYACHCHI"/>
        <s v="ARALVAYMOZHI"/>
        <s v="NAGER COIL TOWN"/>
        <s v="ERANIEL"/>
        <s v="KULITTHURAI"/>
        <s v="NEYYATTINKARA"/>
        <s v="CHIRAYINKIL"/>
        <s v="KADAKAVUR"/>
        <s v="PARAVUR"/>
        <s v="HARIPPAD"/>
        <s v="ALLEPPEY"/>
        <s v="SHERTALAI"/>
        <s v="ERNAKULAM JN"/>
        <s v="ANGAMALI"/>
        <s v="CHALAKUDI"/>
        <s v="IRINJALAKUDA"/>
        <s v="PUNKUNNAM"/>
        <s v="GURUVAYUR"/>
        <s v="MALUR"/>
        <s v="YELHANKA JN"/>
        <s v="HINDUPUR"/>
        <s v="SAI P NILAYAM"/>
        <s v="AHMADNAGAR"/>
        <s v="SAINAGAR SHIRDI"/>
        <s v="ANAND JN"/>
        <s v="NADIAD JN"/>
        <s v="AHMEDABAD JN"/>
        <s v="DURGAPUR"/>
        <s v="RANIGANJ"/>
        <s v="ASANSOL JN"/>
        <s v="DHANBAD JN"/>
        <s v="CHANDRAPURA"/>
        <s v="BOKARO STL CITY"/>
        <s v="MURI"/>
        <s v="RANCHI"/>
        <s v="MADHUPUR JN"/>
        <s v="JASIDIH JN"/>
        <s v="JHAJHA"/>
        <s v="KIUL JN"/>
        <s v="MOKAMEH JN"/>
        <s v="PATNA JN"/>
        <s v="PRAYAGRAJ JN"/>
        <s v="KANPUR CENTRAL"/>
        <s v="ANAND VIHAR TRM"/>
        <s v="SEALDAH"/>
        <s v="KODERMA"/>
        <s v="LOHARU"/>
        <s v="SADULPUR JN"/>
        <s v="CHURU"/>
        <s v="RATANGARH JN"/>
        <s v="SRI DUNGARGARH"/>
        <s v="BIKANER JN"/>
        <s v="AKOLA JN"/>
        <s v="BILASPUR JN"/>
        <s v="TATANAGAR JN"/>
        <s v="PARASNATH"/>
        <s v="GAYA JN"/>
        <s v="BARDDHAMAN JN"/>
        <s v="DIBRUGARH"/>
        <s v="NEW TINSUKIA JN"/>
        <s v="MARIANI JN"/>
        <s v="DIMAPUR"/>
        <s v="DIPHU"/>
        <s v="LUMDING JN"/>
        <s v="CHAPARMUKH JN"/>
        <s v="KATIHAR JN"/>
        <s v="NAUGACHIA"/>
        <s v="MANSI JN"/>
        <s v="BARAUNI JN"/>
        <s v="PATLIPUTRA"/>
        <s v="SABARMATI BG"/>
        <s v="MAHESANA JN"/>
        <s v="PALANPUR JN"/>
        <s v="ABU ROAD"/>
        <s v="FALNA"/>
        <s v="AJMER JN"/>
        <s v="JAIPUR"/>
        <s v="GURGAON"/>
        <s v="DELHI CANTT"/>
        <s v="DUDHANI"/>
        <s v="GANAGAPUR ROAD"/>
        <s v="KRISHNA"/>
        <s v="GAURIBIDANUR"/>
        <s v="BANGALORE CANT"/>
        <s v="KSR BANGALORE CY JN"/>
        <s v="HOSUR"/>
        <s v="DHARMAPURI"/>
        <s v="TALEGAON"/>
        <s v="CHINCHVAD"/>
        <s v="URULI"/>
        <s v="KEDGAON"/>
        <s v="BHIGWAN"/>
        <s v="JEUR"/>
        <s v="KEM"/>
        <s v="PANDHARPUR"/>
        <s v="SANGOLA"/>
        <s v="MHASODA DONGAR"/>
        <s v="JATH ROAD"/>
        <s v="DHALGAON"/>
        <s v="KAVATHE MAHANKL"/>
        <s v="MIRAJ JN"/>
        <s v="SANGLI"/>
        <s v="BHILAVDI"/>
        <s v="KIRLOSKARVADI"/>
        <s v="TAKARI"/>
        <s v="KARAD"/>
        <s v="MASUR"/>
        <s v="KOREGAON"/>
        <s v="SATARA"/>
        <s v="BHAGALPUR"/>
        <s v="SULTANGANJ"/>
        <s v="BARIARPUR"/>
        <s v="JAMALPUR JN"/>
        <s v="DHARHARA"/>
        <s v="ABHAIPUR"/>
        <s v="KAJRA"/>
        <s v="LUCKEESARAI JN"/>
        <s v="BARHIYA"/>
        <s v="HATHIDAH JN"/>
        <s v="BARH"/>
        <s v="BAKHTIYARPUR JN"/>
        <s v="KHUSROPUR"/>
        <s v="FATUHA JN"/>
        <s v="PATNA SAHEB"/>
        <s v="BANDEL JN"/>
        <s v="AMBIKA KALNA"/>
        <s v="NABADWIP DHAM"/>
        <s v="KATWA"/>
        <s v="SALAR"/>
        <s v="KHAGRAGHAT ROAD"/>
        <s v="AZIMGANJ JN"/>
        <s v="JANGIPUR ROAD"/>
        <s v="NIMTITA"/>
        <s v="DHULIAN GANGA"/>
        <s v="SAMSI"/>
        <s v="HARISCHANDRPUR"/>
        <s v="ALUABARI ROAD"/>
        <s v="NEW MAYNAGURI"/>
        <s v="FALAKATA"/>
        <s v="KAMAKHYAGURI"/>
        <s v="GOSSAIGAON HAT"/>
        <s v="FAKIRAGRAM JN"/>
        <s v="BONGAIGAON"/>
        <s v="SORBHOG JN"/>
        <s v="PATHSALA"/>
        <s v="TIHU"/>
        <s v="NALBARI"/>
        <s v="HOJAI"/>
        <s v="LANKA"/>
        <s v="SARUPATHAR"/>
        <s v="BARPATHAR"/>
        <s v="FURKATING JN"/>
        <s v="AMGURI"/>
        <s v="SIMALUGURI JN"/>
        <s v="BHOJO"/>
        <s v="NAMRUP"/>
        <s v="NAHARKATIYA"/>
        <s v="DULIAJAN"/>
        <s v="PANVEL"/>
        <s v="RATNAGIRI"/>
        <s v="MADGAON"/>
        <s v="KARWAR"/>
        <s v="ANKOLA"/>
        <s v="MOOKAMBIKA ROAD"/>
        <s v="UDUPI"/>
        <s v="MANGALORE JN"/>
        <s v="KASARAGOD"/>
        <s v="KANNUR"/>
        <s v="KOZHIKODE"/>
        <s v="TIRUR"/>
        <s v="SHORANUR JN"/>
        <s v="TRIVANDRUM NORTH"/>
      </sharedItems>
    </cacheField>
    <cacheField name="average_delay_minutes" numFmtId="0">
      <sharedItems containsString="0" containsBlank="1" containsNumber="1" containsInteger="1" minValue="0" maxValue="586"/>
    </cacheField>
    <cacheField name="pct_right_time" numFmtId="0">
      <sharedItems containsSemiMixedTypes="0" containsString="0" containsNumber="1" minValue="0" maxValue="100"/>
    </cacheField>
    <cacheField name="pct_slight_delay" numFmtId="0">
      <sharedItems containsSemiMixedTypes="0" containsString="0" containsNumber="1" minValue="0" maxValue="100"/>
    </cacheField>
    <cacheField name="pct_significant_delay" numFmtId="0">
      <sharedItems containsSemiMixedTypes="0" containsString="0" containsNumber="1" minValue="0" maxValue="100"/>
    </cacheField>
    <cacheField name="pct_cancelled_unknown" numFmtId="0">
      <sharedItems containsSemiMixedTypes="0" containsString="0" containsNumber="1" minValue="0" maxValue="99.73"/>
    </cacheField>
    <cacheField name="scraped_at" numFmtId="22">
      <sharedItems containsSemiMixedTypes="0" containsNonDate="0" containsDate="1" containsString="0" minDate="2025-09-27T17:55:38" maxDate="2025-09-28T02:16:19"/>
    </cacheField>
    <cacheField name="source_url" numFmtId="0">
      <sharedItems/>
    </cacheField>
    <cacheField name="original_order" numFmtId="0">
      <sharedItems containsSemiMixedTypes="0" containsString="0" containsNumber="1" containsInteger="1" minValue="1" maxValue="1829"/>
    </cacheField>
    <cacheField name="stop_order" numFmtId="0">
      <sharedItems containsSemiMixedTypes="0" containsString="0" containsNumber="1" containsInteger="1" minValue="1" maxValue="57" count="5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0">
  <r>
    <x v="0"/>
    <s v="Coimbatore Express"/>
    <s v="CBE"/>
    <x v="0"/>
    <n v="0"/>
    <n v="86.67"/>
    <n v="13.33"/>
    <n v="0"/>
    <n v="0"/>
    <d v="2025-09-28T02:04:06"/>
    <s v="https://etrain.info/train/Coimbatore-Express-11013/history?d=1y"/>
  </r>
  <r>
    <x v="0"/>
    <s v="Coimbatore Express"/>
    <s v="DMM"/>
    <x v="1"/>
    <n v="18"/>
    <n v="83.33"/>
    <n v="6.67"/>
    <n v="10"/>
    <n v="0"/>
    <d v="2025-09-28T02:03:42"/>
    <s v="https://etrain.info/train/Coimbatore-Express-11013/history?d=1y"/>
  </r>
  <r>
    <x v="0"/>
    <s v="Coimbatore Express"/>
    <s v="SBC"/>
    <x v="2"/>
    <n v="14"/>
    <n v="83.33"/>
    <n v="10"/>
    <n v="6.67"/>
    <n v="0"/>
    <d v="2025-09-28T02:03:54"/>
    <s v="https://etrain.info/train/Coimbatore-Express-11013/history?d=1y"/>
  </r>
  <r>
    <x v="0"/>
    <s v="Coimbatore Express"/>
    <s v="LTT"/>
    <x v="3"/>
    <n v="0"/>
    <n v="80"/>
    <n v="6.67"/>
    <n v="13.33"/>
    <n v="0"/>
    <d v="2025-09-28T02:02:53"/>
    <s v="https://etrain.info/train/Coimbatore-Express-11013/history?d=1y"/>
  </r>
  <r>
    <x v="0"/>
    <s v="Coimbatore Express"/>
    <s v="TNA"/>
    <x v="4"/>
    <n v="26"/>
    <n v="76.67"/>
    <n v="10"/>
    <n v="13.33"/>
    <n v="0"/>
    <d v="2025-09-28T02:02:57"/>
    <s v="https://etrain.info/train/Coimbatore-Express-11013/history?d=1y"/>
  </r>
  <r>
    <x v="0"/>
    <s v="Coimbatore Express"/>
    <s v="WADI"/>
    <x v="5"/>
    <n v="26"/>
    <n v="70"/>
    <n v="16.670000000000002"/>
    <n v="13.33"/>
    <n v="0"/>
    <d v="2025-09-28T02:03:23"/>
    <s v="https://etrain.info/train/Coimbatore-Express-11013/history?d=1y"/>
  </r>
  <r>
    <x v="0"/>
    <s v="Coimbatore Express"/>
    <s v="KSN"/>
    <x v="6"/>
    <n v="29"/>
    <n v="63.33"/>
    <n v="23.33"/>
    <n v="13.33"/>
    <n v="0.01"/>
    <d v="2025-09-28T02:03:28"/>
    <s v="https://etrain.info/train/Coimbatore-Express-11013/history?d=1y"/>
  </r>
  <r>
    <x v="0"/>
    <s v="Coimbatore Express"/>
    <s v="RC"/>
    <x v="7"/>
    <n v="28"/>
    <n v="63.33"/>
    <n v="23.33"/>
    <n v="13.33"/>
    <n v="0.01"/>
    <d v="2025-09-28T02:03:30"/>
    <s v="https://etrain.info/train/Coimbatore-Express-11013/history?d=1y"/>
  </r>
  <r>
    <x v="0"/>
    <s v="Coimbatore Express"/>
    <s v="KYN"/>
    <x v="8"/>
    <n v="30"/>
    <n v="60"/>
    <n v="26.67"/>
    <n v="13.33"/>
    <n v="0"/>
    <d v="2025-09-28T02:03:01"/>
    <s v="https://etrain.info/train/Coimbatore-Express-11013/history?d=1y"/>
  </r>
  <r>
    <x v="0"/>
    <s v="Coimbatore Express"/>
    <s v="YG"/>
    <x v="9"/>
    <n v="31"/>
    <n v="60"/>
    <n v="26.67"/>
    <n v="13.33"/>
    <n v="0"/>
    <d v="2025-09-28T02:03:27"/>
    <s v="https://etrain.info/train/Coimbatore-Express-11013/history?d=1y"/>
  </r>
  <r>
    <x v="0"/>
    <s v="Coimbatore Express"/>
    <s v="MALM"/>
    <x v="10"/>
    <n v="31"/>
    <n v="60"/>
    <n v="26.67"/>
    <n v="13.33"/>
    <n v="0"/>
    <d v="2025-09-28T02:03:33"/>
    <s v="https://etrain.info/train/Coimbatore-Express-11013/history?d=1y"/>
  </r>
  <r>
    <x v="0"/>
    <s v="Coimbatore Express"/>
    <s v="GTL"/>
    <x v="11"/>
    <n v="29"/>
    <n v="56.67"/>
    <n v="33.33"/>
    <n v="10"/>
    <n v="0"/>
    <d v="2025-09-28T02:03:36"/>
    <s v="https://etrain.info/train/Coimbatore-Express-11013/history?d=1y"/>
  </r>
  <r>
    <x v="0"/>
    <s v="Coimbatore Express"/>
    <s v="ATP"/>
    <x v="12"/>
    <n v="28"/>
    <n v="56.67"/>
    <n v="33.33"/>
    <n v="10"/>
    <n v="0"/>
    <d v="2025-09-28T02:03:38"/>
    <s v="https://etrain.info/train/Coimbatore-Express-11013/history?d=1y"/>
  </r>
  <r>
    <x v="0"/>
    <s v="Coimbatore Express"/>
    <s v="SSPN"/>
    <x v="13"/>
    <n v="0"/>
    <n v="46.67"/>
    <n v="43.33"/>
    <n v="10"/>
    <n v="0"/>
    <d v="2025-09-28T02:03:44"/>
    <s v="https://etrain.info/train/Coimbatore-Express-11013/history?d=1y"/>
  </r>
  <r>
    <x v="0"/>
    <s v="Coimbatore Express"/>
    <s v="AD"/>
    <x v="14"/>
    <n v="36"/>
    <n v="43.33"/>
    <n v="43.33"/>
    <n v="13.33"/>
    <n v="0.01"/>
    <d v="2025-09-28T02:03:35"/>
    <s v="https://etrain.info/train/Coimbatore-Express-11013/history?d=1y"/>
  </r>
  <r>
    <x v="0"/>
    <s v="Coimbatore Express"/>
    <s v="SA"/>
    <x v="15"/>
    <n v="0"/>
    <n v="43.33"/>
    <n v="40"/>
    <n v="16.670000000000002"/>
    <n v="0"/>
    <d v="2025-09-28T02:03:59"/>
    <s v="https://etrain.info/train/Coimbatore-Express-11013/history?d=1y"/>
  </r>
  <r>
    <x v="0"/>
    <s v="Coimbatore Express"/>
    <s v="ED"/>
    <x v="16"/>
    <n v="26"/>
    <n v="40"/>
    <n v="43.33"/>
    <n v="16.670000000000002"/>
    <n v="0"/>
    <d v="2025-09-28T02:04:01"/>
    <s v="https://etrain.info/train/Coimbatore-Express-11013/history?d=1y"/>
  </r>
  <r>
    <x v="0"/>
    <s v="Coimbatore Express"/>
    <s v="HUP"/>
    <x v="17"/>
    <n v="0"/>
    <n v="36.67"/>
    <n v="50"/>
    <n v="13.33"/>
    <n v="0"/>
    <d v="2025-09-28T02:03:46"/>
    <s v="https://etrain.info/train/Coimbatore-Express-11013/history?d=1y"/>
  </r>
  <r>
    <x v="0"/>
    <s v="Coimbatore Express"/>
    <s v="GBD"/>
    <x v="18"/>
    <n v="0"/>
    <n v="36.67"/>
    <n v="53.33"/>
    <n v="10"/>
    <n v="0"/>
    <d v="2025-09-28T02:03:48"/>
    <s v="https://etrain.info/train/Coimbatore-Express-11013/history?d=1y"/>
  </r>
  <r>
    <x v="0"/>
    <s v="Coimbatore Express"/>
    <s v="BNC"/>
    <x v="19"/>
    <n v="30"/>
    <n v="26.67"/>
    <n v="63.33"/>
    <n v="10"/>
    <n v="0"/>
    <d v="2025-09-28T02:03:50"/>
    <s v="https://etrain.info/train/Coimbatore-Express-11013/history?d=1y"/>
  </r>
  <r>
    <x v="0"/>
    <s v="Coimbatore Express"/>
    <s v="TUP"/>
    <x v="20"/>
    <n v="31"/>
    <n v="23.33"/>
    <n v="63.33"/>
    <n v="13.33"/>
    <n v="0.01"/>
    <d v="2025-09-28T02:04:02"/>
    <s v="https://etrain.info/train/Coimbatore-Express-11013/history?d=1y"/>
  </r>
  <r>
    <x v="0"/>
    <s v="Coimbatore Express"/>
    <s v="SUR"/>
    <x v="21"/>
    <n v="51"/>
    <n v="20"/>
    <n v="63.33"/>
    <n v="16.670000000000002"/>
    <n v="0"/>
    <d v="2025-09-28T02:03:08"/>
    <s v="https://etrain.info/train/Coimbatore-Express-11013/history?d=1y"/>
  </r>
  <r>
    <x v="0"/>
    <s v="Coimbatore Express"/>
    <s v="SDB"/>
    <x v="22"/>
    <n v="54"/>
    <n v="13.33"/>
    <n v="70"/>
    <n v="16.670000000000002"/>
    <n v="0"/>
    <d v="2025-09-28T02:03:19"/>
    <s v="https://etrain.info/train/Coimbatore-Express-11013/history?d=1y"/>
  </r>
  <r>
    <x v="0"/>
    <s v="Coimbatore Express"/>
    <s v="DUD"/>
    <x v="23"/>
    <n v="63"/>
    <n v="10"/>
    <n v="60"/>
    <n v="30"/>
    <n v="0"/>
    <d v="2025-09-28T02:03:10"/>
    <s v="https://etrain.info/train/Coimbatore-Express-11013/history?d=1y"/>
  </r>
  <r>
    <x v="0"/>
    <s v="Coimbatore Express"/>
    <s v="HSRA"/>
    <x v="24"/>
    <n v="0"/>
    <n v="10"/>
    <n v="70"/>
    <n v="20"/>
    <n v="0"/>
    <d v="2025-09-28T02:03:56"/>
    <s v="https://etrain.info/train/Coimbatore-Express-11013/history?d=1y"/>
  </r>
  <r>
    <x v="0"/>
    <s v="Coimbatore Express"/>
    <s v="GUR"/>
    <x v="25"/>
    <n v="67"/>
    <n v="6.67"/>
    <n v="56.67"/>
    <n v="36.67"/>
    <n v="0"/>
    <d v="2025-09-28T02:03:14"/>
    <s v="https://etrain.info/train/Coimbatore-Express-11013/history?d=1y"/>
  </r>
  <r>
    <x v="0"/>
    <s v="Coimbatore Express"/>
    <s v="KLBG"/>
    <x v="26"/>
    <n v="66"/>
    <n v="6.67"/>
    <n v="56.67"/>
    <n v="36.67"/>
    <n v="0"/>
    <d v="2025-09-28T02:03:17"/>
    <s v="https://etrain.info/train/Coimbatore-Express-11013/history?d=1y"/>
  </r>
  <r>
    <x v="0"/>
    <s v="Coimbatore Express"/>
    <s v="KWV"/>
    <x v="27"/>
    <n v="60"/>
    <n v="3.33"/>
    <n v="70"/>
    <n v="26.67"/>
    <n v="0"/>
    <d v="2025-09-28T02:03:06"/>
    <s v="https://etrain.info/train/Coimbatore-Express-11013/history?d=1y"/>
  </r>
  <r>
    <x v="0"/>
    <s v="Coimbatore Express"/>
    <s v="DPJ"/>
    <x v="28"/>
    <n v="61"/>
    <n v="3.33"/>
    <n v="53.33"/>
    <n v="43.33"/>
    <n v="0.01"/>
    <d v="2025-09-28T02:03:57"/>
    <s v="https://etrain.info/train/Coimbatore-Express-11013/history?d=1y"/>
  </r>
  <r>
    <x v="0"/>
    <s v="Coimbatore Express"/>
    <s v="PUNE"/>
    <x v="29"/>
    <n v="0"/>
    <n v="0"/>
    <n v="80"/>
    <n v="20"/>
    <n v="0"/>
    <d v="2025-09-28T02:03:04"/>
    <s v="https://etrain.info/train/Coimbatore-Express-11013/history?d=1y"/>
  </r>
  <r>
    <x v="1"/>
    <s v="Coimbatore Express"/>
    <s v="CBE"/>
    <x v="0"/>
    <n v="1"/>
    <n v="100"/>
    <n v="0"/>
    <n v="0"/>
    <n v="0"/>
    <d v="2025-09-28T02:04:13"/>
    <s v="https://etrain.info/train/Coimbatore-Express-11014/history?d=1y"/>
  </r>
  <r>
    <x v="1"/>
    <s v="Coimbatore Express"/>
    <s v="ED"/>
    <x v="16"/>
    <n v="9"/>
    <n v="93.33"/>
    <n v="6.67"/>
    <n v="0"/>
    <n v="0"/>
    <d v="2025-09-28T02:04:19"/>
    <s v="https://etrain.info/train/Coimbatore-Express-11014/history?d=1y"/>
  </r>
  <r>
    <x v="1"/>
    <s v="Coimbatore Express"/>
    <s v="DD"/>
    <x v="30"/>
    <n v="8"/>
    <n v="93.33"/>
    <n v="3.33"/>
    <n v="3.33"/>
    <n v="0.01"/>
    <d v="2025-09-28T02:05:22"/>
    <s v="https://etrain.info/train/Coimbatore-Express-11014/history?d=1y"/>
  </r>
  <r>
    <x v="1"/>
    <s v="Coimbatore Express"/>
    <s v="TUP"/>
    <x v="20"/>
    <n v="0"/>
    <n v="83.33"/>
    <n v="16.670000000000002"/>
    <n v="0"/>
    <n v="0"/>
    <d v="2025-09-28T02:04:15"/>
    <s v="https://etrain.info/train/Coimbatore-Express-11014/history?d=1y"/>
  </r>
  <r>
    <x v="1"/>
    <s v="Coimbatore Express"/>
    <s v="SA"/>
    <x v="15"/>
    <n v="14"/>
    <n v="83.33"/>
    <n v="13.33"/>
    <n v="3.33"/>
    <n v="0.01"/>
    <d v="2025-09-28T02:04:21"/>
    <s v="https://etrain.info/train/Coimbatore-Express-11014/history?d=1y"/>
  </r>
  <r>
    <x v="1"/>
    <s v="Coimbatore Express"/>
    <s v="DMM"/>
    <x v="1"/>
    <n v="0"/>
    <n v="80"/>
    <n v="16.670000000000002"/>
    <n v="3.33"/>
    <n v="0"/>
    <d v="2025-09-28T02:04:42"/>
    <s v="https://etrain.info/train/Coimbatore-Express-11014/history?d=1y"/>
  </r>
  <r>
    <x v="1"/>
    <s v="Coimbatore Express"/>
    <s v="WADI"/>
    <x v="5"/>
    <n v="13"/>
    <n v="76.67"/>
    <n v="20"/>
    <n v="3.33"/>
    <n v="0"/>
    <d v="2025-09-28T02:05:01"/>
    <s v="https://etrain.info/train/Coimbatore-Express-11014/history?d=1y"/>
  </r>
  <r>
    <x v="1"/>
    <s v="Coimbatore Express"/>
    <s v="SDB"/>
    <x v="22"/>
    <n v="14"/>
    <n v="73.33"/>
    <n v="23.33"/>
    <n v="3.33"/>
    <n v="0.01"/>
    <d v="2025-09-28T02:05:03"/>
    <s v="https://etrain.info/train/Coimbatore-Express-11014/history?d=1y"/>
  </r>
  <r>
    <x v="1"/>
    <s v="Coimbatore Express"/>
    <s v="ATP"/>
    <x v="12"/>
    <n v="19"/>
    <n v="70"/>
    <n v="26.67"/>
    <n v="3.33"/>
    <n v="0"/>
    <d v="2025-09-28T02:04:46"/>
    <s v="https://etrain.info/train/Coimbatore-Express-11014/history?d=1y"/>
  </r>
  <r>
    <x v="1"/>
    <s v="Coimbatore Express"/>
    <s v="KLBG"/>
    <x v="26"/>
    <n v="19"/>
    <n v="66.67"/>
    <n v="30"/>
    <n v="3.33"/>
    <n v="0"/>
    <d v="2025-09-28T02:05:06"/>
    <s v="https://etrain.info/train/Coimbatore-Express-11014/history?d=1y"/>
  </r>
  <r>
    <x v="1"/>
    <s v="Coimbatore Express"/>
    <s v="SSPN"/>
    <x v="13"/>
    <n v="24"/>
    <n v="60"/>
    <n v="33.33"/>
    <n v="6.67"/>
    <n v="0"/>
    <d v="2025-09-28T02:04:39"/>
    <s v="https://etrain.info/train/Coimbatore-Express-11014/history?d=1y"/>
  </r>
  <r>
    <x v="1"/>
    <s v="Coimbatore Express"/>
    <s v="GUR"/>
    <x v="25"/>
    <n v="20"/>
    <n v="56.67"/>
    <n v="40"/>
    <n v="3.33"/>
    <n v="0"/>
    <d v="2025-09-28T02:05:10"/>
    <s v="https://etrain.info/train/Coimbatore-Express-11014/history?d=1y"/>
  </r>
  <r>
    <x v="1"/>
    <s v="Coimbatore Express"/>
    <s v="LTT"/>
    <x v="3"/>
    <n v="44"/>
    <n v="56.67"/>
    <n v="16.670000000000002"/>
    <n v="26.67"/>
    <n v="0"/>
    <d v="2025-09-28T02:05:33"/>
    <s v="https://etrain.info/train/Coimbatore-Express-11014/history?d=1y"/>
  </r>
  <r>
    <x v="1"/>
    <s v="Coimbatore Express"/>
    <s v="SUR"/>
    <x v="21"/>
    <n v="27"/>
    <n v="50"/>
    <n v="46.67"/>
    <n v="3.33"/>
    <n v="0"/>
    <d v="2025-09-28T02:05:16"/>
    <s v="https://etrain.info/train/Coimbatore-Express-11014/history?d=1y"/>
  </r>
  <r>
    <x v="1"/>
    <s v="Coimbatore Express"/>
    <s v="DPJ"/>
    <x v="28"/>
    <n v="23"/>
    <n v="43.33"/>
    <n v="53.33"/>
    <n v="3.33"/>
    <n v="0.01"/>
    <d v="2025-09-28T02:04:22"/>
    <s v="https://etrain.info/train/Coimbatore-Express-11014/history?d=1y"/>
  </r>
  <r>
    <x v="1"/>
    <s v="Coimbatore Express"/>
    <s v="MALM"/>
    <x v="10"/>
    <n v="32"/>
    <n v="43.33"/>
    <n v="50"/>
    <n v="6.67"/>
    <n v="0"/>
    <d v="2025-09-28T02:04:53"/>
    <s v="https://etrain.info/train/Coimbatore-Express-11014/history?d=1y"/>
  </r>
  <r>
    <x v="1"/>
    <s v="Coimbatore Express"/>
    <s v="RC"/>
    <x v="7"/>
    <n v="0"/>
    <n v="43.33"/>
    <n v="50"/>
    <n v="6.67"/>
    <n v="0"/>
    <d v="2025-09-28T02:04:54"/>
    <s v="https://etrain.info/train/Coimbatore-Express-11014/history?d=1y"/>
  </r>
  <r>
    <x v="1"/>
    <s v="Coimbatore Express"/>
    <s v="PUNE"/>
    <x v="29"/>
    <n v="20"/>
    <n v="43.33"/>
    <n v="53.33"/>
    <n v="3.33"/>
    <n v="0.01"/>
    <d v="2025-09-28T02:05:24"/>
    <s v="https://etrain.info/train/Coimbatore-Express-11014/history?d=1y"/>
  </r>
  <r>
    <x v="1"/>
    <s v="Coimbatore Express"/>
    <s v="DUD"/>
    <x v="23"/>
    <n v="0"/>
    <n v="33.33"/>
    <n v="63.33"/>
    <n v="3.33"/>
    <n v="0"/>
    <d v="2025-09-28T02:05:12"/>
    <s v="https://etrain.info/train/Coimbatore-Express-11014/history?d=1y"/>
  </r>
  <r>
    <x v="1"/>
    <s v="Coimbatore Express"/>
    <s v="BNC"/>
    <x v="19"/>
    <n v="34"/>
    <n v="30"/>
    <n v="63.33"/>
    <n v="6.67"/>
    <n v="0"/>
    <d v="2025-09-28T02:04:28"/>
    <s v="https://etrain.info/train/Coimbatore-Express-11014/history?d=1y"/>
  </r>
  <r>
    <x v="1"/>
    <s v="Coimbatore Express"/>
    <s v="HSRA"/>
    <x v="24"/>
    <n v="31"/>
    <n v="23.33"/>
    <n v="73.33"/>
    <n v="3.33"/>
    <n v="0.01"/>
    <d v="2025-09-28T02:04:24"/>
    <s v="https://etrain.info/train/Coimbatore-Express-11014/history?d=1y"/>
  </r>
  <r>
    <x v="1"/>
    <s v="Coimbatore Express"/>
    <s v="SBC"/>
    <x v="2"/>
    <n v="36"/>
    <n v="23.33"/>
    <n v="63.33"/>
    <n v="13.33"/>
    <n v="0.01"/>
    <d v="2025-09-28T02:04:30"/>
    <s v="https://etrain.info/train/Coimbatore-Express-11014/history?d=1y"/>
  </r>
  <r>
    <x v="1"/>
    <s v="Coimbatore Express"/>
    <s v="AD"/>
    <x v="14"/>
    <n v="40"/>
    <n v="20"/>
    <n v="70"/>
    <n v="10"/>
    <n v="0"/>
    <d v="2025-09-28T02:04:49"/>
    <s v="https://etrain.info/train/Coimbatore-Express-11014/history?d=1y"/>
  </r>
  <r>
    <x v="1"/>
    <s v="Coimbatore Express"/>
    <s v="KWV"/>
    <x v="27"/>
    <n v="37"/>
    <n v="20"/>
    <n v="76.67"/>
    <n v="3.33"/>
    <n v="0"/>
    <d v="2025-09-28T02:05:20"/>
    <s v="https://etrain.info/train/Coimbatore-Express-11014/history?d=1y"/>
  </r>
  <r>
    <x v="1"/>
    <s v="Coimbatore Express"/>
    <s v="HUP"/>
    <x v="17"/>
    <n v="40"/>
    <n v="16.670000000000002"/>
    <n v="70"/>
    <n v="13.33"/>
    <n v="0"/>
    <d v="2025-09-28T02:04:35"/>
    <s v="https://etrain.info/train/Coimbatore-Express-11014/history?d=1y"/>
  </r>
  <r>
    <x v="1"/>
    <s v="Coimbatore Express"/>
    <s v="KSN"/>
    <x v="6"/>
    <n v="45"/>
    <n v="16.670000000000002"/>
    <n v="16.670000000000002"/>
    <n v="6.67"/>
    <n v="59.99"/>
    <d v="2025-09-28T02:04:56"/>
    <s v="https://etrain.info/train/Coimbatore-Express-11014/history?d=1y"/>
  </r>
  <r>
    <x v="1"/>
    <s v="Coimbatore Express"/>
    <s v="YG"/>
    <x v="9"/>
    <n v="39"/>
    <n v="16.670000000000002"/>
    <n v="73.33"/>
    <n v="10"/>
    <n v="0"/>
    <d v="2025-09-28T02:04:58"/>
    <s v="https://etrain.info/train/Coimbatore-Express-11014/history?d=1y"/>
  </r>
  <r>
    <x v="1"/>
    <s v="Coimbatore Express"/>
    <s v="GTL"/>
    <x v="11"/>
    <n v="39"/>
    <n v="10"/>
    <n v="80"/>
    <n v="10"/>
    <n v="0"/>
    <d v="2025-09-28T02:04:47"/>
    <s v="https://etrain.info/train/Coimbatore-Express-11014/history?d=1y"/>
  </r>
  <r>
    <x v="1"/>
    <s v="Coimbatore Express"/>
    <s v="KYN"/>
    <x v="8"/>
    <n v="60"/>
    <n v="10"/>
    <n v="63.33"/>
    <n v="26.67"/>
    <n v="0"/>
    <d v="2025-09-28T02:05:25"/>
    <s v="https://etrain.info/train/Coimbatore-Express-11014/history?d=1y"/>
  </r>
  <r>
    <x v="1"/>
    <s v="Coimbatore Express"/>
    <s v="TNA"/>
    <x v="4"/>
    <n v="61"/>
    <n v="6.67"/>
    <n v="66.67"/>
    <n v="26.67"/>
    <n v="0"/>
    <d v="2025-09-28T02:05:29"/>
    <s v="https://etrain.info/train/Coimbatore-Express-11014/history?d=1y"/>
  </r>
  <r>
    <x v="1"/>
    <s v="Coimbatore Express"/>
    <s v="GBD"/>
    <x v="18"/>
    <n v="50"/>
    <n v="3.33"/>
    <n v="76.67"/>
    <n v="20"/>
    <n v="0"/>
    <d v="2025-09-28T02:04:31"/>
    <s v="https://etrain.info/train/Coimbatore-Express-11014/history?d=1y"/>
  </r>
  <r>
    <x v="2"/>
    <s v="Mumbai Chennai Mail"/>
    <s v="DR"/>
    <x v="31"/>
    <n v="1"/>
    <n v="100"/>
    <n v="0"/>
    <n v="0"/>
    <n v="0"/>
    <d v="2025-09-28T02:05:38"/>
    <s v="https://etrain.info/train/Mumbai-Chennai-Mail-11027/history?d=1y"/>
  </r>
  <r>
    <x v="2"/>
    <s v="Mumbai Chennai Mail"/>
    <s v="TNA"/>
    <x v="4"/>
    <n v="3"/>
    <n v="100"/>
    <n v="0"/>
    <n v="0"/>
    <n v="0"/>
    <d v="2025-09-28T02:05:40"/>
    <s v="https://etrain.info/train/Mumbai-Chennai-Mail-11027/history?d=1y"/>
  </r>
  <r>
    <x v="2"/>
    <s v="Mumbai Chennai Mail"/>
    <s v="STR"/>
    <x v="32"/>
    <n v="2"/>
    <n v="84.62"/>
    <n v="15.38"/>
    <n v="0"/>
    <n v="0"/>
    <d v="2025-09-28T02:06:47"/>
    <s v="https://etrain.info/train/Mumbai-Chennai-Mail-11027/history?d=1y"/>
  </r>
  <r>
    <x v="2"/>
    <s v="Mumbai Chennai Mail"/>
    <s v="MRJ"/>
    <x v="33"/>
    <n v="12"/>
    <n v="76.92"/>
    <n v="23.08"/>
    <n v="0"/>
    <n v="0"/>
    <d v="2025-09-28T02:06:28"/>
    <s v="https://etrain.info/train/Mumbai-Chennai-Mail-11027/history?d=1y"/>
  </r>
  <r>
    <x v="2"/>
    <s v="Mumbai Chennai Mail"/>
    <s v="SLI"/>
    <x v="34"/>
    <n v="16"/>
    <n v="69.23"/>
    <n v="30.77"/>
    <n v="0"/>
    <n v="0"/>
    <d v="2025-09-28T02:06:31"/>
    <s v="https://etrain.info/train/Mumbai-Chennai-Mail-11027/history?d=1y"/>
  </r>
  <r>
    <x v="2"/>
    <s v="Mumbai Chennai Mail"/>
    <s v="KYN"/>
    <x v="8"/>
    <n v="14"/>
    <n v="61.54"/>
    <n v="38.46"/>
    <n v="0"/>
    <n v="0"/>
    <d v="2025-09-28T02:05:42"/>
    <s v="https://etrain.info/train/Mumbai-Chennai-Mail-11027/history?d=1y"/>
  </r>
  <r>
    <x v="2"/>
    <s v="Mumbai Chennai Mail"/>
    <s v="PUNE"/>
    <x v="29"/>
    <n v="21"/>
    <n v="61.54"/>
    <n v="30.77"/>
    <n v="7.69"/>
    <n v="0"/>
    <d v="2025-09-28T02:05:50"/>
    <s v="https://etrain.info/train/Mumbai-Chennai-Mail-11027/history?d=1y"/>
  </r>
  <r>
    <x v="2"/>
    <s v="Mumbai Chennai Mail"/>
    <s v="BVQ"/>
    <x v="35"/>
    <n v="18"/>
    <n v="61.54"/>
    <n v="38.46"/>
    <n v="0"/>
    <n v="0"/>
    <d v="2025-09-28T02:06:33"/>
    <s v="https://etrain.info/train/Mumbai-Chennai-Mail-11027/history?d=1y"/>
  </r>
  <r>
    <x v="2"/>
    <s v="Mumbai Chennai Mail"/>
    <s v="KOV"/>
    <x v="36"/>
    <n v="19"/>
    <n v="61.54"/>
    <n v="38.46"/>
    <n v="0"/>
    <n v="0"/>
    <d v="2025-09-28T02:06:35"/>
    <s v="https://etrain.info/train/Mumbai-Chennai-Mail-11027/history?d=1y"/>
  </r>
  <r>
    <x v="2"/>
    <s v="Mumbai Chennai Mail"/>
    <s v="TKR"/>
    <x v="37"/>
    <n v="21"/>
    <n v="61.54"/>
    <n v="38.46"/>
    <n v="0"/>
    <n v="0"/>
    <d v="2025-09-28T02:06:36"/>
    <s v="https://etrain.info/train/Mumbai-Chennai-Mail-11027/history?d=1y"/>
  </r>
  <r>
    <x v="2"/>
    <s v="Mumbai Chennai Mail"/>
    <s v="LNL"/>
    <x v="38"/>
    <n v="17"/>
    <n v="53.85"/>
    <n v="46.15"/>
    <n v="0"/>
    <n v="0"/>
    <d v="2025-09-28T02:05:43"/>
    <s v="https://etrain.info/train/Mumbai-Chennai-Mail-11027/history?d=1y"/>
  </r>
  <r>
    <x v="2"/>
    <s v="Mumbai Chennai Mail"/>
    <s v="KRD"/>
    <x v="39"/>
    <n v="26"/>
    <n v="46.15"/>
    <n v="46.15"/>
    <n v="7.69"/>
    <n v="0.01"/>
    <d v="2025-09-28T02:06:38"/>
    <s v="https://etrain.info/train/Mumbai-Chennai-Mail-11027/history?d=1y"/>
  </r>
  <r>
    <x v="2"/>
    <s v="Mumbai Chennai Mail"/>
    <s v="CCH"/>
    <x v="40"/>
    <n v="18"/>
    <n v="38.46"/>
    <n v="61.54"/>
    <n v="0"/>
    <n v="0"/>
    <d v="2025-09-28T02:05:46"/>
    <s v="https://etrain.info/train/Mumbai-Chennai-Mail-11027/history?d=1y"/>
  </r>
  <r>
    <x v="2"/>
    <s v="Mumbai Chennai Mail"/>
    <s v="TGN"/>
    <x v="41"/>
    <n v="20"/>
    <n v="30.77"/>
    <n v="69.23"/>
    <n v="0"/>
    <n v="0"/>
    <d v="2025-09-28T02:05:45"/>
    <s v="https://etrain.info/train/Mumbai-Chennai-Mail-11027/history?d=1y"/>
  </r>
  <r>
    <x v="2"/>
    <s v="Mumbai Chennai Mail"/>
    <s v="DD"/>
    <x v="30"/>
    <n v="27"/>
    <n v="23.08"/>
    <n v="69.23"/>
    <n v="7.69"/>
    <n v="0"/>
    <d v="2025-09-28T02:06:00"/>
    <s v="https://etrain.info/train/Mumbai-Chennai-Mail-11027/history?d=1y"/>
  </r>
  <r>
    <x v="2"/>
    <s v="Mumbai Chennai Mail"/>
    <s v="PVR"/>
    <x v="42"/>
    <n v="0"/>
    <n v="23.08"/>
    <n v="69.23"/>
    <n v="7.69"/>
    <n v="0"/>
    <d v="2025-09-28T02:06:14"/>
    <s v="https://etrain.info/train/Mumbai-Chennai-Mail-11027/history?d=1y"/>
  </r>
  <r>
    <x v="2"/>
    <s v="Mumbai Chennai Mail"/>
    <s v="URI"/>
    <x v="43"/>
    <n v="28"/>
    <n v="15.38"/>
    <n v="76.92"/>
    <n v="7.69"/>
    <n v="0.01"/>
    <d v="2025-09-28T02:05:52"/>
    <s v="https://etrain.info/train/Mumbai-Chennai-Mail-11027/history?d=1y"/>
  </r>
  <r>
    <x v="2"/>
    <s v="Mumbai Chennai Mail"/>
    <s v="BGVN"/>
    <x v="44"/>
    <n v="29"/>
    <n v="15.38"/>
    <n v="76.92"/>
    <n v="7.69"/>
    <n v="0.01"/>
    <d v="2025-09-28T02:06:01"/>
    <s v="https://etrain.info/train/Mumbai-Chennai-Mail-11027/history?d=1y"/>
  </r>
  <r>
    <x v="2"/>
    <s v="Mumbai Chennai Mail"/>
    <s v="MSDG"/>
    <x v="45"/>
    <n v="34"/>
    <n v="15.38"/>
    <n v="69.23"/>
    <n v="15.38"/>
    <n v="0.01"/>
    <d v="2025-09-28T02:06:17"/>
    <s v="https://etrain.info/train/Mumbai-Chennai-Mail-11027/history?d=1y"/>
  </r>
  <r>
    <x v="2"/>
    <s v="Mumbai Chennai Mail"/>
    <s v="MSR"/>
    <x v="46"/>
    <n v="29"/>
    <n v="15.38"/>
    <n v="76.92"/>
    <n v="7.69"/>
    <n v="0.01"/>
    <d v="2025-09-28T02:06:40"/>
    <s v="https://etrain.info/train/Mumbai-Chennai-Mail-11027/history?d=1y"/>
  </r>
  <r>
    <x v="2"/>
    <s v="Mumbai Chennai Mail"/>
    <s v="KDG"/>
    <x v="47"/>
    <n v="31"/>
    <n v="7.69"/>
    <n v="84.62"/>
    <n v="7.69"/>
    <n v="0"/>
    <d v="2025-09-28T02:05:56"/>
    <s v="https://etrain.info/train/Mumbai-Chennai-Mail-11027/history?d=1y"/>
  </r>
  <r>
    <x v="2"/>
    <s v="Mumbai Chennai Mail"/>
    <s v="SGLA"/>
    <x v="48"/>
    <n v="35"/>
    <n v="7.69"/>
    <n v="76.92"/>
    <n v="15.38"/>
    <n v="0.01"/>
    <d v="2025-09-28T02:06:16"/>
    <s v="https://etrain.info/train/Mumbai-Chennai-Mail-11027/history?d=1y"/>
  </r>
  <r>
    <x v="2"/>
    <s v="Mumbai Chennai Mail"/>
    <s v="JEUR"/>
    <x v="49"/>
    <n v="41"/>
    <n v="0"/>
    <n v="84.62"/>
    <n v="15.38"/>
    <n v="0"/>
    <d v="2025-09-28T02:06:05"/>
    <s v="https://etrain.info/train/Mumbai-Chennai-Mail-11027/history?d=1y"/>
  </r>
  <r>
    <x v="2"/>
    <s v="Mumbai Chennai Mail"/>
    <s v="KEM"/>
    <x v="50"/>
    <n v="44"/>
    <n v="0"/>
    <n v="84.62"/>
    <n v="15.38"/>
    <n v="0"/>
    <d v="2025-09-28T02:06:09"/>
    <s v="https://etrain.info/train/Mumbai-Chennai-Mail-11027/history?d=1y"/>
  </r>
  <r>
    <x v="2"/>
    <s v="Mumbai Chennai Mail"/>
    <s v="KWV"/>
    <x v="27"/>
    <n v="46"/>
    <n v="0"/>
    <n v="84.62"/>
    <n v="15.38"/>
    <n v="0"/>
    <d v="2025-09-28T02:06:12"/>
    <s v="https://etrain.info/train/Mumbai-Chennai-Mail-11027/history?d=1y"/>
  </r>
  <r>
    <x v="2"/>
    <s v="Mumbai Chennai Mail"/>
    <s v="JTRD"/>
    <x v="51"/>
    <n v="44"/>
    <n v="0"/>
    <n v="84.62"/>
    <n v="15.38"/>
    <n v="0"/>
    <d v="2025-09-28T02:06:21"/>
    <s v="https://etrain.info/train/Mumbai-Chennai-Mail-11027/history?d=1y"/>
  </r>
  <r>
    <x v="2"/>
    <s v="Mumbai Chennai Mail"/>
    <s v="DLGN"/>
    <x v="52"/>
    <n v="51"/>
    <n v="0"/>
    <n v="84.62"/>
    <n v="15.38"/>
    <n v="0"/>
    <d v="2025-09-28T02:06:24"/>
    <s v="https://etrain.info/train/Mumbai-Chennai-Mail-11027/history?d=1y"/>
  </r>
  <r>
    <x v="2"/>
    <s v="Mumbai Chennai Mail"/>
    <s v="KVK"/>
    <x v="53"/>
    <n v="55"/>
    <n v="0"/>
    <n v="76.92"/>
    <n v="23.08"/>
    <n v="0"/>
    <d v="2025-09-28T02:06:26"/>
    <s v="https://etrain.info/train/Mumbai-Chennai-Mail-11027/history?d=1y"/>
  </r>
  <r>
    <x v="2"/>
    <s v="Mumbai Chennai Mail"/>
    <s v="KRG"/>
    <x v="54"/>
    <n v="38"/>
    <n v="0"/>
    <n v="84.62"/>
    <n v="15.38"/>
    <n v="0"/>
    <d v="2025-09-28T02:06:44"/>
    <s v="https://etrain.info/train/Mumbai-Chennai-Mail-11027/history?d=1y"/>
  </r>
  <r>
    <x v="3"/>
    <s v="Mumbai Chennai Mail"/>
    <s v="STR"/>
    <x v="32"/>
    <n v="0"/>
    <n v="100"/>
    <n v="0"/>
    <n v="0"/>
    <n v="0"/>
    <d v="2025-09-28T02:06:53"/>
    <s v="https://etrain.info/train/Mumbai-Chennai-Mail-11028/history?d=1y"/>
  </r>
  <r>
    <x v="3"/>
    <s v="Mumbai Chennai Mail"/>
    <s v="MRJ"/>
    <x v="33"/>
    <n v="0"/>
    <n v="100"/>
    <n v="0"/>
    <n v="0"/>
    <n v="0"/>
    <d v="2025-09-28T02:07:08"/>
    <s v="https://etrain.info/train/Mumbai-Chennai-Mail-11028/history?d=1y"/>
  </r>
  <r>
    <x v="3"/>
    <s v="Mumbai Chennai Mail"/>
    <s v="KVK"/>
    <x v="53"/>
    <n v="8"/>
    <n v="100"/>
    <n v="0"/>
    <n v="0"/>
    <n v="0"/>
    <d v="2025-09-28T02:07:10"/>
    <s v="https://etrain.info/train/Mumbai-Chennai-Mail-11028/history?d=1y"/>
  </r>
  <r>
    <x v="3"/>
    <s v="Mumbai Chennai Mail"/>
    <s v="PVR"/>
    <x v="42"/>
    <n v="5"/>
    <n v="100"/>
    <n v="0"/>
    <n v="0"/>
    <n v="0"/>
    <d v="2025-09-28T02:07:19"/>
    <s v="https://etrain.info/train/Mumbai-Chennai-Mail-11028/history?d=1y"/>
  </r>
  <r>
    <x v="3"/>
    <s v="Mumbai Chennai Mail"/>
    <s v="SLI"/>
    <x v="34"/>
    <n v="6"/>
    <n v="92.31"/>
    <n v="7.69"/>
    <n v="0"/>
    <n v="0"/>
    <d v="2025-09-28T02:07:06"/>
    <s v="https://etrain.info/train/Mumbai-Chennai-Mail-11028/history?d=1y"/>
  </r>
  <r>
    <x v="3"/>
    <s v="Mumbai Chennai Mail"/>
    <s v="DD"/>
    <x v="30"/>
    <n v="6"/>
    <n v="84.62"/>
    <n v="15.38"/>
    <n v="0"/>
    <n v="0"/>
    <d v="2025-09-28T02:07:29"/>
    <s v="https://etrain.info/train/Mumbai-Chennai-Mail-11028/history?d=1y"/>
  </r>
  <r>
    <x v="3"/>
    <s v="Mumbai Chennai Mail"/>
    <s v="KRG"/>
    <x v="54"/>
    <n v="13"/>
    <n v="76.92"/>
    <n v="23.08"/>
    <n v="0"/>
    <n v="0"/>
    <d v="2025-09-28T02:06:55"/>
    <s v="https://etrain.info/train/Mumbai-Chennai-Mail-11028/history?d=1y"/>
  </r>
  <r>
    <x v="3"/>
    <s v="Mumbai Chennai Mail"/>
    <s v="TKR"/>
    <x v="37"/>
    <n v="11"/>
    <n v="76.92"/>
    <n v="23.08"/>
    <n v="0"/>
    <n v="0"/>
    <d v="2025-09-28T02:07:00"/>
    <s v="https://etrain.info/train/Mumbai-Chennai-Mail-11028/history?d=1y"/>
  </r>
  <r>
    <x v="3"/>
    <s v="Mumbai Chennai Mail"/>
    <s v="KOV"/>
    <x v="36"/>
    <n v="8"/>
    <n v="76.92"/>
    <n v="23.08"/>
    <n v="0"/>
    <n v="0"/>
    <d v="2025-09-28T02:07:01"/>
    <s v="https://etrain.info/train/Mumbai-Chennai-Mail-11028/history?d=1y"/>
  </r>
  <r>
    <x v="3"/>
    <s v="Mumbai Chennai Mail"/>
    <s v="BVQ"/>
    <x v="35"/>
    <n v="7"/>
    <n v="76.92"/>
    <n v="23.08"/>
    <n v="0"/>
    <n v="0"/>
    <d v="2025-09-28T02:07:03"/>
    <s v="https://etrain.info/train/Mumbai-Chennai-Mail-11028/history?d=1y"/>
  </r>
  <r>
    <x v="3"/>
    <s v="Mumbai Chennai Mail"/>
    <s v="KDG"/>
    <x v="47"/>
    <n v="10"/>
    <n v="76.92"/>
    <n v="23.08"/>
    <n v="0"/>
    <n v="0"/>
    <d v="2025-09-28T02:07:30"/>
    <s v="https://etrain.info/train/Mumbai-Chennai-Mail-11028/history?d=1y"/>
  </r>
  <r>
    <x v="3"/>
    <s v="Mumbai Chennai Mail"/>
    <s v="LNL"/>
    <x v="38"/>
    <n v="10"/>
    <n v="69.23"/>
    <n v="30.77"/>
    <n v="0"/>
    <n v="0"/>
    <d v="2025-09-28T02:07:41"/>
    <s v="https://etrain.info/train/Mumbai-Chennai-Mail-11028/history?d=1y"/>
  </r>
  <r>
    <x v="3"/>
    <s v="Mumbai Chennai Mail"/>
    <s v="DR"/>
    <x v="31"/>
    <n v="15"/>
    <n v="69.23"/>
    <n v="30.77"/>
    <n v="0"/>
    <n v="0"/>
    <d v="2025-09-28T02:07:48"/>
    <s v="https://etrain.info/train/Mumbai-Chennai-Mail-11028/history?d=1y"/>
  </r>
  <r>
    <x v="3"/>
    <s v="Mumbai Chennai Mail"/>
    <s v="DLGN"/>
    <x v="52"/>
    <n v="0"/>
    <n v="61.54"/>
    <n v="38.46"/>
    <n v="0"/>
    <n v="0"/>
    <d v="2025-09-28T02:07:12"/>
    <s v="https://etrain.info/train/Mumbai-Chennai-Mail-11028/history?d=1y"/>
  </r>
  <r>
    <x v="3"/>
    <s v="Mumbai Chennai Mail"/>
    <s v="URI"/>
    <x v="43"/>
    <n v="15"/>
    <n v="61.54"/>
    <n v="38.46"/>
    <n v="0"/>
    <n v="0"/>
    <d v="2025-09-28T02:07:32"/>
    <s v="https://etrain.info/train/Mumbai-Chennai-Mail-11028/history?d=1y"/>
  </r>
  <r>
    <x v="3"/>
    <s v="Mumbai Chennai Mail"/>
    <s v="PUNE"/>
    <x v="29"/>
    <n v="18"/>
    <n v="53.85"/>
    <n v="46.15"/>
    <n v="0"/>
    <n v="0"/>
    <d v="2025-09-28T02:07:34"/>
    <s v="https://etrain.info/train/Mumbai-Chennai-Mail-11028/history?d=1y"/>
  </r>
  <r>
    <x v="3"/>
    <s v="Mumbai Chennai Mail"/>
    <s v="KRD"/>
    <x v="39"/>
    <n v="19"/>
    <n v="46.15"/>
    <n v="53.85"/>
    <n v="0"/>
    <n v="0"/>
    <d v="2025-09-28T02:06:58"/>
    <s v="https://etrain.info/train/Mumbai-Chennai-Mail-11028/history?d=1y"/>
  </r>
  <r>
    <x v="3"/>
    <s v="Mumbai Chennai Mail"/>
    <s v="BGVN"/>
    <x v="44"/>
    <n v="13"/>
    <n v="46.15"/>
    <n v="53.85"/>
    <n v="0"/>
    <n v="0"/>
    <d v="2025-09-28T02:07:25"/>
    <s v="https://etrain.info/train/Mumbai-Chennai-Mail-11028/history?d=1y"/>
  </r>
  <r>
    <x v="3"/>
    <s v="Mumbai Chennai Mail"/>
    <s v="KEM"/>
    <x v="50"/>
    <n v="26"/>
    <n v="38.46"/>
    <n v="61.54"/>
    <n v="0"/>
    <n v="0"/>
    <d v="2025-09-28T02:07:22"/>
    <s v="https://etrain.info/train/Mumbai-Chennai-Mail-11028/history?d=1y"/>
  </r>
  <r>
    <x v="3"/>
    <s v="Mumbai Chennai Mail"/>
    <s v="MSR"/>
    <x v="46"/>
    <n v="21"/>
    <n v="30.77"/>
    <n v="69.23"/>
    <n v="0"/>
    <n v="0"/>
    <d v="2025-09-28T02:06:56"/>
    <s v="https://etrain.info/train/Mumbai-Chennai-Mail-11028/history?d=1y"/>
  </r>
  <r>
    <x v="3"/>
    <s v="Mumbai Chennai Mail"/>
    <s v="JTRD"/>
    <x v="51"/>
    <n v="20"/>
    <n v="30.77"/>
    <n v="69.23"/>
    <n v="0"/>
    <n v="0"/>
    <d v="2025-09-28T02:07:14"/>
    <s v="https://etrain.info/train/Mumbai-Chennai-Mail-11028/history?d=1y"/>
  </r>
  <r>
    <x v="3"/>
    <s v="Mumbai Chennai Mail"/>
    <s v="MSDG"/>
    <x v="45"/>
    <n v="0"/>
    <n v="30.77"/>
    <n v="69.23"/>
    <n v="0"/>
    <n v="0"/>
    <d v="2025-09-28T02:07:16"/>
    <s v="https://etrain.info/train/Mumbai-Chennai-Mail-11028/history?d=1y"/>
  </r>
  <r>
    <x v="3"/>
    <s v="Mumbai Chennai Mail"/>
    <s v="JEUR"/>
    <x v="49"/>
    <n v="30"/>
    <n v="30.77"/>
    <n v="69.23"/>
    <n v="0"/>
    <n v="0"/>
    <d v="2025-09-28T02:07:24"/>
    <s v="https://etrain.info/train/Mumbai-Chennai-Mail-11028/history?d=1y"/>
  </r>
  <r>
    <x v="3"/>
    <s v="Mumbai Chennai Mail"/>
    <s v="KWV"/>
    <x v="27"/>
    <n v="33"/>
    <n v="23.08"/>
    <n v="76.92"/>
    <n v="0"/>
    <n v="0"/>
    <d v="2025-09-28T02:07:20"/>
    <s v="https://etrain.info/train/Mumbai-Chennai-Mail-11028/history?d=1y"/>
  </r>
  <r>
    <x v="3"/>
    <s v="Mumbai Chennai Mail"/>
    <s v="KYN"/>
    <x v="8"/>
    <n v="29"/>
    <n v="23.08"/>
    <n v="76.92"/>
    <n v="0"/>
    <n v="0"/>
    <d v="2025-09-28T02:07:43"/>
    <s v="https://etrain.info/train/Mumbai-Chennai-Mail-11028/history?d=1y"/>
  </r>
  <r>
    <x v="3"/>
    <s v="Mumbai Chennai Mail"/>
    <s v="TNA"/>
    <x v="4"/>
    <n v="29"/>
    <n v="15.38"/>
    <n v="84.62"/>
    <n v="0"/>
    <n v="0"/>
    <d v="2025-09-28T02:07:45"/>
    <s v="https://etrain.info/train/Mumbai-Chennai-Mail-11028/history?d=1y"/>
  </r>
  <r>
    <x v="3"/>
    <s v="Mumbai Chennai Mail"/>
    <s v="SGLA"/>
    <x v="48"/>
    <n v="26"/>
    <n v="7.69"/>
    <n v="92.31"/>
    <n v="0"/>
    <n v="0"/>
    <d v="2025-09-28T02:07:17"/>
    <s v="https://etrain.info/train/Mumbai-Chennai-Mail-11028/history?d=1y"/>
  </r>
  <r>
    <x v="3"/>
    <s v="Mumbai Chennai Mail"/>
    <s v="CCH"/>
    <x v="40"/>
    <n v="0"/>
    <n v="7.69"/>
    <n v="92.31"/>
    <n v="0"/>
    <n v="0"/>
    <d v="2025-09-28T02:07:36"/>
    <s v="https://etrain.info/train/Mumbai-Chennai-Mail-11028/history?d=1y"/>
  </r>
  <r>
    <x v="3"/>
    <s v="Mumbai Chennai Mail"/>
    <s v="TGN"/>
    <x v="41"/>
    <n v="29"/>
    <n v="7.69"/>
    <n v="92.31"/>
    <n v="0"/>
    <n v="0"/>
    <d v="2025-09-28T02:07:38"/>
    <s v="https://etrain.info/train/Mumbai-Chennai-Mail-11028/history?d=1y"/>
  </r>
  <r>
    <x v="4"/>
    <s v="Shatabdi"/>
    <s v="RKMP"/>
    <x v="55"/>
    <n v="3"/>
    <n v="93.33"/>
    <n v="6.67"/>
    <n v="0"/>
    <n v="0"/>
    <d v="2025-09-27T18:49:55"/>
    <s v="https://etrain.info/train/Shatabdi-12001/history?d=1y"/>
  </r>
  <r>
    <x v="4"/>
    <s v="Shatabdi"/>
    <s v="BPL"/>
    <x v="56"/>
    <n v="0"/>
    <n v="93.33"/>
    <n v="6.67"/>
    <n v="0"/>
    <n v="0"/>
    <d v="2025-09-27T18:49:57"/>
    <s v="https://etrain.info/train/Shatabdi-12001/history?d=1y"/>
  </r>
  <r>
    <x v="4"/>
    <s v="Shatabdi"/>
    <s v="BINA"/>
    <x v="57"/>
    <n v="6"/>
    <n v="90"/>
    <n v="6.67"/>
    <n v="3.33"/>
    <n v="0"/>
    <d v="2025-09-27T18:49:58"/>
    <s v="https://etrain.info/train/Shatabdi-12001/history?d=1y"/>
  </r>
  <r>
    <x v="4"/>
    <s v="Shatabdi"/>
    <s v="NDLS"/>
    <x v="58"/>
    <n v="11"/>
    <n v="83.33"/>
    <n v="10"/>
    <n v="6.67"/>
    <n v="0"/>
    <d v="2025-09-27T18:50:22"/>
    <s v="https://etrain.info/train/Shatabdi-12001/history?d=1y"/>
  </r>
  <r>
    <x v="4"/>
    <s v="Shatabdi"/>
    <s v="VGLJ"/>
    <x v="59"/>
    <n v="18"/>
    <n v="80"/>
    <n v="13.33"/>
    <n v="6.67"/>
    <n v="0"/>
    <d v="2025-09-27T18:50:04"/>
    <s v="https://etrain.info/train/Shatabdi-12001/history?d=1y"/>
  </r>
  <r>
    <x v="4"/>
    <s v="Shatabdi"/>
    <s v="DHO"/>
    <x v="60"/>
    <n v="16"/>
    <n v="80"/>
    <n v="13.33"/>
    <n v="6.67"/>
    <n v="0"/>
    <d v="2025-09-27T18:50:13"/>
    <s v="https://etrain.info/train/Shatabdi-12001/history?d=1y"/>
  </r>
  <r>
    <x v="4"/>
    <s v="Shatabdi"/>
    <s v="AGC"/>
    <x v="61"/>
    <n v="17"/>
    <n v="80"/>
    <n v="13.33"/>
    <n v="6.67"/>
    <n v="0"/>
    <d v="2025-09-27T18:50:15"/>
    <s v="https://etrain.info/train/Shatabdi-12001/history?d=1y"/>
  </r>
  <r>
    <x v="4"/>
    <s v="Shatabdi"/>
    <s v="MTJ"/>
    <x v="62"/>
    <n v="22"/>
    <n v="73.33"/>
    <n v="20"/>
    <n v="6.67"/>
    <n v="0"/>
    <d v="2025-09-27T18:50:18"/>
    <s v="https://etrain.info/train/Shatabdi-12001/history?d=1y"/>
  </r>
  <r>
    <x v="4"/>
    <s v="Shatabdi"/>
    <s v="LAR"/>
    <x v="63"/>
    <n v="17"/>
    <n v="70"/>
    <n v="26.67"/>
    <n v="3.33"/>
    <n v="0"/>
    <d v="2025-09-27T18:50:02"/>
    <s v="https://etrain.info/train/Shatabdi-12001/history?d=1y"/>
  </r>
  <r>
    <x v="4"/>
    <s v="Shatabdi"/>
    <s v="GWL"/>
    <x v="64"/>
    <n v="25"/>
    <n v="60"/>
    <n v="33.33"/>
    <n v="6.67"/>
    <n v="0"/>
    <d v="2025-09-27T18:50:08"/>
    <s v="https://etrain.info/train/Shatabdi-12001/history?d=1y"/>
  </r>
  <r>
    <x v="4"/>
    <s v="Shatabdi"/>
    <s v="MRA"/>
    <x v="65"/>
    <n v="28"/>
    <n v="43.33"/>
    <n v="50"/>
    <n v="6.67"/>
    <n v="0"/>
    <d v="2025-09-27T18:50:11"/>
    <s v="https://etrain.info/train/Shatabdi-12001/history?d=1y"/>
  </r>
  <r>
    <x v="5"/>
    <s v="Shatabdi"/>
    <s v="NDLS"/>
    <x v="58"/>
    <n v="1"/>
    <n v="100"/>
    <n v="0"/>
    <n v="0"/>
    <n v="0"/>
    <d v="2025-09-27T18:50:25"/>
    <s v="https://etrain.info/train/Shatabdi-12002/history?d=1y"/>
  </r>
  <r>
    <x v="5"/>
    <s v="Shatabdi"/>
    <s v="BINA"/>
    <x v="57"/>
    <n v="9"/>
    <n v="83.33"/>
    <n v="16.670000000000002"/>
    <n v="0"/>
    <n v="0"/>
    <d v="2025-09-27T18:50:39"/>
    <s v="https://etrain.info/train/Shatabdi-12002/history?d=1y"/>
  </r>
  <r>
    <x v="5"/>
    <s v="Shatabdi"/>
    <s v="RKMP"/>
    <x v="55"/>
    <n v="3"/>
    <n v="83.33"/>
    <n v="16.670000000000002"/>
    <n v="0"/>
    <n v="0"/>
    <d v="2025-09-27T18:50:42"/>
    <s v="https://etrain.info/train/Shatabdi-12002/history?d=1y"/>
  </r>
  <r>
    <x v="5"/>
    <s v="Shatabdi"/>
    <s v="VGLJ"/>
    <x v="59"/>
    <n v="0"/>
    <n v="80"/>
    <n v="20"/>
    <n v="0"/>
    <n v="0"/>
    <d v="2025-09-27T18:50:35"/>
    <s v="https://etrain.info/train/Shatabdi-12002/history?d=1y"/>
  </r>
  <r>
    <x v="5"/>
    <s v="Shatabdi"/>
    <s v="DHO"/>
    <x v="60"/>
    <n v="14"/>
    <n v="66.67"/>
    <n v="33.33"/>
    <n v="0"/>
    <n v="0"/>
    <d v="2025-09-27T18:50:30"/>
    <s v="https://etrain.info/train/Shatabdi-12002/history?d=1y"/>
  </r>
  <r>
    <x v="5"/>
    <s v="Shatabdi"/>
    <s v="BPL"/>
    <x v="56"/>
    <n v="13"/>
    <n v="66.67"/>
    <n v="33.33"/>
    <n v="0"/>
    <n v="0"/>
    <d v="2025-09-27T18:50:41"/>
    <s v="https://etrain.info/train/Shatabdi-12002/history?d=1y"/>
  </r>
  <r>
    <x v="5"/>
    <s v="Shatabdi"/>
    <s v="LAR"/>
    <x v="63"/>
    <n v="0"/>
    <n v="53.33"/>
    <n v="46.67"/>
    <n v="0"/>
    <n v="0"/>
    <d v="2025-09-27T18:50:37"/>
    <s v="https://etrain.info/train/Shatabdi-12002/history?d=1y"/>
  </r>
  <r>
    <x v="5"/>
    <s v="Shatabdi"/>
    <s v="MRA"/>
    <x v="65"/>
    <n v="17"/>
    <n v="46.67"/>
    <n v="53.33"/>
    <n v="0"/>
    <n v="0"/>
    <d v="2025-09-27T18:50:32"/>
    <s v="https://etrain.info/train/Shatabdi-12002/history?d=1y"/>
  </r>
  <r>
    <x v="5"/>
    <s v="Shatabdi"/>
    <s v="MTJ"/>
    <x v="62"/>
    <n v="17"/>
    <n v="40"/>
    <n v="60"/>
    <n v="0"/>
    <n v="0"/>
    <d v="2025-09-27T18:50:27"/>
    <s v="https://etrain.info/train/Shatabdi-12002/history?d=1y"/>
  </r>
  <r>
    <x v="5"/>
    <s v="Shatabdi"/>
    <s v="GWL"/>
    <x v="64"/>
    <n v="0"/>
    <n v="36.67"/>
    <n v="63.33"/>
    <n v="0"/>
    <n v="0"/>
    <d v="2025-09-27T18:50:34"/>
    <s v="https://etrain.info/train/Shatabdi-12002/history?d=1y"/>
  </r>
  <r>
    <x v="5"/>
    <s v="Shatabdi"/>
    <s v="AGC"/>
    <x v="61"/>
    <n v="22"/>
    <n v="3.33"/>
    <n v="96.67"/>
    <n v="0"/>
    <n v="0"/>
    <d v="2025-09-27T18:50:28"/>
    <s v="https://etrain.info/train/Shatabdi-12002/history?d=1y"/>
  </r>
  <r>
    <x v="6"/>
    <s v="Shatabdi"/>
    <s v="MMCT"/>
    <x v="66"/>
    <n v="1"/>
    <n v="100"/>
    <n v="0"/>
    <n v="0"/>
    <n v="0"/>
    <d v="2025-09-28T01:48:57"/>
    <s v="https://etrain.info/train/Shatabdi-12009/history?d=1y"/>
  </r>
  <r>
    <x v="6"/>
    <s v="Shatabdi"/>
    <s v="BRC"/>
    <x v="67"/>
    <n v="7"/>
    <n v="96"/>
    <n v="4"/>
    <n v="0"/>
    <n v="0"/>
    <d v="2025-09-28T01:49:05"/>
    <s v="https://etrain.info/train/Shatabdi-12009/history?d=1y"/>
  </r>
  <r>
    <x v="6"/>
    <s v="Shatabdi"/>
    <s v="ND"/>
    <x v="68"/>
    <n v="7"/>
    <n v="96"/>
    <n v="4"/>
    <n v="0"/>
    <n v="0"/>
    <d v="2025-09-28T01:49:08"/>
    <s v="https://etrain.info/train/Shatabdi-12009/history?d=1y"/>
  </r>
  <r>
    <x v="6"/>
    <s v="Shatabdi"/>
    <s v="ANND"/>
    <x v="69"/>
    <n v="8"/>
    <n v="92"/>
    <n v="8"/>
    <n v="0"/>
    <n v="0"/>
    <d v="2025-09-28T01:49:07"/>
    <s v="https://etrain.info/train/Shatabdi-12009/history?d=1y"/>
  </r>
  <r>
    <x v="6"/>
    <s v="Shatabdi"/>
    <s v="ADI"/>
    <x v="70"/>
    <n v="0"/>
    <n v="92"/>
    <n v="8"/>
    <n v="0"/>
    <n v="0"/>
    <d v="2025-09-28T01:49:10"/>
    <s v="https://etrain.info/train/Shatabdi-12009/history?d=1y"/>
  </r>
  <r>
    <x v="6"/>
    <s v="Shatabdi"/>
    <s v="ST"/>
    <x v="71"/>
    <n v="10"/>
    <n v="84"/>
    <n v="16"/>
    <n v="0"/>
    <n v="0"/>
    <d v="2025-09-28T01:49:02"/>
    <s v="https://etrain.info/train/Shatabdi-12009/history?d=1y"/>
  </r>
  <r>
    <x v="6"/>
    <s v="Shatabdi"/>
    <s v="BVI"/>
    <x v="72"/>
    <n v="13"/>
    <n v="72"/>
    <n v="28"/>
    <n v="0"/>
    <n v="0"/>
    <d v="2025-09-28T01:48:59"/>
    <s v="https://etrain.info/train/Shatabdi-12009/history?d=1y"/>
  </r>
  <r>
    <x v="6"/>
    <s v="Shatabdi"/>
    <s v="BH"/>
    <x v="73"/>
    <n v="13"/>
    <n v="72"/>
    <n v="28"/>
    <n v="0"/>
    <n v="0"/>
    <d v="2025-09-28T01:49:04"/>
    <s v="https://etrain.info/train/Shatabdi-12009/history?d=1y"/>
  </r>
  <r>
    <x v="6"/>
    <s v="Shatabdi"/>
    <s v="VAPI"/>
    <x v="74"/>
    <n v="19"/>
    <n v="16"/>
    <n v="84"/>
    <n v="0"/>
    <n v="0"/>
    <d v="2025-09-28T01:49:00"/>
    <s v="https://etrain.info/train/Shatabdi-12009/history?d=1y"/>
  </r>
  <r>
    <x v="7"/>
    <s v="Shatabdi"/>
    <s v="ADI"/>
    <x v="70"/>
    <n v="0"/>
    <n v="100"/>
    <n v="0"/>
    <n v="0"/>
    <n v="0"/>
    <d v="2025-09-28T01:49:14"/>
    <s v="https://etrain.info/train/Shatabdi-12010/history?d=1y"/>
  </r>
  <r>
    <x v="7"/>
    <s v="Shatabdi"/>
    <s v="BH"/>
    <x v="73"/>
    <n v="0"/>
    <n v="100"/>
    <n v="0"/>
    <n v="0"/>
    <n v="0"/>
    <d v="2025-09-28T01:49:20"/>
    <s v="https://etrain.info/train/Shatabdi-12010/history?d=1y"/>
  </r>
  <r>
    <x v="7"/>
    <s v="Shatabdi"/>
    <s v="ST"/>
    <x v="71"/>
    <n v="3"/>
    <n v="100"/>
    <n v="0"/>
    <n v="0"/>
    <n v="0"/>
    <d v="2025-09-28T01:49:21"/>
    <s v="https://etrain.info/train/Shatabdi-12010/history?d=1y"/>
  </r>
  <r>
    <x v="7"/>
    <s v="Shatabdi"/>
    <s v="VAPI"/>
    <x v="74"/>
    <n v="0"/>
    <n v="100"/>
    <n v="0"/>
    <n v="0"/>
    <n v="0"/>
    <d v="2025-09-28T01:49:23"/>
    <s v="https://etrain.info/train/Shatabdi-12010/history?d=1y"/>
  </r>
  <r>
    <x v="7"/>
    <s v="Shatabdi"/>
    <s v="ANND"/>
    <x v="69"/>
    <n v="5"/>
    <n v="96"/>
    <n v="4"/>
    <n v="0"/>
    <n v="0"/>
    <d v="2025-09-28T01:49:16"/>
    <s v="https://etrain.info/train/Shatabdi-12010/history?d=1y"/>
  </r>
  <r>
    <x v="7"/>
    <s v="Shatabdi"/>
    <s v="BRC"/>
    <x v="67"/>
    <n v="5"/>
    <n v="96"/>
    <n v="4"/>
    <n v="0"/>
    <n v="0"/>
    <d v="2025-09-28T01:49:18"/>
    <s v="https://etrain.info/train/Shatabdi-12010/history?d=1y"/>
  </r>
  <r>
    <x v="7"/>
    <s v="Shatabdi"/>
    <s v="MMCT"/>
    <x v="66"/>
    <n v="2"/>
    <n v="96"/>
    <n v="4"/>
    <n v="0"/>
    <n v="0"/>
    <d v="2025-09-28T01:49:27"/>
    <s v="https://etrain.info/train/Shatabdi-12010/history?d=1y"/>
  </r>
  <r>
    <x v="7"/>
    <s v="Shatabdi"/>
    <s v="ND"/>
    <x v="68"/>
    <n v="9"/>
    <n v="84"/>
    <n v="16"/>
    <n v="0"/>
    <n v="0"/>
    <d v="2025-09-28T01:49:15"/>
    <s v="https://etrain.info/train/Shatabdi-12010/history?d=1y"/>
  </r>
  <r>
    <x v="7"/>
    <s v="Shatabdi"/>
    <s v="BVI"/>
    <x v="72"/>
    <n v="21"/>
    <n v="12"/>
    <n v="88"/>
    <n v="0"/>
    <n v="0"/>
    <d v="2025-09-28T01:49:25"/>
    <s v="https://etrain.info/train/Shatabdi-12010/history?d=1y"/>
  </r>
  <r>
    <x v="8"/>
    <s v="Shatabdi"/>
    <s v="HWH"/>
    <x v="75"/>
    <n v="1"/>
    <n v="100"/>
    <n v="0"/>
    <n v="0"/>
    <n v="0"/>
    <d v="2025-09-28T01:49:31"/>
    <s v="https://etrain.info/train/Shatabdi-12019/history?d=1y"/>
  </r>
  <r>
    <x v="8"/>
    <s v="Shatabdi"/>
    <s v="DHN"/>
    <x v="76"/>
    <n v="3"/>
    <n v="100"/>
    <n v="0"/>
    <n v="0"/>
    <n v="0"/>
    <d v="2025-09-28T01:49:37"/>
    <s v="https://etrain.info/train/Shatabdi-12019/history?d=1y"/>
  </r>
  <r>
    <x v="8"/>
    <s v="Shatabdi"/>
    <s v="BKSC"/>
    <x v="77"/>
    <n v="1"/>
    <n v="100"/>
    <n v="0"/>
    <n v="0"/>
    <n v="0"/>
    <d v="2025-09-28T01:49:40"/>
    <s v="https://etrain.info/train/Shatabdi-12019/history?d=1y"/>
  </r>
  <r>
    <x v="8"/>
    <s v="Shatabdi"/>
    <s v="CRP"/>
    <x v="78"/>
    <n v="4"/>
    <n v="96"/>
    <n v="4"/>
    <n v="0"/>
    <n v="0"/>
    <d v="2025-09-28T01:49:39"/>
    <s v="https://etrain.info/train/Shatabdi-12019/history?d=1y"/>
  </r>
  <r>
    <x v="8"/>
    <s v="Shatabdi"/>
    <s v="RNC"/>
    <x v="79"/>
    <n v="0"/>
    <n v="96"/>
    <n v="4"/>
    <n v="0"/>
    <n v="0"/>
    <d v="2025-09-28T01:49:43"/>
    <s v="https://etrain.info/train/Shatabdi-12019/history?d=1y"/>
  </r>
  <r>
    <x v="8"/>
    <s v="Shatabdi"/>
    <s v="MURI"/>
    <x v="80"/>
    <n v="6"/>
    <n v="92"/>
    <n v="8"/>
    <n v="0"/>
    <n v="0"/>
    <d v="2025-09-28T01:49:42"/>
    <s v="https://etrain.info/train/Shatabdi-12019/history?d=1y"/>
  </r>
  <r>
    <x v="8"/>
    <s v="Shatabdi"/>
    <s v="DGR"/>
    <x v="81"/>
    <n v="12"/>
    <n v="80"/>
    <n v="20"/>
    <n v="0"/>
    <n v="0"/>
    <d v="2025-09-28T01:49:32"/>
    <s v="https://etrain.info/train/Shatabdi-12019/history?d=1y"/>
  </r>
  <r>
    <x v="8"/>
    <s v="Shatabdi"/>
    <s v="RNG"/>
    <x v="82"/>
    <n v="14"/>
    <n v="72"/>
    <n v="28"/>
    <n v="0"/>
    <n v="0"/>
    <d v="2025-09-28T01:49:34"/>
    <s v="https://etrain.info/train/Shatabdi-12019/history?d=1y"/>
  </r>
  <r>
    <x v="8"/>
    <s v="Shatabdi"/>
    <s v="ASN"/>
    <x v="83"/>
    <n v="16"/>
    <n v="64"/>
    <n v="36"/>
    <n v="0"/>
    <n v="0"/>
    <d v="2025-09-28T01:49:36"/>
    <s v="https://etrain.info/train/Shatabdi-12019/history?d=1y"/>
  </r>
  <r>
    <x v="9"/>
    <s v="Shatabdi"/>
    <s v="MURI"/>
    <x v="80"/>
    <n v="0"/>
    <n v="100"/>
    <n v="0"/>
    <n v="0"/>
    <n v="0"/>
    <d v="2025-09-28T01:49:51"/>
    <s v="https://etrain.info/train/Shatabdi-12020/history?d=1y"/>
  </r>
  <r>
    <x v="9"/>
    <s v="Shatabdi"/>
    <s v="RNC"/>
    <x v="79"/>
    <n v="2"/>
    <n v="96"/>
    <n v="4"/>
    <n v="0"/>
    <n v="0"/>
    <d v="2025-09-28T01:49:49"/>
    <s v="https://etrain.info/train/Shatabdi-12020/history?d=1y"/>
  </r>
  <r>
    <x v="9"/>
    <s v="Shatabdi"/>
    <s v="DHN"/>
    <x v="76"/>
    <n v="6"/>
    <n v="92"/>
    <n v="8"/>
    <n v="0"/>
    <n v="0"/>
    <d v="2025-09-28T01:49:56"/>
    <s v="https://etrain.info/train/Shatabdi-12020/history?d=1y"/>
  </r>
  <r>
    <x v="9"/>
    <s v="Shatabdi"/>
    <s v="BKSC"/>
    <x v="77"/>
    <n v="0"/>
    <n v="88"/>
    <n v="12"/>
    <n v="0"/>
    <n v="0"/>
    <d v="2025-09-28T01:49:53"/>
    <s v="https://etrain.info/train/Shatabdi-12020/history?d=1y"/>
  </r>
  <r>
    <x v="9"/>
    <s v="Shatabdi"/>
    <s v="CRP"/>
    <x v="78"/>
    <n v="6"/>
    <n v="88"/>
    <n v="12"/>
    <n v="0"/>
    <n v="0"/>
    <d v="2025-09-28T01:49:55"/>
    <s v="https://etrain.info/train/Shatabdi-12020/history?d=1y"/>
  </r>
  <r>
    <x v="9"/>
    <s v="Shatabdi"/>
    <s v="HWH"/>
    <x v="75"/>
    <n v="7"/>
    <n v="80"/>
    <n v="16"/>
    <n v="4"/>
    <n v="0"/>
    <d v="2025-09-28T01:50:04"/>
    <s v="https://etrain.info/train/Shatabdi-12020/history?d=1y"/>
  </r>
  <r>
    <x v="9"/>
    <s v="Shatabdi"/>
    <s v="ASN"/>
    <x v="83"/>
    <n v="18"/>
    <n v="72"/>
    <n v="24"/>
    <n v="4"/>
    <n v="0"/>
    <d v="2025-09-28T01:49:58"/>
    <s v="https://etrain.info/train/Shatabdi-12020/history?d=1y"/>
  </r>
  <r>
    <x v="9"/>
    <s v="Shatabdi"/>
    <s v="DGR"/>
    <x v="81"/>
    <n v="0"/>
    <n v="72"/>
    <n v="24"/>
    <n v="4"/>
    <n v="0"/>
    <d v="2025-09-28T01:50:02"/>
    <s v="https://etrain.info/train/Shatabdi-12020/history?d=1y"/>
  </r>
  <r>
    <x v="9"/>
    <s v="Shatabdi"/>
    <s v="RNG"/>
    <x v="82"/>
    <n v="15"/>
    <n v="60"/>
    <n v="36"/>
    <n v="4"/>
    <n v="0"/>
    <d v="2025-09-28T01:49:59"/>
    <s v="https://etrain.info/train/Shatabdi-12020/history?d=1y"/>
  </r>
  <r>
    <x v="10"/>
    <s v="Gatimaan Express"/>
    <s v="VGLJ"/>
    <x v="59"/>
    <n v="0"/>
    <n v="100"/>
    <n v="0"/>
    <n v="0"/>
    <n v="0"/>
    <d v="2025-09-28T01:50:12"/>
    <s v="https://etrain.info/train/Gatimaan-Express-12049/history?d=1y"/>
  </r>
  <r>
    <x v="10"/>
    <s v="Gatimaan Express"/>
    <s v="AGC"/>
    <x v="61"/>
    <n v="1"/>
    <n v="100"/>
    <n v="0"/>
    <n v="0"/>
    <n v="0"/>
    <d v="2025-09-28T01:50:18"/>
    <s v="https://etrain.info/train/Gatimaan-Express-12049/history?d=1y"/>
  </r>
  <r>
    <x v="10"/>
    <s v="Gatimaan Express"/>
    <s v="GWL"/>
    <x v="64"/>
    <n v="2"/>
    <n v="96.15"/>
    <n v="3.85"/>
    <n v="0"/>
    <n v="0"/>
    <d v="2025-09-28T01:50:16"/>
    <s v="https://etrain.info/train/Gatimaan-Express-12049/history?d=1y"/>
  </r>
  <r>
    <x v="10"/>
    <s v="Gatimaan Express"/>
    <s v="NZM"/>
    <x v="84"/>
    <n v="0"/>
    <n v="92.31"/>
    <n v="7.69"/>
    <n v="0"/>
    <n v="0"/>
    <d v="2025-09-28T01:50:21"/>
    <s v="https://etrain.info/train/Gatimaan-Express-12049/history?d=1y"/>
  </r>
  <r>
    <x v="11"/>
    <s v="Gatimaan Express"/>
    <s v="NZM"/>
    <x v="84"/>
    <n v="0"/>
    <n v="100"/>
    <n v="0"/>
    <n v="0"/>
    <n v="0"/>
    <d v="2025-09-28T01:50:29"/>
    <s v="https://etrain.info/train/Gatimaan-Express-12050/history?d=1y"/>
  </r>
  <r>
    <x v="11"/>
    <s v="Gatimaan Express"/>
    <s v="VGLJ"/>
    <x v="59"/>
    <n v="2"/>
    <n v="92.31"/>
    <n v="7.69"/>
    <n v="0"/>
    <n v="0"/>
    <d v="2025-09-28T01:50:36"/>
    <s v="https://etrain.info/train/Gatimaan-Express-12050/history?d=1y"/>
  </r>
  <r>
    <x v="11"/>
    <s v="Gatimaan Express"/>
    <s v="AGC"/>
    <x v="61"/>
    <n v="15"/>
    <n v="76.92"/>
    <n v="23.08"/>
    <n v="0"/>
    <n v="0"/>
    <d v="2025-09-28T01:50:30"/>
    <s v="https://etrain.info/train/Gatimaan-Express-12050/history?d=1y"/>
  </r>
  <r>
    <x v="11"/>
    <s v="Gatimaan Express"/>
    <s v="GWL"/>
    <x v="64"/>
    <n v="19"/>
    <n v="42.31"/>
    <n v="57.69"/>
    <n v="0"/>
    <n v="0"/>
    <d v="2025-09-28T01:50:32"/>
    <s v="https://etrain.info/train/Gatimaan-Express-12050/history?d=1y"/>
  </r>
  <r>
    <x v="12"/>
    <s v="Punjab Mail"/>
    <s v="CSMT"/>
    <x v="85"/>
    <n v="12"/>
    <n v="96.16"/>
    <n v="0.82"/>
    <n v="3.01"/>
    <n v="0.01"/>
    <d v="2025-09-28T01:31:21"/>
    <s v="https://etrain.info/train/Punjab-Mail-12137/history?d=1y"/>
  </r>
  <r>
    <x v="12"/>
    <s v="Punjab Mail"/>
    <s v="DR"/>
    <x v="31"/>
    <n v="17"/>
    <n v="94.52"/>
    <n v="2.4700000000000002"/>
    <n v="3.01"/>
    <n v="0"/>
    <d v="2025-09-28T01:31:25"/>
    <s v="https://etrain.info/train/Punjab-Mail-12137/history?d=1y"/>
  </r>
  <r>
    <x v="12"/>
    <s v="Punjab Mail"/>
    <s v="KNW"/>
    <x v="86"/>
    <n v="16"/>
    <n v="89.32"/>
    <n v="6.85"/>
    <n v="3.84"/>
    <n v="0"/>
    <d v="2025-09-28T01:31:50"/>
    <s v="https://etrain.info/train/Punjab-Mail-12137/history?d=1y"/>
  </r>
  <r>
    <x v="12"/>
    <s v="Punjab Mail"/>
    <s v="ET"/>
    <x v="87"/>
    <n v="16"/>
    <n v="86.03"/>
    <n v="9.32"/>
    <n v="4.66"/>
    <n v="0"/>
    <d v="2025-09-28T01:32:02"/>
    <s v="https://etrain.info/train/Punjab-Mail-12137/history?d=1y"/>
  </r>
  <r>
    <x v="12"/>
    <s v="Punjab Mail"/>
    <s v="BINA"/>
    <x v="57"/>
    <n v="18"/>
    <n v="80.819999999999993"/>
    <n v="12.05"/>
    <n v="7.12"/>
    <n v="0.01"/>
    <d v="2025-09-28T01:32:22"/>
    <s v="https://etrain.info/train/Punjab-Mail-12137/history?d=1y"/>
  </r>
  <r>
    <x v="12"/>
    <s v="Punjab Mail"/>
    <s v="DHO"/>
    <x v="60"/>
    <n v="21"/>
    <n v="79.45"/>
    <n v="12.05"/>
    <n v="8.49"/>
    <n v="0.01"/>
    <d v="2025-09-28T01:32:47"/>
    <s v="https://etrain.info/train/Punjab-Mail-12137/history?d=1y"/>
  </r>
  <r>
    <x v="12"/>
    <s v="Punjab Mail"/>
    <s v="NDPM"/>
    <x v="88"/>
    <n v="19"/>
    <n v="78.900000000000006"/>
    <n v="16.440000000000001"/>
    <n v="4.66"/>
    <n v="0"/>
    <d v="2025-09-28T01:32:06"/>
    <s v="https://etrain.info/train/Punjab-Mail-12137/history?d=1y"/>
  </r>
  <r>
    <x v="12"/>
    <s v="Punjab Mail"/>
    <s v="FDB"/>
    <x v="89"/>
    <n v="26"/>
    <n v="75.89"/>
    <n v="14.52"/>
    <n v="9.59"/>
    <n v="0"/>
    <d v="2025-09-28T01:33:02"/>
    <s v="https://etrain.info/train/Punjab-Mail-12137/history?d=1y"/>
  </r>
  <r>
    <x v="12"/>
    <s v="Punjab Mail"/>
    <s v="KKN"/>
    <x v="90"/>
    <n v="20"/>
    <n v="74.25"/>
    <n v="21.37"/>
    <n v="4.38"/>
    <n v="0"/>
    <d v="2025-09-28T01:31:54"/>
    <s v="https://etrain.info/train/Punjab-Mail-12137/history?d=1y"/>
  </r>
  <r>
    <x v="12"/>
    <s v="Punjab Mail"/>
    <s v="RKMP"/>
    <x v="55"/>
    <n v="19"/>
    <n v="74.25"/>
    <n v="21.1"/>
    <n v="4.66"/>
    <n v="0"/>
    <d v="2025-09-28T01:32:10"/>
    <s v="https://etrain.info/train/Punjab-Mail-12137/history?d=1y"/>
  </r>
  <r>
    <x v="12"/>
    <s v="Punjab Mail"/>
    <s v="AGC"/>
    <x v="61"/>
    <n v="26"/>
    <n v="69.040000000000006"/>
    <n v="21.64"/>
    <n v="9.32"/>
    <n v="0"/>
    <d v="2025-09-28T01:32:51"/>
    <s v="https://etrain.info/train/Punjab-Mail-12137/history?d=1y"/>
  </r>
  <r>
    <x v="12"/>
    <s v="Punjab Mail"/>
    <s v="RKM"/>
    <x v="91"/>
    <n v="28"/>
    <n v="64.11"/>
    <n v="26.3"/>
    <n v="9.59"/>
    <n v="0"/>
    <d v="2025-09-28T01:32:53"/>
    <s v="https://etrain.info/train/Punjab-Mail-12137/history?d=1y"/>
  </r>
  <r>
    <x v="12"/>
    <s v="Punjab Mail"/>
    <s v="VGLJ"/>
    <x v="59"/>
    <n v="30"/>
    <n v="55.07"/>
    <n v="36.99"/>
    <n v="7.95"/>
    <n v="0"/>
    <d v="2025-09-28T01:32:31"/>
    <s v="https://etrain.info/train/Punjab-Mail-12137/history?d=1y"/>
  </r>
  <r>
    <x v="12"/>
    <s v="Punjab Mail"/>
    <s v="FZR"/>
    <x v="92"/>
    <n v="39"/>
    <n v="53.42"/>
    <n v="31.23"/>
    <n v="15.34"/>
    <n v="0.01"/>
    <d v="2025-09-28T01:34:03"/>
    <s v="https://etrain.info/train/Punjab-Mail-12137/history?d=1y"/>
  </r>
  <r>
    <x v="12"/>
    <s v="Punjab Mail"/>
    <s v="BPL"/>
    <x v="56"/>
    <n v="26"/>
    <n v="53.15"/>
    <n v="42.19"/>
    <n v="4.66"/>
    <n v="0"/>
    <d v="2025-09-28T01:32:14"/>
    <s v="https://etrain.info/train/Punjab-Mail-12137/history?d=1y"/>
  </r>
  <r>
    <x v="12"/>
    <s v="Punjab Mail"/>
    <s v="LAR"/>
    <x v="63"/>
    <n v="28"/>
    <n v="53.15"/>
    <n v="38.630000000000003"/>
    <n v="8.2200000000000006"/>
    <n v="0"/>
    <d v="2025-09-28T01:32:26"/>
    <s v="https://etrain.info/train/Punjab-Mail-12137/history?d=1y"/>
  </r>
  <r>
    <x v="12"/>
    <s v="Punjab Mail"/>
    <s v="NZM"/>
    <x v="84"/>
    <n v="36"/>
    <n v="50.41"/>
    <n v="38.36"/>
    <n v="11.23"/>
    <n v="0"/>
    <d v="2025-09-28T01:33:07"/>
    <s v="https://etrain.info/train/Punjab-Mail-12137/history?d=1y"/>
  </r>
  <r>
    <x v="12"/>
    <s v="Punjab Mail"/>
    <s v="HD"/>
    <x v="93"/>
    <n v="28"/>
    <n v="44.93"/>
    <n v="49.32"/>
    <n v="5.75"/>
    <n v="0"/>
    <d v="2025-09-28T01:31:56"/>
    <s v="https://etrain.info/train/Punjab-Mail-12137/history?d=1y"/>
  </r>
  <r>
    <x v="12"/>
    <s v="Punjab Mail"/>
    <s v="BTI"/>
    <x v="94"/>
    <n v="49"/>
    <n v="40.549999999999997"/>
    <n v="39.450000000000003"/>
    <n v="20"/>
    <n v="0"/>
    <d v="2025-09-28T01:33:48"/>
    <s v="https://etrain.info/train/Punjab-Mail-12137/history?d=1y"/>
  </r>
  <r>
    <x v="12"/>
    <s v="Punjab Mail"/>
    <s v="DAA"/>
    <x v="95"/>
    <n v="35"/>
    <n v="40.270000000000003"/>
    <n v="49.59"/>
    <n v="10.14"/>
    <n v="0"/>
    <d v="2025-09-28T01:32:35"/>
    <s v="https://etrain.info/train/Punjab-Mail-12137/history?d=1y"/>
  </r>
  <r>
    <x v="12"/>
    <s v="Punjab Mail"/>
    <s v="KSRA"/>
    <x v="96"/>
    <n v="27"/>
    <n v="39.729999999999997"/>
    <n v="55.89"/>
    <n v="3.84"/>
    <n v="0.54"/>
    <d v="2025-09-28T01:31:28"/>
    <s v="https://etrain.info/train/Punjab-Mail-12137/history?d=1y"/>
  </r>
  <r>
    <x v="12"/>
    <s v="Punjab Mail"/>
    <s v="BAB"/>
    <x v="97"/>
    <n v="35"/>
    <n v="38.08"/>
    <n v="52.88"/>
    <n v="9.0399999999999991"/>
    <n v="0"/>
    <d v="2025-09-28T01:32:27"/>
    <s v="https://etrain.info/train/Punjab-Mail-12137/history?d=1y"/>
  </r>
  <r>
    <x v="12"/>
    <s v="Punjab Mail"/>
    <s v="NDLS"/>
    <x v="58"/>
    <n v="43"/>
    <n v="35.07"/>
    <n v="51.51"/>
    <n v="13.42"/>
    <n v="0"/>
    <d v="2025-09-28T01:33:10"/>
    <s v="https://etrain.info/train/Punjab-Mail-12137/history?d=1y"/>
  </r>
  <r>
    <x v="12"/>
    <s v="Punjab Mail"/>
    <s v="GNA"/>
    <x v="98"/>
    <n v="57"/>
    <n v="30.14"/>
    <n v="45.21"/>
    <n v="24.66"/>
    <n v="0"/>
    <d v="2025-09-28T01:33:52"/>
    <s v="https://etrain.info/train/Punjab-Mail-12137/history?d=1y"/>
  </r>
  <r>
    <x v="12"/>
    <s v="Punjab Mail"/>
    <s v="BSL"/>
    <x v="99"/>
    <n v="35"/>
    <n v="29.04"/>
    <n v="64.38"/>
    <n v="6.58"/>
    <n v="0"/>
    <d v="2025-09-28T01:31:42"/>
    <s v="https://etrain.info/train/Punjab-Mail-12137/history?d=1y"/>
  </r>
  <r>
    <x v="12"/>
    <s v="Punjab Mail"/>
    <s v="MMR"/>
    <x v="100"/>
    <n v="33"/>
    <n v="28.49"/>
    <n v="66.03"/>
    <n v="5.21"/>
    <n v="0.27"/>
    <d v="2025-09-28T01:31:33"/>
    <s v="https://etrain.info/train/Punjab-Mail-12137/history?d=1y"/>
  </r>
  <r>
    <x v="12"/>
    <s v="Punjab Mail"/>
    <s v="GJUT"/>
    <x v="101"/>
    <n v="0"/>
    <n v="27.67"/>
    <n v="45.75"/>
    <n v="26.58"/>
    <n v="0"/>
    <d v="2025-09-28T01:33:55"/>
    <s v="https://etrain.info/train/Punjab-Mail-12137/history?d=1y"/>
  </r>
  <r>
    <x v="12"/>
    <s v="Punjab Mail"/>
    <s v="NK"/>
    <x v="102"/>
    <n v="0"/>
    <n v="26.3"/>
    <n v="67.67"/>
    <n v="5.48"/>
    <n v="0.55000000000000004"/>
    <d v="2025-09-28T01:31:31"/>
    <s v="https://etrain.info/train/Punjab-Mail-12137/history?d=1y"/>
  </r>
  <r>
    <x v="12"/>
    <s v="Punjab Mail"/>
    <s v="BAU"/>
    <x v="103"/>
    <n v="35"/>
    <n v="26.3"/>
    <n v="67.12"/>
    <n v="6.58"/>
    <n v="0"/>
    <d v="2025-09-28T01:31:45"/>
    <s v="https://etrain.info/train/Punjab-Mail-12137/history?d=1y"/>
  </r>
  <r>
    <x v="12"/>
    <s v="Punjab Mail"/>
    <s v="KKP"/>
    <x v="104"/>
    <n v="0"/>
    <n v="25.75"/>
    <n v="43.56"/>
    <n v="30.68"/>
    <n v="0"/>
    <d v="2025-09-28T01:33:57"/>
    <s v="https://etrain.info/train/Punjab-Mail-12137/history?d=1y"/>
  </r>
  <r>
    <x v="12"/>
    <s v="Punjab Mail"/>
    <s v="FDK"/>
    <x v="105"/>
    <n v="66"/>
    <n v="25.21"/>
    <n v="40.270000000000003"/>
    <n v="34.520000000000003"/>
    <n v="0"/>
    <d v="2025-09-28T01:34:01"/>
    <s v="https://etrain.info/train/Punjab-Mail-12137/history?d=1y"/>
  </r>
  <r>
    <x v="12"/>
    <s v="Punjab Mail"/>
    <s v="DBA"/>
    <x v="106"/>
    <n v="0"/>
    <n v="24.93"/>
    <n v="63.56"/>
    <n v="11.51"/>
    <n v="0"/>
    <d v="2025-09-28T01:32:39"/>
    <s v="https://etrain.info/train/Punjab-Mail-12137/history?d=1y"/>
  </r>
  <r>
    <x v="12"/>
    <s v="Punjab Mail"/>
    <s v="KYN"/>
    <x v="8"/>
    <n v="29"/>
    <n v="22.19"/>
    <n v="73.97"/>
    <n v="3.56"/>
    <n v="0.28000000000000003"/>
    <d v="2025-09-28T01:31:27"/>
    <s v="https://etrain.info/train/Punjab-Mail-12137/history?d=1y"/>
  </r>
  <r>
    <x v="12"/>
    <s v="Punjab Mail"/>
    <s v="DKZ"/>
    <x v="107"/>
    <n v="49"/>
    <n v="21.64"/>
    <n v="62.19"/>
    <n v="16.16"/>
    <n v="0.01"/>
    <d v="2025-09-28T01:33:12"/>
    <s v="https://etrain.info/train/Punjab-Mail-12137/history?d=1y"/>
  </r>
  <r>
    <x v="12"/>
    <s v="Punjab Mail"/>
    <s v="MTJ"/>
    <x v="62"/>
    <n v="41"/>
    <n v="21.37"/>
    <n v="65.75"/>
    <n v="12.88"/>
    <n v="0"/>
    <d v="2025-09-28T01:32:56"/>
    <s v="https://etrain.info/train/Punjab-Mail-12137/history?d=1y"/>
  </r>
  <r>
    <x v="12"/>
    <s v="Punjab Mail"/>
    <s v="BHS"/>
    <x v="108"/>
    <n v="37"/>
    <n v="17.809999999999999"/>
    <n v="73.7"/>
    <n v="8.49"/>
    <n v="0"/>
    <d v="2025-09-28T01:32:18"/>
    <s v="https://etrain.info/train/Punjab-Mail-12137/history?d=1y"/>
  </r>
  <r>
    <x v="12"/>
    <s v="Punjab Mail"/>
    <s v="JL"/>
    <x v="109"/>
    <n v="40"/>
    <n v="16.71"/>
    <n v="76.44"/>
    <n v="6.85"/>
    <n v="0"/>
    <d v="2025-09-28T01:31:38"/>
    <s v="https://etrain.info/train/Punjab-Mail-12137/history?d=1y"/>
  </r>
  <r>
    <x v="12"/>
    <s v="Punjab Mail"/>
    <s v="SSB"/>
    <x v="110"/>
    <n v="55"/>
    <n v="14.52"/>
    <n v="62.74"/>
    <n v="22.74"/>
    <n v="0"/>
    <d v="2025-09-28T01:33:16"/>
    <s v="https://etrain.info/train/Punjab-Mail-12137/history?d=1y"/>
  </r>
  <r>
    <x v="12"/>
    <s v="Punjab Mail"/>
    <s v="JHL"/>
    <x v="111"/>
    <n v="62"/>
    <n v="13.42"/>
    <n v="55.07"/>
    <n v="31.51"/>
    <n v="0"/>
    <d v="2025-09-28T01:33:34"/>
    <s v="https://etrain.info/train/Punjab-Mail-12137/history?d=1y"/>
  </r>
  <r>
    <x v="12"/>
    <s v="Punjab Mail"/>
    <s v="CSN"/>
    <x v="112"/>
    <n v="40"/>
    <n v="12.6"/>
    <n v="81.099999999999994"/>
    <n v="6.03"/>
    <n v="0.27"/>
    <d v="2025-09-28T01:31:34"/>
    <s v="https://etrain.info/train/Punjab-Mail-12137/history?d=1y"/>
  </r>
  <r>
    <x v="12"/>
    <s v="Punjab Mail"/>
    <s v="BPF"/>
    <x v="113"/>
    <n v="37"/>
    <n v="12.6"/>
    <n v="80.27"/>
    <n v="7.12"/>
    <n v="0.01"/>
    <d v="2025-09-28T01:31:58"/>
    <s v="https://etrain.info/train/Punjab-Mail-12137/history?d=1y"/>
  </r>
  <r>
    <x v="12"/>
    <s v="Punjab Mail"/>
    <s v="BRZ"/>
    <x v="114"/>
    <n v="64"/>
    <n v="10.41"/>
    <n v="56.16"/>
    <n v="33.42"/>
    <n v="0.01"/>
    <d v="2025-09-28T01:33:36"/>
    <s v="https://etrain.info/train/Punjab-Mail-12137/history?d=1y"/>
  </r>
  <r>
    <x v="12"/>
    <s v="Punjab Mail"/>
    <s v="BLZ"/>
    <x v="115"/>
    <n v="0"/>
    <n v="10.14"/>
    <n v="55.34"/>
    <n v="34.520000000000003"/>
    <n v="0"/>
    <d v="2025-09-28T01:33:38"/>
    <s v="https://etrain.info/train/Punjab-Mail-12137/history?d=1y"/>
  </r>
  <r>
    <x v="12"/>
    <s v="Punjab Mail"/>
    <s v="MSZ"/>
    <x v="116"/>
    <n v="68"/>
    <n v="7.95"/>
    <n v="55.62"/>
    <n v="36.44"/>
    <n v="0"/>
    <d v="2025-09-28T01:33:42"/>
    <s v="https://etrain.info/train/Punjab-Mail-12137/history?d=1y"/>
  </r>
  <r>
    <x v="12"/>
    <s v="Punjab Mail"/>
    <s v="JIND"/>
    <x v="117"/>
    <n v="64"/>
    <n v="7.67"/>
    <n v="62.19"/>
    <n v="30.14"/>
    <n v="0"/>
    <d v="2025-09-28T01:33:26"/>
    <s v="https://etrain.info/train/Punjab-Mail-12137/history?d=1y"/>
  </r>
  <r>
    <x v="12"/>
    <s v="Punjab Mail"/>
    <s v="BAQ"/>
    <x v="118"/>
    <n v="42"/>
    <n v="7.12"/>
    <n v="83.01"/>
    <n v="9.86"/>
    <n v="0.01"/>
    <d v="2025-09-28T01:32:20"/>
    <s v="https://etrain.info/train/Punjab-Mail-12137/history?d=1y"/>
  </r>
  <r>
    <x v="12"/>
    <s v="Punjab Mail"/>
    <s v="NRW"/>
    <x v="119"/>
    <n v="65"/>
    <n v="7.12"/>
    <n v="60.82"/>
    <n v="32.049999999999997"/>
    <n v="0.01"/>
    <d v="2025-09-28T01:33:27"/>
    <s v="https://etrain.info/train/Punjab-Mail-12137/history?d=1y"/>
  </r>
  <r>
    <x v="12"/>
    <s v="Punjab Mail"/>
    <s v="TUN"/>
    <x v="120"/>
    <n v="0"/>
    <n v="7.12"/>
    <n v="59.73"/>
    <n v="33.15"/>
    <n v="0"/>
    <d v="2025-09-28T01:33:30"/>
    <s v="https://etrain.info/train/Punjab-Mail-12137/history?d=1y"/>
  </r>
  <r>
    <x v="12"/>
    <s v="Punjab Mail"/>
    <s v="MAUR"/>
    <x v="121"/>
    <n v="70"/>
    <n v="6.58"/>
    <n v="55.07"/>
    <n v="38.36"/>
    <n v="0"/>
    <d v="2025-09-28T01:33:46"/>
    <s v="https://etrain.info/train/Punjab-Mail-12137/history?d=1y"/>
  </r>
  <r>
    <x v="12"/>
    <s v="Punjab Mail"/>
    <s v="GWL"/>
    <x v="64"/>
    <n v="55"/>
    <n v="5.75"/>
    <n v="79.45"/>
    <n v="14.79"/>
    <n v="0.01"/>
    <d v="2025-09-28T01:32:41"/>
    <s v="https://etrain.info/train/Punjab-Mail-12137/history?d=1y"/>
  </r>
  <r>
    <x v="12"/>
    <s v="Punjab Mail"/>
    <s v="KSV"/>
    <x v="122"/>
    <n v="48"/>
    <n v="4.93"/>
    <n v="81.099999999999994"/>
    <n v="13.97"/>
    <n v="0"/>
    <d v="2025-09-28T01:33:01"/>
    <s v="https://etrain.info/train/Punjab-Mail-12137/history?d=1y"/>
  </r>
  <r>
    <x v="12"/>
    <s v="Punjab Mail"/>
    <s v="BGZ"/>
    <x v="123"/>
    <n v="61"/>
    <n v="4.93"/>
    <n v="67.95"/>
    <n v="27.12"/>
    <n v="0"/>
    <d v="2025-09-28T01:33:20"/>
    <s v="https://etrain.info/train/Punjab-Mail-12137/history?d=1y"/>
  </r>
  <r>
    <x v="12"/>
    <s v="Punjab Mail"/>
    <s v="ROK"/>
    <x v="124"/>
    <n v="64"/>
    <n v="3.84"/>
    <n v="66.03"/>
    <n v="30.14"/>
    <n v="0"/>
    <d v="2025-09-28T01:33:24"/>
    <s v="https://etrain.info/train/Punjab-Mail-12137/history?d=1y"/>
  </r>
  <r>
    <x v="12"/>
    <s v="Punjab Mail"/>
    <s v="MRA"/>
    <x v="65"/>
    <n v="56"/>
    <n v="1.1000000000000001"/>
    <n v="81.64"/>
    <n v="17.260000000000002"/>
    <n v="0"/>
    <d v="2025-09-28T01:32:45"/>
    <s v="https://etrain.info/train/Punjab-Mail-12137/history?d=1y"/>
  </r>
  <r>
    <x v="13"/>
    <s v="Punjab Mail"/>
    <s v="FZR"/>
    <x v="92"/>
    <n v="0"/>
    <n v="98.08"/>
    <n v="1.64"/>
    <n v="0.27"/>
    <n v="0"/>
    <d v="2025-09-28T01:34:21"/>
    <s v="https://etrain.info/train/Punjab-Mail-12138/history?d=1y"/>
  </r>
  <r>
    <x v="13"/>
    <s v="Punjab Mail"/>
    <s v="BTI"/>
    <x v="94"/>
    <n v="6"/>
    <n v="96.71"/>
    <n v="2.74"/>
    <n v="0.55000000000000004"/>
    <n v="0"/>
    <d v="2025-09-28T01:34:39"/>
    <s v="https://etrain.info/train/Punjab-Mail-12138/history?d=1y"/>
  </r>
  <r>
    <x v="13"/>
    <s v="Punjab Mail"/>
    <s v="FDK"/>
    <x v="105"/>
    <n v="12"/>
    <n v="93.15"/>
    <n v="6.58"/>
    <n v="0.27"/>
    <n v="0"/>
    <d v="2025-09-28T01:34:25"/>
    <s v="https://etrain.info/train/Punjab-Mail-12138/history?d=1y"/>
  </r>
  <r>
    <x v="13"/>
    <s v="Punjab Mail"/>
    <s v="MAUR"/>
    <x v="121"/>
    <n v="13"/>
    <n v="90.96"/>
    <n v="8.2200000000000006"/>
    <n v="0.82"/>
    <n v="0"/>
    <d v="2025-09-28T01:34:43"/>
    <s v="https://etrain.info/train/Punjab-Mail-12138/history?d=1y"/>
  </r>
  <r>
    <x v="13"/>
    <s v="Punjab Mail"/>
    <s v="MSZ"/>
    <x v="116"/>
    <n v="15"/>
    <n v="86.58"/>
    <n v="12.6"/>
    <n v="0.82"/>
    <n v="0"/>
    <d v="2025-09-28T01:34:47"/>
    <s v="https://etrain.info/train/Punjab-Mail-12138/history?d=1y"/>
  </r>
  <r>
    <x v="13"/>
    <s v="Punjab Mail"/>
    <s v="GNA"/>
    <x v="98"/>
    <n v="13"/>
    <n v="86.3"/>
    <n v="12.6"/>
    <n v="1.1000000000000001"/>
    <n v="0"/>
    <d v="2025-09-28T01:34:35"/>
    <s v="https://etrain.info/train/Punjab-Mail-12138/history?d=1y"/>
  </r>
  <r>
    <x v="13"/>
    <s v="Punjab Mail"/>
    <s v="GJUT"/>
    <x v="101"/>
    <n v="14"/>
    <n v="86.03"/>
    <n v="13.15"/>
    <n v="0.82"/>
    <n v="0"/>
    <d v="2025-09-28T01:34:32"/>
    <s v="https://etrain.info/train/Punjab-Mail-12138/history?d=1y"/>
  </r>
  <r>
    <x v="13"/>
    <s v="Punjab Mail"/>
    <s v="JHL"/>
    <x v="111"/>
    <n v="15"/>
    <n v="85.75"/>
    <n v="12.33"/>
    <n v="1.92"/>
    <n v="0"/>
    <d v="2025-09-28T01:34:51"/>
    <s v="https://etrain.info/train/Punjab-Mail-12138/history?d=1y"/>
  </r>
  <r>
    <x v="13"/>
    <s v="Punjab Mail"/>
    <s v="BLZ"/>
    <x v="115"/>
    <n v="16"/>
    <n v="84.93"/>
    <n v="13.42"/>
    <n v="1.64"/>
    <n v="0.01"/>
    <d v="2025-09-28T01:34:48"/>
    <s v="https://etrain.info/train/Punjab-Mail-12138/history?d=1y"/>
  </r>
  <r>
    <x v="13"/>
    <s v="Punjab Mail"/>
    <s v="TUN"/>
    <x v="120"/>
    <n v="15"/>
    <n v="84.66"/>
    <n v="12.88"/>
    <n v="2.4700000000000002"/>
    <n v="0"/>
    <d v="2025-09-28T01:34:55"/>
    <s v="https://etrain.info/train/Punjab-Mail-12138/history?d=1y"/>
  </r>
  <r>
    <x v="13"/>
    <s v="Punjab Mail"/>
    <s v="SSB"/>
    <x v="110"/>
    <n v="14"/>
    <n v="81.92"/>
    <n v="13.97"/>
    <n v="4.1100000000000003"/>
    <n v="0"/>
    <d v="2025-09-28T01:35:11"/>
    <s v="https://etrain.info/train/Punjab-Mail-12138/history?d=1y"/>
  </r>
  <r>
    <x v="13"/>
    <s v="Punjab Mail"/>
    <s v="NDLS"/>
    <x v="58"/>
    <n v="15"/>
    <n v="81.64"/>
    <n v="12.88"/>
    <n v="5.48"/>
    <n v="0"/>
    <d v="2025-09-28T01:35:18"/>
    <s v="https://etrain.info/train/Punjab-Mail-12138/history?d=1y"/>
  </r>
  <r>
    <x v="13"/>
    <s v="Punjab Mail"/>
    <s v="BRZ"/>
    <x v="114"/>
    <n v="18"/>
    <n v="79.45"/>
    <n v="18.899999999999999"/>
    <n v="1.64"/>
    <n v="0.01"/>
    <d v="2025-09-28T01:34:50"/>
    <s v="https://etrain.info/train/Punjab-Mail-12138/history?d=1y"/>
  </r>
  <r>
    <x v="13"/>
    <s v="Punjab Mail"/>
    <s v="DKZ"/>
    <x v="107"/>
    <n v="17"/>
    <n v="76.44"/>
    <n v="18.36"/>
    <n v="5.21"/>
    <n v="0"/>
    <d v="2025-09-28T01:35:14"/>
    <s v="https://etrain.info/train/Punjab-Mail-12138/history?d=1y"/>
  </r>
  <r>
    <x v="13"/>
    <s v="Punjab Mail"/>
    <s v="ROK"/>
    <x v="124"/>
    <n v="15"/>
    <n v="75.34"/>
    <n v="20.27"/>
    <n v="4.38"/>
    <n v="0.01"/>
    <d v="2025-09-28T01:35:03"/>
    <s v="https://etrain.info/train/Punjab-Mail-12138/history?d=1y"/>
  </r>
  <r>
    <x v="13"/>
    <s v="Punjab Mail"/>
    <s v="JIND"/>
    <x v="117"/>
    <n v="0"/>
    <n v="73.150000000000006"/>
    <n v="23.01"/>
    <n v="3.84"/>
    <n v="0"/>
    <d v="2025-09-28T01:35:02"/>
    <s v="https://etrain.info/train/Punjab-Mail-12138/history?d=1y"/>
  </r>
  <r>
    <x v="13"/>
    <s v="Punjab Mail"/>
    <s v="KKP"/>
    <x v="104"/>
    <n v="16"/>
    <n v="69.040000000000006"/>
    <n v="30.41"/>
    <n v="0.55000000000000004"/>
    <n v="0"/>
    <d v="2025-09-28T01:34:28"/>
    <s v="https://etrain.info/train/Punjab-Mail-12138/history?d=1y"/>
  </r>
  <r>
    <x v="13"/>
    <s v="Punjab Mail"/>
    <s v="MRA"/>
    <x v="65"/>
    <n v="23"/>
    <n v="69.040000000000006"/>
    <n v="20.82"/>
    <n v="10.14"/>
    <n v="0"/>
    <d v="2025-09-28T01:35:38"/>
    <s v="https://etrain.info/train/Punjab-Mail-12138/history?d=1y"/>
  </r>
  <r>
    <x v="13"/>
    <s v="Punjab Mail"/>
    <s v="BGZ"/>
    <x v="123"/>
    <n v="18"/>
    <n v="67.400000000000006"/>
    <n v="27.4"/>
    <n v="5.21"/>
    <n v="0"/>
    <d v="2025-09-28T01:35:07"/>
    <s v="https://etrain.info/train/Punjab-Mail-12138/history?d=1y"/>
  </r>
  <r>
    <x v="13"/>
    <s v="Punjab Mail"/>
    <s v="FDB"/>
    <x v="89"/>
    <n v="25"/>
    <n v="64.38"/>
    <n v="22.19"/>
    <n v="13.42"/>
    <n v="0.01"/>
    <d v="2025-09-28T01:35:20"/>
    <s v="https://etrain.info/train/Punjab-Mail-12138/history?d=1y"/>
  </r>
  <r>
    <x v="13"/>
    <s v="Punjab Mail"/>
    <s v="KSV"/>
    <x v="122"/>
    <n v="29"/>
    <n v="63.56"/>
    <n v="20"/>
    <n v="16.440000000000001"/>
    <n v="0"/>
    <d v="2025-09-28T01:35:23"/>
    <s v="https://etrain.info/train/Punjab-Mail-12138/history?d=1y"/>
  </r>
  <r>
    <x v="13"/>
    <s v="Punjab Mail"/>
    <s v="VGLJ"/>
    <x v="59"/>
    <n v="27"/>
    <n v="63.56"/>
    <n v="25.21"/>
    <n v="10.96"/>
    <n v="0.27"/>
    <d v="2025-09-28T01:35:45"/>
    <s v="https://etrain.info/train/Punjab-Mail-12138/history?d=1y"/>
  </r>
  <r>
    <x v="13"/>
    <s v="Punjab Mail"/>
    <s v="BINA"/>
    <x v="57"/>
    <n v="34"/>
    <n v="63.01"/>
    <n v="21.64"/>
    <n v="15.34"/>
    <n v="0.01"/>
    <d v="2025-09-28T01:35:50"/>
    <s v="https://etrain.info/train/Punjab-Mail-12138/history?d=1y"/>
  </r>
  <r>
    <x v="13"/>
    <s v="Punjab Mail"/>
    <s v="KNW"/>
    <x v="86"/>
    <n v="39"/>
    <n v="61.37"/>
    <n v="17.53"/>
    <n v="21.1"/>
    <n v="0"/>
    <d v="2025-09-28T01:36:19"/>
    <s v="https://etrain.info/train/Punjab-Mail-12138/history?d=1y"/>
  </r>
  <r>
    <x v="13"/>
    <s v="Punjab Mail"/>
    <s v="CSMT"/>
    <x v="85"/>
    <n v="36"/>
    <n v="61.37"/>
    <n v="17.809999999999999"/>
    <n v="19.73"/>
    <n v="1.0900000000000001"/>
    <d v="2025-09-28T01:36:46"/>
    <s v="https://etrain.info/train/Punjab-Mail-12138/history?d=1y"/>
  </r>
  <r>
    <x v="13"/>
    <s v="Punjab Mail"/>
    <s v="NRW"/>
    <x v="119"/>
    <n v="21"/>
    <n v="57.81"/>
    <n v="38.9"/>
    <n v="3.29"/>
    <n v="0"/>
    <d v="2025-09-28T01:34:59"/>
    <s v="https://etrain.info/train/Punjab-Mail-12138/history?d=1y"/>
  </r>
  <r>
    <x v="13"/>
    <s v="Punjab Mail"/>
    <s v="DHO"/>
    <x v="60"/>
    <n v="27"/>
    <n v="56.71"/>
    <n v="33.700000000000003"/>
    <n v="9.59"/>
    <n v="0"/>
    <d v="2025-09-28T01:35:34"/>
    <s v="https://etrain.info/train/Punjab-Mail-12138/history?d=1y"/>
  </r>
  <r>
    <x v="13"/>
    <s v="Punjab Mail"/>
    <s v="BAU"/>
    <x v="103"/>
    <n v="0"/>
    <n v="56.44"/>
    <n v="21.92"/>
    <n v="21.64"/>
    <n v="0"/>
    <d v="2025-09-28T01:36:22"/>
    <s v="https://etrain.info/train/Punjab-Mail-12138/history?d=1y"/>
  </r>
  <r>
    <x v="13"/>
    <s v="Punjab Mail"/>
    <s v="GWL"/>
    <x v="64"/>
    <n v="0"/>
    <n v="52.05"/>
    <n v="36.44"/>
    <n v="11.51"/>
    <n v="0"/>
    <d v="2025-09-28T01:35:40"/>
    <s v="https://etrain.info/train/Punjab-Mail-12138/history?d=1y"/>
  </r>
  <r>
    <x v="13"/>
    <s v="Punjab Mail"/>
    <s v="BAB"/>
    <x v="97"/>
    <n v="33"/>
    <n v="48.77"/>
    <n v="38.36"/>
    <n v="12.6"/>
    <n v="0.27"/>
    <d v="2025-09-28T01:35:47"/>
    <s v="https://etrain.info/train/Punjab-Mail-12138/history?d=1y"/>
  </r>
  <r>
    <x v="13"/>
    <s v="Punjab Mail"/>
    <s v="KYN"/>
    <x v="8"/>
    <n v="47"/>
    <n v="41.92"/>
    <n v="37.53"/>
    <n v="20.55"/>
    <n v="0"/>
    <d v="2025-09-28T01:36:41"/>
    <s v="https://etrain.info/train/Punjab-Mail-12138/history?d=1y"/>
  </r>
  <r>
    <x v="13"/>
    <s v="Punjab Mail"/>
    <s v="DBA"/>
    <x v="106"/>
    <n v="37"/>
    <n v="38.630000000000003"/>
    <n v="47.95"/>
    <n v="13.15"/>
    <n v="0.27"/>
    <d v="2025-09-28T01:35:42"/>
    <s v="https://etrain.info/train/Punjab-Mail-12138/history?d=1y"/>
  </r>
  <r>
    <x v="13"/>
    <s v="Punjab Mail"/>
    <s v="BPL"/>
    <x v="56"/>
    <n v="0"/>
    <n v="38.36"/>
    <n v="41.64"/>
    <n v="20"/>
    <n v="0"/>
    <d v="2025-09-28T01:35:56"/>
    <s v="https://etrain.info/train/Punjab-Mail-12138/history?d=1y"/>
  </r>
  <r>
    <x v="13"/>
    <s v="Punjab Mail"/>
    <s v="RKMP"/>
    <x v="55"/>
    <n v="46"/>
    <n v="37.26"/>
    <n v="40"/>
    <n v="22.74"/>
    <n v="0"/>
    <d v="2025-09-28T01:36:00"/>
    <s v="https://etrain.info/train/Punjab-Mail-12138/history?d=1y"/>
  </r>
  <r>
    <x v="13"/>
    <s v="Punjab Mail"/>
    <s v="BAQ"/>
    <x v="118"/>
    <n v="43"/>
    <n v="35.89"/>
    <n v="45.75"/>
    <n v="18.36"/>
    <n v="0"/>
    <d v="2025-09-28T01:35:52"/>
    <s v="https://etrain.info/train/Punjab-Mail-12138/history?d=1y"/>
  </r>
  <r>
    <x v="13"/>
    <s v="Punjab Mail"/>
    <s v="JL"/>
    <x v="109"/>
    <n v="49"/>
    <n v="35.619999999999997"/>
    <n v="43.29"/>
    <n v="21.1"/>
    <n v="0"/>
    <d v="2025-09-28T01:36:29"/>
    <s v="https://etrain.info/train/Punjab-Mail-12138/history?d=1y"/>
  </r>
  <r>
    <x v="13"/>
    <s v="Punjab Mail"/>
    <s v="NDPM"/>
    <x v="88"/>
    <n v="49"/>
    <n v="32.880000000000003"/>
    <n v="42.19"/>
    <n v="24.93"/>
    <n v="0"/>
    <d v="2025-09-28T01:36:04"/>
    <s v="https://etrain.info/train/Punjab-Mail-12138/history?d=1y"/>
  </r>
  <r>
    <x v="13"/>
    <s v="Punjab Mail"/>
    <s v="ET"/>
    <x v="87"/>
    <n v="50"/>
    <n v="29.86"/>
    <n v="46.3"/>
    <n v="23.84"/>
    <n v="0"/>
    <d v="2025-09-28T01:36:08"/>
    <s v="https://etrain.info/train/Punjab-Mail-12138/history?d=1y"/>
  </r>
  <r>
    <x v="13"/>
    <s v="Punjab Mail"/>
    <s v="DR"/>
    <x v="31"/>
    <n v="51"/>
    <n v="29.86"/>
    <n v="48.77"/>
    <n v="21.37"/>
    <n v="0"/>
    <d v="2025-09-28T01:36:44"/>
    <s v="https://etrain.info/train/Punjab-Mail-12138/history?d=1y"/>
  </r>
  <r>
    <x v="13"/>
    <s v="Punjab Mail"/>
    <s v="BSL"/>
    <x v="99"/>
    <n v="52"/>
    <n v="28.49"/>
    <n v="49.32"/>
    <n v="22.19"/>
    <n v="0"/>
    <d v="2025-09-28T01:36:25"/>
    <s v="https://etrain.info/train/Punjab-Mail-12138/history?d=1y"/>
  </r>
  <r>
    <x v="13"/>
    <s v="Punjab Mail"/>
    <s v="LAR"/>
    <x v="63"/>
    <n v="43"/>
    <n v="22.47"/>
    <n v="61.37"/>
    <n v="15.89"/>
    <n v="0.27"/>
    <d v="2025-09-28T01:35:48"/>
    <s v="https://etrain.info/train/Punjab-Mail-12138/history?d=1y"/>
  </r>
  <r>
    <x v="13"/>
    <s v="Punjab Mail"/>
    <s v="CSN"/>
    <x v="112"/>
    <n v="57"/>
    <n v="20"/>
    <n v="55.89"/>
    <n v="24.11"/>
    <n v="0"/>
    <d v="2025-09-28T01:36:31"/>
    <s v="https://etrain.info/train/Punjab-Mail-12138/history?d=1y"/>
  </r>
  <r>
    <x v="13"/>
    <s v="Punjab Mail"/>
    <s v="BHS"/>
    <x v="108"/>
    <n v="51"/>
    <n v="14.79"/>
    <n v="64.38"/>
    <n v="20.82"/>
    <n v="0.01"/>
    <d v="2025-09-28T01:35:53"/>
    <s v="https://etrain.info/train/Punjab-Mail-12138/history?d=1y"/>
  </r>
  <r>
    <x v="13"/>
    <s v="Punjab Mail"/>
    <s v="MTJ"/>
    <x v="62"/>
    <n v="42"/>
    <n v="14.52"/>
    <n v="67.400000000000006"/>
    <n v="18.079999999999998"/>
    <n v="0"/>
    <d v="2025-09-28T01:35:25"/>
    <s v="https://etrain.info/train/Punjab-Mail-12138/history?d=1y"/>
  </r>
  <r>
    <x v="13"/>
    <s v="Punjab Mail"/>
    <s v="NK"/>
    <x v="102"/>
    <n v="62"/>
    <n v="10.41"/>
    <n v="63.56"/>
    <n v="26.03"/>
    <n v="0"/>
    <d v="2025-09-28T01:36:37"/>
    <s v="https://etrain.info/train/Punjab-Mail-12138/history?d=1y"/>
  </r>
  <r>
    <x v="13"/>
    <s v="Punjab Mail"/>
    <s v="MMR"/>
    <x v="100"/>
    <n v="65"/>
    <n v="8.77"/>
    <n v="64.66"/>
    <n v="26.58"/>
    <n v="0"/>
    <d v="2025-09-28T01:36:35"/>
    <s v="https://etrain.info/train/Punjab-Mail-12138/history?d=1y"/>
  </r>
  <r>
    <x v="13"/>
    <s v="Punjab Mail"/>
    <s v="DAA"/>
    <x v="95"/>
    <n v="48"/>
    <n v="6.85"/>
    <n v="75.89"/>
    <n v="16.989999999999998"/>
    <n v="0.27"/>
    <d v="2025-09-28T01:35:44"/>
    <s v="https://etrain.info/train/Punjab-Mail-12138/history?d=1y"/>
  </r>
  <r>
    <x v="13"/>
    <s v="Punjab Mail"/>
    <s v="BPF"/>
    <x v="113"/>
    <n v="61"/>
    <n v="5.21"/>
    <n v="67.400000000000006"/>
    <n v="27.4"/>
    <n v="0"/>
    <d v="2025-09-28T01:36:11"/>
    <s v="https://etrain.info/train/Punjab-Mail-12138/history?d=1y"/>
  </r>
  <r>
    <x v="13"/>
    <s v="Punjab Mail"/>
    <s v="AGC"/>
    <x v="61"/>
    <n v="48"/>
    <n v="1.64"/>
    <n v="80"/>
    <n v="18.36"/>
    <n v="0"/>
    <d v="2025-09-28T01:35:31"/>
    <s v="https://etrain.info/train/Punjab-Mail-12138/history?d=1y"/>
  </r>
  <r>
    <x v="13"/>
    <s v="Punjab Mail"/>
    <s v="HD"/>
    <x v="93"/>
    <n v="70"/>
    <n v="1.1000000000000001"/>
    <n v="66.849999999999994"/>
    <n v="32.049999999999997"/>
    <n v="0"/>
    <d v="2025-09-28T01:36:15"/>
    <s v="https://etrain.info/train/Punjab-Mail-12138/history?d=1y"/>
  </r>
  <r>
    <x v="13"/>
    <s v="Punjab Mail"/>
    <s v="RKM"/>
    <x v="91"/>
    <n v="54"/>
    <n v="0.55000000000000004"/>
    <n v="78.08"/>
    <n v="21.37"/>
    <n v="0"/>
    <d v="2025-09-28T01:35:29"/>
    <s v="https://etrain.info/train/Punjab-Mail-12138/history?d=1y"/>
  </r>
  <r>
    <x v="13"/>
    <s v="Punjab Mail"/>
    <s v="KKN"/>
    <x v="90"/>
    <n v="75"/>
    <n v="0"/>
    <n v="63.29"/>
    <n v="36.71"/>
    <n v="0"/>
    <d v="2025-09-28T01:36:17"/>
    <s v="https://etrain.info/train/Punjab-Mail-12138/history?d=1y"/>
  </r>
  <r>
    <x v="14"/>
    <s v="Chennai Express"/>
    <s v="TNA"/>
    <x v="4"/>
    <n v="11"/>
    <n v="90.14"/>
    <n v="6.85"/>
    <n v="3.01"/>
    <n v="0"/>
    <d v="2025-09-27T18:59:01"/>
    <s v="https://etrain.info/train/Chennai-Express-12163/history?d=1y"/>
  </r>
  <r>
    <x v="14"/>
    <s v="Chennai Express"/>
    <s v="MAS"/>
    <x v="125"/>
    <n v="6"/>
    <n v="89.59"/>
    <n v="4.93"/>
    <n v="4.93"/>
    <n v="0.55000000000000004"/>
    <d v="2025-09-27T19:00:14"/>
    <s v="https://etrain.info/train/Chennai-Express-12163/history?d=1y"/>
  </r>
  <r>
    <x v="14"/>
    <s v="Chennai Express"/>
    <s v="LTT"/>
    <x v="3"/>
    <n v="12"/>
    <n v="89.32"/>
    <n v="7.4"/>
    <n v="3.29"/>
    <n v="0"/>
    <d v="2025-09-27T18:58:59"/>
    <s v="https://etrain.info/train/Chennai-Express-12163/history?d=1y"/>
  </r>
  <r>
    <x v="14"/>
    <s v="Chennai Express"/>
    <s v="RU"/>
    <x v="126"/>
    <n v="18"/>
    <n v="73.97"/>
    <n v="20.27"/>
    <n v="5.75"/>
    <n v="0.01"/>
    <d v="2025-09-27T19:00:02"/>
    <s v="https://etrain.info/train/Chennai-Express-12163/history?d=1y"/>
  </r>
  <r>
    <x v="14"/>
    <s v="Chennai Express"/>
    <s v="WADI"/>
    <x v="5"/>
    <n v="18"/>
    <n v="71.510000000000005"/>
    <n v="22.19"/>
    <n v="6.3"/>
    <n v="0"/>
    <d v="2025-09-27T18:59:19"/>
    <s v="https://etrain.info/train/Chennai-Express-12163/history?d=1y"/>
  </r>
  <r>
    <x v="14"/>
    <s v="Chennai Express"/>
    <s v="PUT"/>
    <x v="127"/>
    <n v="19"/>
    <n v="70.14"/>
    <n v="24.11"/>
    <n v="5.75"/>
    <n v="0"/>
    <d v="2025-09-27T19:00:03"/>
    <s v="https://etrain.info/train/Chennai-Express-12163/history?d=1y"/>
  </r>
  <r>
    <x v="14"/>
    <s v="Chennai Express"/>
    <s v="TRT"/>
    <x v="128"/>
    <n v="18"/>
    <n v="69.86"/>
    <n v="24.11"/>
    <n v="6.03"/>
    <n v="0"/>
    <d v="2025-09-27T19:00:07"/>
    <s v="https://etrain.info/train/Chennai-Express-12163/history?d=1y"/>
  </r>
  <r>
    <x v="14"/>
    <s v="Chennai Express"/>
    <s v="HX"/>
    <x v="129"/>
    <n v="22"/>
    <n v="60"/>
    <n v="33.15"/>
    <n v="6.85"/>
    <n v="0"/>
    <d v="2025-09-27T18:59:55"/>
    <s v="https://etrain.info/train/Chennai-Express-12163/history?d=1y"/>
  </r>
  <r>
    <x v="14"/>
    <s v="Chennai Express"/>
    <s v="YG"/>
    <x v="9"/>
    <n v="23"/>
    <n v="59.18"/>
    <n v="33.97"/>
    <n v="6.85"/>
    <n v="0"/>
    <d v="2025-09-27T18:59:23"/>
    <s v="https://etrain.info/train/Chennai-Express-12163/history?d=1y"/>
  </r>
  <r>
    <x v="14"/>
    <s v="Chennai Express"/>
    <s v="TU"/>
    <x v="130"/>
    <n v="23"/>
    <n v="59.18"/>
    <n v="33.700000000000003"/>
    <n v="7.12"/>
    <n v="0"/>
    <d v="2025-09-27T18:59:48"/>
    <s v="https://etrain.info/train/Chennai-Express-12163/history?d=1y"/>
  </r>
  <r>
    <x v="14"/>
    <s v="Chennai Express"/>
    <s v="GY"/>
    <x v="131"/>
    <n v="25"/>
    <n v="56.99"/>
    <n v="34.79"/>
    <n v="8.2200000000000006"/>
    <n v="0"/>
    <d v="2025-09-27T18:59:44"/>
    <s v="https://etrain.info/train/Chennai-Express-12163/history?d=1y"/>
  </r>
  <r>
    <x v="14"/>
    <s v="Chennai Express"/>
    <s v="SADP"/>
    <x v="132"/>
    <n v="24"/>
    <n v="55.62"/>
    <n v="37.81"/>
    <n v="6.58"/>
    <n v="0"/>
    <d v="2025-09-27T18:59:26"/>
    <s v="https://etrain.info/train/Chennai-Express-12163/history?d=1y"/>
  </r>
  <r>
    <x v="14"/>
    <s v="Chennai Express"/>
    <s v="YA"/>
    <x v="133"/>
    <n v="24"/>
    <n v="54.25"/>
    <n v="38.630000000000003"/>
    <n v="7.12"/>
    <n v="0"/>
    <d v="2025-09-27T18:59:52"/>
    <s v="https://etrain.info/train/Chennai-Express-12163/history?d=1y"/>
  </r>
  <r>
    <x v="14"/>
    <s v="Chennai Express"/>
    <s v="GTL"/>
    <x v="11"/>
    <n v="24"/>
    <n v="53.97"/>
    <n v="37.26"/>
    <n v="8.77"/>
    <n v="0"/>
    <d v="2025-09-27T18:59:40"/>
    <s v="https://etrain.info/train/Chennai-Express-12163/history?d=1y"/>
  </r>
  <r>
    <x v="14"/>
    <s v="Chennai Express"/>
    <s v="AD"/>
    <x v="14"/>
    <n v="27"/>
    <n v="45.48"/>
    <n v="47.12"/>
    <n v="7.4"/>
    <n v="0"/>
    <d v="2025-09-27T18:59:36"/>
    <s v="https://etrain.info/train/Chennai-Express-12163/history?d=1y"/>
  </r>
  <r>
    <x v="14"/>
    <s v="Chennai Express"/>
    <s v="RJP"/>
    <x v="134"/>
    <n v="28"/>
    <n v="45.21"/>
    <n v="47.12"/>
    <n v="7.67"/>
    <n v="0"/>
    <d v="2025-09-27T18:59:59"/>
    <s v="https://etrain.info/train/Chennai-Express-12163/history?d=1y"/>
  </r>
  <r>
    <x v="14"/>
    <s v="Chennai Express"/>
    <s v="RC"/>
    <x v="7"/>
    <n v="0"/>
    <n v="44.11"/>
    <n v="47.95"/>
    <n v="7.95"/>
    <n v="0"/>
    <d v="2025-09-27T18:59:29"/>
    <s v="https://etrain.info/train/Chennai-Express-12163/history?d=1y"/>
  </r>
  <r>
    <x v="14"/>
    <s v="Chennai Express"/>
    <s v="KYN"/>
    <x v="8"/>
    <n v="24"/>
    <n v="42.74"/>
    <n v="53.15"/>
    <n v="4.1100000000000003"/>
    <n v="0"/>
    <d v="2025-09-27T18:59:04"/>
    <s v="https://etrain.info/train/Chennai-Express-12163/history?d=1y"/>
  </r>
  <r>
    <x v="14"/>
    <s v="Chennai Express"/>
    <s v="MALM"/>
    <x v="10"/>
    <n v="30"/>
    <n v="39.729999999999997"/>
    <n v="52.05"/>
    <n v="8.2200000000000006"/>
    <n v="0"/>
    <d v="2025-09-27T18:59:33"/>
    <s v="https://etrain.info/train/Chennai-Express-12163/history?d=1y"/>
  </r>
  <r>
    <x v="14"/>
    <s v="Chennai Express"/>
    <s v="SUR"/>
    <x v="21"/>
    <n v="31"/>
    <n v="32.880000000000003"/>
    <n v="58.63"/>
    <n v="8.49"/>
    <n v="0"/>
    <d v="2025-09-27T18:59:13"/>
    <s v="https://etrain.info/train/Chennai-Express-12163/history?d=1y"/>
  </r>
  <r>
    <x v="14"/>
    <s v="Chennai Express"/>
    <s v="AJJ"/>
    <x v="135"/>
    <n v="33"/>
    <n v="26.58"/>
    <n v="66.3"/>
    <n v="7.12"/>
    <n v="0"/>
    <d v="2025-09-27T19:00:11"/>
    <s v="https://etrain.info/train/Chennai-Express-12163/history?d=1y"/>
  </r>
  <r>
    <x v="14"/>
    <s v="Chennai Express"/>
    <s v="PER"/>
    <x v="136"/>
    <n v="44"/>
    <n v="17.809999999999999"/>
    <n v="67.12"/>
    <n v="14.52"/>
    <n v="0.55000000000000004"/>
    <d v="2025-09-27T19:00:13"/>
    <s v="https://etrain.info/train/Chennai-Express-12163/history?d=1y"/>
  </r>
  <r>
    <x v="14"/>
    <s v="Chennai Express"/>
    <s v="KLBG"/>
    <x v="26"/>
    <n v="0"/>
    <n v="17.260000000000002"/>
    <n v="70.959999999999994"/>
    <n v="11.78"/>
    <n v="0"/>
    <d v="2025-09-27T18:59:16"/>
    <s v="https://etrain.info/train/Chennai-Express-12163/history?d=1y"/>
  </r>
  <r>
    <x v="14"/>
    <s v="Chennai Express"/>
    <s v="PUNE"/>
    <x v="29"/>
    <n v="38"/>
    <n v="3.56"/>
    <n v="87.67"/>
    <n v="8.77"/>
    <n v="0"/>
    <d v="2025-09-27T18:59:09"/>
    <s v="https://etrain.info/train/Chennai-Express-12163/history?d=1y"/>
  </r>
  <r>
    <x v="14"/>
    <s v="Chennai Express"/>
    <s v="LNL"/>
    <x v="38"/>
    <n v="35"/>
    <n v="3.01"/>
    <n v="86.3"/>
    <n v="5.21"/>
    <n v="5.48"/>
    <d v="2025-09-27T18:59:06"/>
    <s v="https://etrain.info/train/Chennai-Express-12163/history?d=1y"/>
  </r>
  <r>
    <x v="14"/>
    <s v="Chennai Express"/>
    <s v="KOU"/>
    <x v="137"/>
    <n v="45"/>
    <n v="0"/>
    <n v="3.01"/>
    <n v="0"/>
    <n v="96.99"/>
    <d v="2025-09-27T19:00:00"/>
    <s v="https://etrain.info/train/Chennai-Express-12163/history?d=1y"/>
  </r>
  <r>
    <x v="15"/>
    <s v="Chennai Express"/>
    <s v="MAS"/>
    <x v="125"/>
    <n v="1"/>
    <n v="100"/>
    <n v="0"/>
    <n v="0"/>
    <n v="0"/>
    <d v="2025-09-27T19:00:17"/>
    <s v="https://etrain.info/train/Chennai-Express-12164/history?d=1y"/>
  </r>
  <r>
    <x v="15"/>
    <s v="Chennai Express"/>
    <s v="KLBG"/>
    <x v="26"/>
    <n v="6"/>
    <n v="93.33"/>
    <n v="6.67"/>
    <n v="0"/>
    <n v="0"/>
    <d v="2025-09-27T19:00:56"/>
    <s v="https://etrain.info/train/Chennai-Express-12164/history?d=1y"/>
  </r>
  <r>
    <x v="15"/>
    <s v="Chennai Express"/>
    <s v="WADI"/>
    <x v="5"/>
    <n v="8"/>
    <n v="90"/>
    <n v="6.67"/>
    <n v="3.33"/>
    <n v="0"/>
    <d v="2025-09-27T19:00:52"/>
    <s v="https://etrain.info/train/Chennai-Express-12164/history?d=1y"/>
  </r>
  <r>
    <x v="15"/>
    <s v="Chennai Express"/>
    <s v="LTT"/>
    <x v="3"/>
    <n v="9"/>
    <n v="80"/>
    <n v="16.670000000000002"/>
    <n v="3.33"/>
    <n v="0"/>
    <d v="2025-09-27T19:01:07"/>
    <s v="https://etrain.info/train/Chennai-Express-12164/history?d=1y"/>
  </r>
  <r>
    <x v="15"/>
    <s v="Chennai Express"/>
    <s v="TRT"/>
    <x v="128"/>
    <n v="12"/>
    <n v="76.67"/>
    <n v="23.33"/>
    <n v="0"/>
    <n v="0"/>
    <d v="2025-09-27T19:00:21"/>
    <s v="https://etrain.info/train/Chennai-Express-12164/history?d=1y"/>
  </r>
  <r>
    <x v="15"/>
    <s v="Chennai Express"/>
    <s v="AJJ"/>
    <x v="135"/>
    <n v="13"/>
    <n v="73.33"/>
    <n v="26.67"/>
    <n v="0"/>
    <n v="0"/>
    <d v="2025-09-27T19:00:19"/>
    <s v="https://etrain.info/train/Chennai-Express-12164/history?d=1y"/>
  </r>
  <r>
    <x v="15"/>
    <s v="Chennai Express"/>
    <s v="PUNE"/>
    <x v="29"/>
    <n v="0"/>
    <n v="46.67"/>
    <n v="50"/>
    <n v="3.33"/>
    <n v="0"/>
    <d v="2025-09-27T19:00:59"/>
    <s v="https://etrain.info/train/Chennai-Express-12164/history?d=1y"/>
  </r>
  <r>
    <x v="15"/>
    <s v="Chennai Express"/>
    <s v="SUR"/>
    <x v="21"/>
    <n v="20"/>
    <n v="43.33"/>
    <n v="53.33"/>
    <n v="3.33"/>
    <n v="0.01"/>
    <d v="2025-09-27T19:00:57"/>
    <s v="https://etrain.info/train/Chennai-Express-12164/history?d=1y"/>
  </r>
  <r>
    <x v="15"/>
    <s v="Chennai Express"/>
    <s v="YG"/>
    <x v="9"/>
    <n v="25"/>
    <n v="40"/>
    <n v="53.33"/>
    <n v="6.67"/>
    <n v="0"/>
    <d v="2025-09-27T19:00:50"/>
    <s v="https://etrain.info/train/Chennai-Express-12164/history?d=1y"/>
  </r>
  <r>
    <x v="15"/>
    <s v="Chennai Express"/>
    <s v="PUT"/>
    <x v="127"/>
    <n v="19"/>
    <n v="36.67"/>
    <n v="63.33"/>
    <n v="0"/>
    <n v="0"/>
    <d v="2025-09-27T19:00:22"/>
    <s v="https://etrain.info/train/Chennai-Express-12164/history?d=1y"/>
  </r>
  <r>
    <x v="15"/>
    <s v="Chennai Express"/>
    <s v="SADP"/>
    <x v="132"/>
    <n v="25"/>
    <n v="33.33"/>
    <n v="63.33"/>
    <n v="3.33"/>
    <n v="0.01"/>
    <d v="2025-09-27T19:00:47"/>
    <s v="https://etrain.info/train/Chennai-Express-12164/history?d=1y"/>
  </r>
  <r>
    <x v="15"/>
    <s v="Chennai Express"/>
    <s v="RU"/>
    <x v="126"/>
    <n v="23"/>
    <n v="26.67"/>
    <n v="73.33"/>
    <n v="0"/>
    <n v="0"/>
    <d v="2025-09-27T19:00:24"/>
    <s v="https://etrain.info/train/Chennai-Express-12164/history?d=1y"/>
  </r>
  <r>
    <x v="15"/>
    <s v="Chennai Express"/>
    <s v="KOU"/>
    <x v="137"/>
    <n v="26"/>
    <n v="26.67"/>
    <n v="73.33"/>
    <n v="0"/>
    <n v="0"/>
    <d v="2025-09-27T19:00:26"/>
    <s v="https://etrain.info/train/Chennai-Express-12164/history?d=1y"/>
  </r>
  <r>
    <x v="15"/>
    <s v="Chennai Express"/>
    <s v="HX"/>
    <x v="129"/>
    <n v="0"/>
    <n v="16.670000000000002"/>
    <n v="83.33"/>
    <n v="0"/>
    <n v="0"/>
    <d v="2025-09-27T19:00:29"/>
    <s v="https://etrain.info/train/Chennai-Express-12164/history?d=1y"/>
  </r>
  <r>
    <x v="15"/>
    <s v="Chennai Express"/>
    <s v="YA"/>
    <x v="133"/>
    <n v="32"/>
    <n v="16.670000000000002"/>
    <n v="83.33"/>
    <n v="0"/>
    <n v="0"/>
    <d v="2025-09-27T19:00:31"/>
    <s v="https://etrain.info/train/Chennai-Express-12164/history?d=1y"/>
  </r>
  <r>
    <x v="15"/>
    <s v="Chennai Express"/>
    <s v="GY"/>
    <x v="131"/>
    <n v="27"/>
    <n v="16.670000000000002"/>
    <n v="83.33"/>
    <n v="0"/>
    <n v="0"/>
    <d v="2025-09-27T19:00:34"/>
    <s v="https://etrain.info/train/Chennai-Express-12164/history?d=1y"/>
  </r>
  <r>
    <x v="15"/>
    <s v="Chennai Express"/>
    <s v="TU"/>
    <x v="130"/>
    <n v="30"/>
    <n v="13.33"/>
    <n v="86.67"/>
    <n v="0"/>
    <n v="0"/>
    <d v="2025-09-27T19:00:32"/>
    <s v="https://etrain.info/train/Chennai-Express-12164/history?d=1y"/>
  </r>
  <r>
    <x v="15"/>
    <s v="Chennai Express"/>
    <s v="RC"/>
    <x v="7"/>
    <n v="31"/>
    <n v="10"/>
    <n v="83.33"/>
    <n v="6.67"/>
    <n v="0"/>
    <d v="2025-09-27T19:00:45"/>
    <s v="https://etrain.info/train/Chennai-Express-12164/history?d=1y"/>
  </r>
  <r>
    <x v="15"/>
    <s v="Chennai Express"/>
    <s v="LNL"/>
    <x v="38"/>
    <n v="34"/>
    <n v="10"/>
    <n v="73.33"/>
    <n v="16.670000000000002"/>
    <n v="0"/>
    <d v="2025-09-27T19:01:01"/>
    <s v="https://etrain.info/train/Chennai-Express-12164/history?d=1y"/>
  </r>
  <r>
    <x v="15"/>
    <s v="Chennai Express"/>
    <s v="RJP"/>
    <x v="134"/>
    <n v="34"/>
    <n v="0"/>
    <n v="100"/>
    <n v="0"/>
    <n v="0"/>
    <d v="2025-09-27T19:00:27"/>
    <s v="https://etrain.info/train/Chennai-Express-12164/history?d=1y"/>
  </r>
  <r>
    <x v="15"/>
    <s v="Chennai Express"/>
    <s v="GTL"/>
    <x v="11"/>
    <n v="40"/>
    <n v="0"/>
    <n v="93.33"/>
    <n v="6.67"/>
    <n v="0"/>
    <d v="2025-09-27T19:00:38"/>
    <s v="https://etrain.info/train/Chennai-Express-12164/history?d=1y"/>
  </r>
  <r>
    <x v="15"/>
    <s v="Chennai Express"/>
    <s v="AD"/>
    <x v="14"/>
    <n v="39"/>
    <n v="0"/>
    <n v="90"/>
    <n v="10"/>
    <n v="0"/>
    <d v="2025-09-27T19:00:39"/>
    <s v="https://etrain.info/train/Chennai-Express-12164/history?d=1y"/>
  </r>
  <r>
    <x v="15"/>
    <s v="Chennai Express"/>
    <s v="MALM"/>
    <x v="10"/>
    <n v="0"/>
    <n v="0"/>
    <n v="90"/>
    <n v="10"/>
    <n v="0"/>
    <d v="2025-09-27T19:00:41"/>
    <s v="https://etrain.info/train/Chennai-Express-12164/history?d=1y"/>
  </r>
  <r>
    <x v="15"/>
    <s v="Chennai Express"/>
    <s v="KYN"/>
    <x v="8"/>
    <n v="51"/>
    <n v="0"/>
    <n v="80"/>
    <n v="20"/>
    <n v="0"/>
    <d v="2025-09-27T19:01:02"/>
    <s v="https://etrain.info/train/Chennai-Express-12164/history?d=1y"/>
  </r>
  <r>
    <x v="15"/>
    <s v="Chennai Express"/>
    <s v="TNA"/>
    <x v="4"/>
    <n v="54"/>
    <n v="0"/>
    <n v="76.67"/>
    <n v="23.33"/>
    <n v="0"/>
    <d v="2025-09-27T19:01:04"/>
    <s v="https://etrain.info/train/Chennai-Express-12164/history?d=1y"/>
  </r>
  <r>
    <x v="16"/>
    <s v="Garib Rath"/>
    <s v="LTT"/>
    <x v="3"/>
    <n v="4"/>
    <n v="87.5"/>
    <n v="12.5"/>
    <n v="0"/>
    <n v="0"/>
    <d v="2025-09-28T02:14:49"/>
    <s v="https://etrain.info/train/Garib-Rath-12201/history?d=1y"/>
  </r>
  <r>
    <x v="16"/>
    <s v="Garib Rath"/>
    <s v="TNA"/>
    <x v="4"/>
    <n v="11"/>
    <n v="87.5"/>
    <n v="12.5"/>
    <n v="0"/>
    <n v="0"/>
    <d v="2025-09-28T02:14:51"/>
    <s v="https://etrain.info/train/Garib-Rath-12201/history?d=1y"/>
  </r>
  <r>
    <x v="16"/>
    <s v="Garib Rath"/>
    <s v="TVCN"/>
    <x v="138"/>
    <n v="0"/>
    <n v="87.5"/>
    <n v="12.5"/>
    <n v="0"/>
    <n v="0"/>
    <d v="2025-09-28T02:15:29"/>
    <s v="https://etrain.info/train/Garib-Rath-12201/history?d=1y"/>
  </r>
  <r>
    <x v="16"/>
    <s v="Garib Rath"/>
    <s v="MAJN"/>
    <x v="139"/>
    <n v="0"/>
    <n v="75"/>
    <n v="12.5"/>
    <n v="12.5"/>
    <n v="0"/>
    <d v="2025-09-28T02:15:04"/>
    <s v="https://etrain.info/train/Garib-Rath-12201/history?d=1y"/>
  </r>
  <r>
    <x v="16"/>
    <s v="Garib Rath"/>
    <s v="KGQ"/>
    <x v="140"/>
    <n v="23"/>
    <n v="75"/>
    <n v="12.5"/>
    <n v="12.5"/>
    <n v="0"/>
    <d v="2025-09-28T02:15:05"/>
    <s v="https://etrain.info/train/Garib-Rath-12201/history?d=1y"/>
  </r>
  <r>
    <x v="16"/>
    <s v="Garib Rath"/>
    <s v="CLT"/>
    <x v="141"/>
    <n v="18"/>
    <n v="75"/>
    <n v="12.5"/>
    <n v="12.5"/>
    <n v="0"/>
    <d v="2025-09-28T02:15:09"/>
    <s v="https://etrain.info/train/Garib-Rath-12201/history?d=1y"/>
  </r>
  <r>
    <x v="16"/>
    <s v="Garib Rath"/>
    <s v="SRR"/>
    <x v="142"/>
    <n v="21"/>
    <n v="75"/>
    <n v="12.5"/>
    <n v="12.5"/>
    <n v="0"/>
    <d v="2025-09-28T02:15:12"/>
    <s v="https://etrain.info/train/Garib-Rath-12201/history?d=1y"/>
  </r>
  <r>
    <x v="16"/>
    <s v="Garib Rath"/>
    <s v="TCR"/>
    <x v="143"/>
    <n v="21"/>
    <n v="75"/>
    <n v="12.5"/>
    <n v="12.5"/>
    <n v="0"/>
    <d v="2025-09-28T02:15:14"/>
    <s v="https://etrain.info/train/Garib-Rath-12201/history?d=1y"/>
  </r>
  <r>
    <x v="16"/>
    <s v="Garib Rath"/>
    <s v="KTYM"/>
    <x v="144"/>
    <n v="20"/>
    <n v="75"/>
    <n v="12.5"/>
    <n v="12.5"/>
    <n v="0"/>
    <d v="2025-09-28T02:15:17"/>
    <s v="https://etrain.info/train/Garib-Rath-12201/history?d=1y"/>
  </r>
  <r>
    <x v="16"/>
    <s v="Garib Rath"/>
    <s v="CGY"/>
    <x v="145"/>
    <n v="20"/>
    <n v="75"/>
    <n v="12.5"/>
    <n v="12.5"/>
    <n v="0"/>
    <d v="2025-09-28T02:15:19"/>
    <s v="https://etrain.info/train/Garib-Rath-12201/history?d=1y"/>
  </r>
  <r>
    <x v="16"/>
    <s v="Garib Rath"/>
    <s v="TRVL"/>
    <x v="146"/>
    <n v="0"/>
    <n v="75"/>
    <n v="12.5"/>
    <n v="12.5"/>
    <n v="0"/>
    <d v="2025-09-28T02:15:21"/>
    <s v="https://etrain.info/train/Garib-Rath-12201/history?d=1y"/>
  </r>
  <r>
    <x v="16"/>
    <s v="Garib Rath"/>
    <s v="CNGR"/>
    <x v="147"/>
    <n v="0"/>
    <n v="75"/>
    <n v="12.5"/>
    <n v="12.5"/>
    <n v="0"/>
    <d v="2025-09-28T02:15:23"/>
    <s v="https://etrain.info/train/Garib-Rath-12201/history?d=1y"/>
  </r>
  <r>
    <x v="16"/>
    <s v="Garib Rath"/>
    <s v="KYJ"/>
    <x v="148"/>
    <n v="22"/>
    <n v="75"/>
    <n v="12.5"/>
    <n v="12.5"/>
    <n v="0"/>
    <d v="2025-09-28T02:15:25"/>
    <s v="https://etrain.info/train/Garib-Rath-12201/history?d=1y"/>
  </r>
  <r>
    <x v="16"/>
    <s v="Garib Rath"/>
    <s v="PNVL"/>
    <x v="149"/>
    <n v="13"/>
    <n v="62.5"/>
    <n v="37.5"/>
    <n v="0"/>
    <n v="0"/>
    <d v="2025-09-28T02:14:53"/>
    <s v="https://etrain.info/train/Garib-Rath-12201/history?d=1y"/>
  </r>
  <r>
    <x v="16"/>
    <s v="Garib Rath"/>
    <s v="ERN"/>
    <x v="150"/>
    <n v="0"/>
    <n v="62.5"/>
    <n v="25"/>
    <n v="12.5"/>
    <n v="0"/>
    <d v="2025-09-28T02:15:16"/>
    <s v="https://etrain.info/train/Garib-Rath-12201/history?d=1y"/>
  </r>
  <r>
    <x v="16"/>
    <s v="Garib Rath"/>
    <s v="QLN"/>
    <x v="151"/>
    <n v="0"/>
    <n v="62.5"/>
    <n v="25"/>
    <n v="12.5"/>
    <n v="0"/>
    <d v="2025-09-28T02:15:27"/>
    <s v="https://etrain.info/train/Garib-Rath-12201/history?d=1y"/>
  </r>
  <r>
    <x v="16"/>
    <s v="Garib Rath"/>
    <s v="BYNR"/>
    <x v="152"/>
    <n v="20"/>
    <n v="50"/>
    <n v="37.5"/>
    <n v="12.5"/>
    <n v="0"/>
    <d v="2025-09-28T02:15:00"/>
    <s v="https://etrain.info/train/Garib-Rath-12201/history?d=1y"/>
  </r>
  <r>
    <x v="16"/>
    <s v="Garib Rath"/>
    <s v="UD"/>
    <x v="153"/>
    <n v="24"/>
    <n v="50"/>
    <n v="37.5"/>
    <n v="12.5"/>
    <n v="0"/>
    <d v="2025-09-28T02:15:02"/>
    <s v="https://etrain.info/train/Garib-Rath-12201/history?d=1y"/>
  </r>
  <r>
    <x v="16"/>
    <s v="Garib Rath"/>
    <s v="CAN"/>
    <x v="154"/>
    <n v="26"/>
    <n v="50"/>
    <n v="37.5"/>
    <n v="12.5"/>
    <n v="0"/>
    <d v="2025-09-28T02:15:07"/>
    <s v="https://etrain.info/train/Garib-Rath-12201/history?d=1y"/>
  </r>
  <r>
    <x v="16"/>
    <s v="Garib Rath"/>
    <s v="TIR"/>
    <x v="155"/>
    <n v="23"/>
    <n v="50"/>
    <n v="37.5"/>
    <n v="12.5"/>
    <n v="0"/>
    <d v="2025-09-28T02:15:10"/>
    <s v="https://etrain.info/train/Garib-Rath-12201/history?d=1y"/>
  </r>
  <r>
    <x v="16"/>
    <s v="Garib Rath"/>
    <s v="MAO"/>
    <x v="156"/>
    <n v="41"/>
    <n v="37.5"/>
    <n v="37.5"/>
    <n v="25"/>
    <n v="0"/>
    <d v="2025-09-28T02:14:56"/>
    <s v="https://etrain.info/train/Garib-Rath-12201/history?d=1y"/>
  </r>
  <r>
    <x v="16"/>
    <s v="Garib Rath"/>
    <s v="KAWR"/>
    <x v="157"/>
    <n v="51"/>
    <n v="37.5"/>
    <n v="25"/>
    <n v="37.5"/>
    <n v="0"/>
    <d v="2025-09-28T02:14:57"/>
    <s v="https://etrain.info/train/Garib-Rath-12201/history?d=1y"/>
  </r>
  <r>
    <x v="16"/>
    <s v="Garib Rath"/>
    <s v="ANKL"/>
    <x v="158"/>
    <n v="53"/>
    <n v="37.5"/>
    <n v="25"/>
    <n v="37.5"/>
    <n v="0"/>
    <d v="2025-09-28T02:14:59"/>
    <s v="https://etrain.info/train/Garib-Rath-12201/history?d=1y"/>
  </r>
  <r>
    <x v="16"/>
    <s v="Garib Rath"/>
    <s v="RN"/>
    <x v="159"/>
    <n v="58"/>
    <n v="12.5"/>
    <n v="37.5"/>
    <n v="50"/>
    <n v="0"/>
    <d v="2025-09-28T02:14:54"/>
    <s v="https://etrain.info/train/Garib-Rath-12201/history?d=1y"/>
  </r>
  <r>
    <x v="17"/>
    <s v="Garib Rath"/>
    <s v="TVCN"/>
    <x v="138"/>
    <n v="1"/>
    <n v="100"/>
    <n v="0"/>
    <n v="0"/>
    <n v="0"/>
    <d v="2025-09-28T02:15:36"/>
    <s v="https://etrain.info/train/Garib-Rath-12202/history?d=1y"/>
  </r>
  <r>
    <x v="17"/>
    <s v="Garib Rath"/>
    <s v="QLN"/>
    <x v="151"/>
    <n v="8"/>
    <n v="88.89"/>
    <n v="11.11"/>
    <n v="0"/>
    <n v="0"/>
    <d v="2025-09-28T02:15:37"/>
    <s v="https://etrain.info/train/Garib-Rath-12202/history?d=1y"/>
  </r>
  <r>
    <x v="17"/>
    <s v="Garib Rath"/>
    <s v="KYJ"/>
    <x v="148"/>
    <n v="12"/>
    <n v="77.78"/>
    <n v="22.22"/>
    <n v="0"/>
    <n v="0"/>
    <d v="2025-09-28T02:15:39"/>
    <s v="https://etrain.info/train/Garib-Rath-12202/history?d=1y"/>
  </r>
  <r>
    <x v="17"/>
    <s v="Garib Rath"/>
    <s v="CNGR"/>
    <x v="147"/>
    <n v="14"/>
    <n v="66.67"/>
    <n v="33.33"/>
    <n v="0"/>
    <n v="0"/>
    <d v="2025-09-28T02:15:41"/>
    <s v="https://etrain.info/train/Garib-Rath-12202/history?d=1y"/>
  </r>
  <r>
    <x v="17"/>
    <s v="Garib Rath"/>
    <s v="ERN"/>
    <x v="150"/>
    <n v="11"/>
    <n v="66.67"/>
    <n v="33.33"/>
    <n v="0"/>
    <n v="0"/>
    <d v="2025-09-28T02:15:49"/>
    <s v="https://etrain.info/train/Garib-Rath-12202/history?d=1y"/>
  </r>
  <r>
    <x v="17"/>
    <s v="Garib Rath"/>
    <s v="TRVL"/>
    <x v="146"/>
    <n v="14"/>
    <n v="55.56"/>
    <n v="44.44"/>
    <n v="0"/>
    <n v="0"/>
    <d v="2025-09-28T02:15:43"/>
    <s v="https://etrain.info/train/Garib-Rath-12202/history?d=1y"/>
  </r>
  <r>
    <x v="17"/>
    <s v="Garib Rath"/>
    <s v="CGY"/>
    <x v="145"/>
    <n v="15"/>
    <n v="55.56"/>
    <n v="44.44"/>
    <n v="0"/>
    <n v="0"/>
    <d v="2025-09-28T02:15:45"/>
    <s v="https://etrain.info/train/Garib-Rath-12202/history?d=1y"/>
  </r>
  <r>
    <x v="17"/>
    <s v="Garib Rath"/>
    <s v="SRR"/>
    <x v="142"/>
    <n v="13"/>
    <n v="55.56"/>
    <n v="44.44"/>
    <n v="0"/>
    <n v="0"/>
    <d v="2025-09-28T02:15:53"/>
    <s v="https://etrain.info/train/Garib-Rath-12202/history?d=1y"/>
  </r>
  <r>
    <x v="17"/>
    <s v="Garib Rath"/>
    <s v="LTT"/>
    <x v="3"/>
    <n v="17"/>
    <n v="55.56"/>
    <n v="33.33"/>
    <n v="11.11"/>
    <n v="0"/>
    <d v="2025-09-28T02:16:19"/>
    <s v="https://etrain.info/train/Garib-Rath-12202/history?d=1y"/>
  </r>
  <r>
    <x v="17"/>
    <s v="Garib Rath"/>
    <s v="TCR"/>
    <x v="143"/>
    <n v="20"/>
    <n v="44.44"/>
    <n v="55.56"/>
    <n v="0"/>
    <n v="0"/>
    <d v="2025-09-28T02:15:51"/>
    <s v="https://etrain.info/train/Garib-Rath-12202/history?d=1y"/>
  </r>
  <r>
    <x v="17"/>
    <s v="Garib Rath"/>
    <s v="KTYM"/>
    <x v="144"/>
    <n v="18"/>
    <n v="33.33"/>
    <n v="66.67"/>
    <n v="0"/>
    <n v="0"/>
    <d v="2025-09-28T02:15:46"/>
    <s v="https://etrain.info/train/Garib-Rath-12202/history?d=1y"/>
  </r>
  <r>
    <x v="17"/>
    <s v="Garib Rath"/>
    <s v="TIR"/>
    <x v="155"/>
    <n v="22"/>
    <n v="22.22"/>
    <n v="77.78"/>
    <n v="0"/>
    <n v="0"/>
    <d v="2025-09-28T02:15:55"/>
    <s v="https://etrain.info/train/Garib-Rath-12202/history?d=1y"/>
  </r>
  <r>
    <x v="17"/>
    <s v="Garib Rath"/>
    <s v="CLT"/>
    <x v="141"/>
    <n v="25"/>
    <n v="11.11"/>
    <n v="88.89"/>
    <n v="0"/>
    <n v="0"/>
    <d v="2025-09-28T02:15:56"/>
    <s v="https://etrain.info/train/Garib-Rath-12202/history?d=1y"/>
  </r>
  <r>
    <x v="17"/>
    <s v="Garib Rath"/>
    <s v="MAO"/>
    <x v="156"/>
    <n v="35"/>
    <n v="11.11"/>
    <n v="77.78"/>
    <n v="11.11"/>
    <n v="0"/>
    <d v="2025-09-28T02:16:11"/>
    <s v="https://etrain.info/train/Garib-Rath-12202/history?d=1y"/>
  </r>
  <r>
    <x v="17"/>
    <s v="Garib Rath"/>
    <s v="RN"/>
    <x v="159"/>
    <n v="66"/>
    <n v="11.11"/>
    <n v="22.22"/>
    <n v="66.67"/>
    <n v="0"/>
    <d v="2025-09-28T02:16:13"/>
    <s v="https://etrain.info/train/Garib-Rath-12202/history?d=1y"/>
  </r>
  <r>
    <x v="17"/>
    <s v="Garib Rath"/>
    <s v="PNVL"/>
    <x v="149"/>
    <n v="41"/>
    <n v="11.11"/>
    <n v="77.78"/>
    <n v="11.11"/>
    <n v="0"/>
    <d v="2025-09-28T02:16:15"/>
    <s v="https://etrain.info/train/Garib-Rath-12202/history?d=1y"/>
  </r>
  <r>
    <x v="17"/>
    <s v="Garib Rath"/>
    <s v="TNA"/>
    <x v="4"/>
    <n v="45"/>
    <n v="11.11"/>
    <n v="66.67"/>
    <n v="22.22"/>
    <n v="0"/>
    <d v="2025-09-28T02:16:16"/>
    <s v="https://etrain.info/train/Garib-Rath-12202/history?d=1y"/>
  </r>
  <r>
    <x v="17"/>
    <s v="Garib Rath"/>
    <s v="CAN"/>
    <x v="154"/>
    <n v="50"/>
    <n v="0"/>
    <n v="88.89"/>
    <n v="11.11"/>
    <n v="0"/>
    <d v="2025-09-28T02:15:58"/>
    <s v="https://etrain.info/train/Garib-Rath-12202/history?d=1y"/>
  </r>
  <r>
    <x v="17"/>
    <s v="Garib Rath"/>
    <s v="KGQ"/>
    <x v="140"/>
    <n v="55"/>
    <n v="0"/>
    <n v="77.78"/>
    <n v="22.22"/>
    <n v="0"/>
    <d v="2025-09-28T02:16:00"/>
    <s v="https://etrain.info/train/Garib-Rath-12202/history?d=1y"/>
  </r>
  <r>
    <x v="17"/>
    <s v="Garib Rath"/>
    <s v="MAJN"/>
    <x v="139"/>
    <n v="34"/>
    <n v="0"/>
    <n v="88.89"/>
    <n v="11.11"/>
    <n v="0"/>
    <d v="2025-09-28T02:16:01"/>
    <s v="https://etrain.info/train/Garib-Rath-12202/history?d=1y"/>
  </r>
  <r>
    <x v="17"/>
    <s v="Garib Rath"/>
    <s v="UD"/>
    <x v="153"/>
    <n v="44"/>
    <n v="0"/>
    <n v="88.89"/>
    <n v="11.11"/>
    <n v="0"/>
    <d v="2025-09-28T02:16:03"/>
    <s v="https://etrain.info/train/Garib-Rath-12202/history?d=1y"/>
  </r>
  <r>
    <x v="17"/>
    <s v="Garib Rath"/>
    <s v="BYNR"/>
    <x v="152"/>
    <n v="0"/>
    <n v="0"/>
    <n v="88.89"/>
    <n v="11.11"/>
    <n v="0"/>
    <d v="2025-09-28T02:16:06"/>
    <s v="https://etrain.info/train/Garib-Rath-12202/history?d=1y"/>
  </r>
  <r>
    <x v="17"/>
    <s v="Garib Rath"/>
    <s v="ANKL"/>
    <x v="158"/>
    <n v="45"/>
    <n v="0"/>
    <n v="66.67"/>
    <n v="33.33"/>
    <n v="0"/>
    <d v="2025-09-28T02:16:07"/>
    <s v="https://etrain.info/train/Garib-Rath-12202/history?d=1y"/>
  </r>
  <r>
    <x v="17"/>
    <s v="Garib Rath"/>
    <s v="KAWR"/>
    <x v="157"/>
    <n v="48"/>
    <n v="0"/>
    <n v="77.78"/>
    <n v="22.22"/>
    <n v="0"/>
    <d v="2025-09-28T02:16:09"/>
    <s v="https://etrain.info/train/Garib-Rath-12202/history?d=1y"/>
  </r>
  <r>
    <x v="18"/>
    <s v="Duronto Express"/>
    <s v="JAJ"/>
    <x v="160"/>
    <n v="3"/>
    <n v="100"/>
    <n v="0"/>
    <n v="0"/>
    <n v="0"/>
    <d v="2025-09-28T01:50:47"/>
    <s v="https://etrain.info/train/Duronto-Express-12235/history?d=1y"/>
  </r>
  <r>
    <x v="18"/>
    <s v="Duronto Express"/>
    <s v="DDU"/>
    <x v="161"/>
    <n v="1"/>
    <n v="100"/>
    <n v="0"/>
    <n v="0"/>
    <n v="0"/>
    <d v="2025-09-28T01:50:59"/>
    <s v="https://etrain.info/train/Duronto-Express-12235/history?d=1y"/>
  </r>
  <r>
    <x v="18"/>
    <s v="Duronto Express"/>
    <s v="PRYJ"/>
    <x v="162"/>
    <n v="6"/>
    <n v="100"/>
    <n v="0"/>
    <n v="0"/>
    <n v="0"/>
    <d v="2025-09-28T01:51:00"/>
    <s v="https://etrain.info/train/Duronto-Express-12235/history?d=1y"/>
  </r>
  <r>
    <x v="18"/>
    <s v="Duronto Express"/>
    <s v="ANVT"/>
    <x v="163"/>
    <n v="0"/>
    <n v="100"/>
    <n v="0"/>
    <n v="0"/>
    <n v="0"/>
    <d v="2025-09-28T01:51:03"/>
    <s v="https://etrain.info/train/Duronto-Express-12235/history?d=1y"/>
  </r>
  <r>
    <x v="18"/>
    <s v="Duronto Express"/>
    <s v="MDP"/>
    <x v="164"/>
    <n v="6"/>
    <n v="75"/>
    <n v="25"/>
    <n v="0"/>
    <n v="0"/>
    <d v="2025-09-28T01:50:44"/>
    <s v="https://etrain.info/train/Duronto-Express-12235/history?d=1y"/>
  </r>
  <r>
    <x v="18"/>
    <s v="Duronto Express"/>
    <s v="JSME"/>
    <x v="165"/>
    <n v="12"/>
    <n v="75"/>
    <n v="25"/>
    <n v="0"/>
    <n v="0"/>
    <d v="2025-09-28T01:50:45"/>
    <s v="https://etrain.info/train/Duronto-Express-12235/history?d=1y"/>
  </r>
  <r>
    <x v="18"/>
    <s v="Duronto Express"/>
    <s v="PNBE"/>
    <x v="166"/>
    <n v="18"/>
    <n v="50"/>
    <n v="50"/>
    <n v="0"/>
    <n v="0"/>
    <d v="2025-09-28T01:50:53"/>
    <s v="https://etrain.info/train/Duronto-Express-12235/history?d=1y"/>
  </r>
  <r>
    <x v="18"/>
    <s v="Duronto Express"/>
    <s v="CNB"/>
    <x v="167"/>
    <n v="13"/>
    <n v="50"/>
    <n v="50"/>
    <n v="0"/>
    <n v="0"/>
    <d v="2025-09-28T01:51:02"/>
    <s v="https://etrain.info/train/Duronto-Express-12235/history?d=1y"/>
  </r>
  <r>
    <x v="18"/>
    <s v="Duronto Express"/>
    <s v="KIUL"/>
    <x v="168"/>
    <n v="0"/>
    <n v="25"/>
    <n v="75"/>
    <n v="0"/>
    <n v="0"/>
    <d v="2025-09-28T01:50:50"/>
    <s v="https://etrain.info/train/Duronto-Express-12235/history?d=1y"/>
  </r>
  <r>
    <x v="18"/>
    <s v="Duronto Express"/>
    <s v="MKA"/>
    <x v="169"/>
    <n v="35"/>
    <n v="0"/>
    <n v="100"/>
    <n v="0"/>
    <n v="0"/>
    <d v="2025-09-28T01:50:52"/>
    <s v="https://etrain.info/train/Duronto-Express-12235/history?d=1y"/>
  </r>
  <r>
    <x v="18"/>
    <s v="Duronto Express"/>
    <s v="ARA"/>
    <x v="170"/>
    <n v="38"/>
    <n v="0"/>
    <n v="100"/>
    <n v="0"/>
    <n v="0"/>
    <d v="2025-09-28T01:50:55"/>
    <s v="https://etrain.info/train/Duronto-Express-12235/history?d=1y"/>
  </r>
  <r>
    <x v="18"/>
    <s v="Duronto Express"/>
    <s v="BXR"/>
    <x v="171"/>
    <n v="51"/>
    <n v="0"/>
    <n v="75"/>
    <n v="25"/>
    <n v="0"/>
    <d v="2025-09-28T01:50:57"/>
    <s v="https://etrain.info/train/Duronto-Express-12235/history?d=1y"/>
  </r>
  <r>
    <x v="19"/>
    <s v="Duronto Express"/>
    <s v="JAJ"/>
    <x v="160"/>
    <n v="143"/>
    <n v="50"/>
    <n v="0"/>
    <n v="50"/>
    <n v="0"/>
    <d v="2025-09-28T01:51:25"/>
    <s v="https://etrain.info/train/Duronto-Express-12236/history?d=1y"/>
  </r>
  <r>
    <x v="19"/>
    <s v="Duronto Express"/>
    <s v="JSME"/>
    <x v="165"/>
    <n v="152"/>
    <n v="50"/>
    <n v="0"/>
    <n v="50"/>
    <n v="0"/>
    <d v="2025-09-28T01:51:26"/>
    <s v="https://etrain.info/train/Duronto-Express-12236/history?d=1y"/>
  </r>
  <r>
    <x v="19"/>
    <s v="Duronto Express"/>
    <s v="MDP"/>
    <x v="164"/>
    <n v="126"/>
    <n v="50"/>
    <n v="0"/>
    <n v="50"/>
    <n v="0"/>
    <d v="2025-09-28T01:51:28"/>
    <s v="https://etrain.info/train/Duronto-Express-12236/history?d=1y"/>
  </r>
  <r>
    <x v="19"/>
    <s v="Duronto Express"/>
    <s v="ANVT"/>
    <x v="163"/>
    <n v="0"/>
    <n v="25"/>
    <n v="25"/>
    <n v="50"/>
    <n v="0"/>
    <d v="2025-09-28T01:51:10"/>
    <s v="https://etrain.info/train/Duronto-Express-12236/history?d=1y"/>
  </r>
  <r>
    <x v="19"/>
    <s v="Duronto Express"/>
    <s v="CNB"/>
    <x v="167"/>
    <n v="0"/>
    <n v="25"/>
    <n v="25"/>
    <n v="50"/>
    <n v="0"/>
    <d v="2025-09-28T01:51:12"/>
    <s v="https://etrain.info/train/Duronto-Express-12236/history?d=1y"/>
  </r>
  <r>
    <x v="19"/>
    <s v="Duronto Express"/>
    <s v="PRYJ"/>
    <x v="162"/>
    <n v="159"/>
    <n v="25"/>
    <n v="25"/>
    <n v="50"/>
    <n v="0"/>
    <d v="2025-09-28T01:51:13"/>
    <s v="https://etrain.info/train/Duronto-Express-12236/history?d=1y"/>
  </r>
  <r>
    <x v="19"/>
    <s v="Duronto Express"/>
    <s v="DDU"/>
    <x v="161"/>
    <n v="147"/>
    <n v="25"/>
    <n v="25"/>
    <n v="50"/>
    <n v="0"/>
    <d v="2025-09-28T01:51:15"/>
    <s v="https://etrain.info/train/Duronto-Express-12236/history?d=1y"/>
  </r>
  <r>
    <x v="19"/>
    <s v="Duronto Express"/>
    <s v="BXR"/>
    <x v="171"/>
    <n v="152"/>
    <n v="25"/>
    <n v="25"/>
    <n v="50"/>
    <n v="0"/>
    <d v="2025-09-28T01:51:16"/>
    <s v="https://etrain.info/train/Duronto-Express-12236/history?d=1y"/>
  </r>
  <r>
    <x v="19"/>
    <s v="Duronto Express"/>
    <s v="ARA"/>
    <x v="170"/>
    <n v="157"/>
    <n v="25"/>
    <n v="25"/>
    <n v="50"/>
    <n v="0"/>
    <d v="2025-09-28T01:51:18"/>
    <s v="https://etrain.info/train/Duronto-Express-12236/history?d=1y"/>
  </r>
  <r>
    <x v="19"/>
    <s v="Duronto Express"/>
    <s v="PNBE"/>
    <x v="166"/>
    <n v="0"/>
    <n v="0"/>
    <n v="50"/>
    <n v="50"/>
    <n v="0"/>
    <d v="2025-09-28T01:51:20"/>
    <s v="https://etrain.info/train/Duronto-Express-12236/history?d=1y"/>
  </r>
  <r>
    <x v="19"/>
    <s v="Duronto Express"/>
    <s v="MKA"/>
    <x v="169"/>
    <n v="0"/>
    <n v="0"/>
    <n v="25"/>
    <n v="75"/>
    <n v="0"/>
    <d v="2025-09-28T01:51:21"/>
    <s v="https://etrain.info/train/Duronto-Express-12236/history?d=1y"/>
  </r>
  <r>
    <x v="19"/>
    <s v="Duronto Express"/>
    <s v="KIUL"/>
    <x v="168"/>
    <n v="0"/>
    <n v="0"/>
    <n v="25"/>
    <n v="75"/>
    <n v="0"/>
    <d v="2025-09-28T01:51:23"/>
    <s v="https://etrain.info/train/Duronto-Express-12236/history?d=1y"/>
  </r>
  <r>
    <x v="20"/>
    <s v="Duronto Express"/>
    <s v="HWH"/>
    <x v="75"/>
    <n v="13"/>
    <n v="86.36"/>
    <n v="9.09"/>
    <n v="4.55"/>
    <n v="0"/>
    <d v="2025-09-28T01:51:35"/>
    <s v="https://etrain.info/train/Duronto-Express-12245/history?d=1y"/>
  </r>
  <r>
    <x v="20"/>
    <s v="Duronto Express"/>
    <s v="SMVB"/>
    <x v="172"/>
    <n v="77"/>
    <n v="40.909999999999997"/>
    <n v="27.27"/>
    <n v="31.82"/>
    <n v="0"/>
    <d v="2025-09-28T01:51:48"/>
    <s v="https://etrain.info/train/Duronto-Express-12245/history?d=1y"/>
  </r>
  <r>
    <x v="20"/>
    <s v="Duronto Express"/>
    <s v="RU"/>
    <x v="126"/>
    <n v="97"/>
    <n v="18.18"/>
    <n v="27.27"/>
    <n v="54.55"/>
    <n v="0"/>
    <d v="2025-09-28T01:51:45"/>
    <s v="https://etrain.info/train/Duronto-Express-12245/history?d=1y"/>
  </r>
  <r>
    <x v="20"/>
    <s v="Duronto Express"/>
    <s v="VZM"/>
    <x v="173"/>
    <n v="93"/>
    <n v="13.64"/>
    <n v="31.82"/>
    <n v="54.55"/>
    <n v="0"/>
    <d v="2025-09-28T01:51:40"/>
    <s v="https://etrain.info/train/Duronto-Express-12245/history?d=1y"/>
  </r>
  <r>
    <x v="20"/>
    <s v="Duronto Express"/>
    <s v="BZA"/>
    <x v="174"/>
    <n v="0"/>
    <n v="4.55"/>
    <n v="31.82"/>
    <n v="63.64"/>
    <n v="0"/>
    <d v="2025-09-28T01:51:43"/>
    <s v="https://etrain.info/train/Duronto-Express-12245/history?d=1y"/>
  </r>
  <r>
    <x v="20"/>
    <s v="Duronto Express"/>
    <s v="BBS"/>
    <x v="175"/>
    <n v="111"/>
    <n v="0"/>
    <n v="18.18"/>
    <n v="81.819999999999993"/>
    <n v="0"/>
    <d v="2025-09-28T01:51:37"/>
    <s v="https://etrain.info/train/Duronto-Express-12245/history?d=1y"/>
  </r>
  <r>
    <x v="21"/>
    <s v="Duronto Express"/>
    <s v="SMVB"/>
    <x v="172"/>
    <n v="0"/>
    <n v="93.87"/>
    <n v="4.9800000000000004"/>
    <n v="0.77"/>
    <n v="0.38"/>
    <d v="2025-09-28T01:51:54"/>
    <s v="https://etrain.info/train/Duronto-Express-12246/history?d=1y"/>
  </r>
  <r>
    <x v="21"/>
    <s v="Duronto Express"/>
    <s v="VZM"/>
    <x v="173"/>
    <n v="15"/>
    <n v="72.41"/>
    <n v="24.14"/>
    <n v="3.07"/>
    <n v="0.38"/>
    <d v="2025-09-28T01:51:58"/>
    <s v="https://etrain.info/train/Duronto-Express-12246/history?d=1y"/>
  </r>
  <r>
    <x v="21"/>
    <s v="Duronto Express"/>
    <s v="RU"/>
    <x v="126"/>
    <n v="13"/>
    <n v="69.349999999999994"/>
    <n v="28.35"/>
    <n v="1.92"/>
    <n v="0.38"/>
    <d v="2025-09-28T01:51:55"/>
    <s v="https://etrain.info/train/Duronto-Express-12246/history?d=1y"/>
  </r>
  <r>
    <x v="21"/>
    <s v="Duronto Express"/>
    <s v="HWH"/>
    <x v="75"/>
    <n v="0"/>
    <n v="50.96"/>
    <n v="23.75"/>
    <n v="24.9"/>
    <n v="0.38"/>
    <d v="2025-09-28T01:52:04"/>
    <s v="https://etrain.info/train/Duronto-Express-12246/history?d=1y"/>
  </r>
  <r>
    <x v="21"/>
    <s v="Duronto Express"/>
    <s v="BZA"/>
    <x v="174"/>
    <n v="22"/>
    <n v="43.68"/>
    <n v="50.19"/>
    <n v="5.75"/>
    <n v="0.38"/>
    <d v="2025-09-28T01:51:56"/>
    <s v="https://etrain.info/train/Duronto-Express-12246/history?d=1y"/>
  </r>
  <r>
    <x v="21"/>
    <s v="Duronto Express"/>
    <s v="BBS"/>
    <x v="175"/>
    <n v="41"/>
    <n v="12.26"/>
    <n v="76.25"/>
    <n v="11.11"/>
    <n v="0.38"/>
    <d v="2025-09-28T01:52:00"/>
    <s v="https://etrain.info/train/Duronto-Express-12246/history?d=1y"/>
  </r>
  <r>
    <x v="22"/>
    <s v="Sealdah Duronto"/>
    <s v="SDAH"/>
    <x v="176"/>
    <n v="0"/>
    <n v="100"/>
    <n v="0"/>
    <n v="0"/>
    <n v="0"/>
    <d v="2025-09-28T01:52:09"/>
    <s v="https://etrain.info/train/Sealdah-Duronto-12259/history?d=1y"/>
  </r>
  <r>
    <x v="22"/>
    <s v="Sealdah Duronto"/>
    <s v="DHN"/>
    <x v="76"/>
    <n v="4"/>
    <n v="94.12"/>
    <n v="5.88"/>
    <n v="0"/>
    <n v="0"/>
    <d v="2025-09-28T01:52:13"/>
    <s v="https://etrain.info/train/Sealdah-Duronto-12259/history?d=1y"/>
  </r>
  <r>
    <x v="22"/>
    <s v="Sealdah Duronto"/>
    <s v="DDU"/>
    <x v="161"/>
    <n v="4"/>
    <n v="94.12"/>
    <n v="5.88"/>
    <n v="0"/>
    <n v="0"/>
    <d v="2025-09-28T01:52:21"/>
    <s v="https://etrain.info/train/Sealdah-Duronto-12259/history?d=1y"/>
  </r>
  <r>
    <x v="22"/>
    <s v="Sealdah Duronto"/>
    <s v="KQR"/>
    <x v="177"/>
    <n v="11"/>
    <n v="82.35"/>
    <n v="17.649999999999999"/>
    <n v="0"/>
    <n v="0"/>
    <d v="2025-09-28T01:52:17"/>
    <s v="https://etrain.info/train/Sealdah-Duronto-12259/history?d=1y"/>
  </r>
  <r>
    <x v="22"/>
    <s v="Sealdah Duronto"/>
    <s v="CNB"/>
    <x v="167"/>
    <n v="11"/>
    <n v="76.47"/>
    <n v="23.53"/>
    <n v="0"/>
    <n v="0"/>
    <d v="2025-09-28T01:52:22"/>
    <s v="https://etrain.info/train/Sealdah-Duronto-12259/history?d=1y"/>
  </r>
  <r>
    <x v="22"/>
    <s v="Sealdah Duronto"/>
    <s v="BKN"/>
    <x v="178"/>
    <n v="7"/>
    <n v="70.59"/>
    <n v="23.53"/>
    <n v="5.88"/>
    <n v="0"/>
    <d v="2025-09-28T01:52:47"/>
    <s v="https://etrain.info/train/Sealdah-Duronto-12259/history?d=1y"/>
  </r>
  <r>
    <x v="22"/>
    <s v="Sealdah Duronto"/>
    <s v="NDLS"/>
    <x v="58"/>
    <n v="14"/>
    <n v="64.709999999999994"/>
    <n v="29.41"/>
    <n v="5.88"/>
    <n v="0"/>
    <d v="2025-09-28T01:52:26"/>
    <s v="https://etrain.info/train/Sealdah-Duronto-12259/history?d=1y"/>
  </r>
  <r>
    <x v="22"/>
    <s v="Sealdah Duronto"/>
    <s v="LHU"/>
    <x v="179"/>
    <n v="24"/>
    <n v="64.709999999999994"/>
    <n v="29.41"/>
    <n v="5.88"/>
    <n v="0"/>
    <d v="2025-09-28T01:52:31"/>
    <s v="https://etrain.info/train/Sealdah-Duronto-12259/history?d=1y"/>
  </r>
  <r>
    <x v="22"/>
    <s v="Sealdah Duronto"/>
    <s v="SDLP"/>
    <x v="180"/>
    <n v="28"/>
    <n v="64.709999999999994"/>
    <n v="11.76"/>
    <n v="23.53"/>
    <n v="0"/>
    <d v="2025-09-28T01:52:35"/>
    <s v="https://etrain.info/train/Sealdah-Duronto-12259/history?d=1y"/>
  </r>
  <r>
    <x v="22"/>
    <s v="Sealdah Duronto"/>
    <s v="CUR"/>
    <x v="181"/>
    <n v="41"/>
    <n v="29.41"/>
    <n v="47.06"/>
    <n v="23.53"/>
    <n v="0"/>
    <d v="2025-09-28T01:52:37"/>
    <s v="https://etrain.info/train/Sealdah-Duronto-12259/history?d=1y"/>
  </r>
  <r>
    <x v="22"/>
    <s v="Sealdah Duronto"/>
    <s v="RTGH"/>
    <x v="182"/>
    <n v="0"/>
    <n v="5.88"/>
    <n v="64.709999999999994"/>
    <n v="29.41"/>
    <n v="0"/>
    <d v="2025-09-28T01:52:39"/>
    <s v="https://etrain.info/train/Sealdah-Duronto-12259/history?d=1y"/>
  </r>
  <r>
    <x v="22"/>
    <s v="Sealdah Duronto"/>
    <s v="SDGH"/>
    <x v="183"/>
    <n v="57"/>
    <n v="0"/>
    <n v="70.59"/>
    <n v="29.41"/>
    <n v="0"/>
    <d v="2025-09-28T01:52:43"/>
    <s v="https://etrain.info/train/Sealdah-Duronto-12259/history?d=1y"/>
  </r>
  <r>
    <x v="23"/>
    <s v="Sealdah Duronto"/>
    <s v="BKN"/>
    <x v="178"/>
    <n v="0"/>
    <n v="100"/>
    <n v="0"/>
    <n v="0"/>
    <n v="0"/>
    <d v="2025-09-28T01:53:17"/>
    <s v="https://etrain.info/train/Sealdah-Duronto-12260/history?d=1y"/>
  </r>
  <r>
    <x v="23"/>
    <s v="Sealdah Duronto"/>
    <s v="NDLS"/>
    <x v="58"/>
    <n v="8"/>
    <n v="93.75"/>
    <n v="0"/>
    <n v="6.25"/>
    <n v="0"/>
    <d v="2025-09-28T01:53:28"/>
    <s v="https://etrain.info/train/Sealdah-Duronto-12260/history?d=1y"/>
  </r>
  <r>
    <x v="23"/>
    <s v="Sealdah Duronto"/>
    <s v="CUR"/>
    <x v="181"/>
    <n v="0"/>
    <n v="81.25"/>
    <n v="12.5"/>
    <n v="6.25"/>
    <n v="0"/>
    <d v="2025-09-28T01:53:22"/>
    <s v="https://etrain.info/train/Sealdah-Duronto-12260/history?d=1y"/>
  </r>
  <r>
    <x v="23"/>
    <s v="Sealdah Duronto"/>
    <s v="SDAH"/>
    <x v="176"/>
    <n v="55"/>
    <n v="81.25"/>
    <n v="6.25"/>
    <n v="12.5"/>
    <n v="0"/>
    <d v="2025-09-28T01:53:36"/>
    <s v="https://etrain.info/train/Sealdah-Duronto-12260/history?d=1y"/>
  </r>
  <r>
    <x v="23"/>
    <s v="Sealdah Duronto"/>
    <s v="SDGH"/>
    <x v="183"/>
    <n v="15"/>
    <n v="68.75"/>
    <n v="25"/>
    <n v="6.25"/>
    <n v="0"/>
    <d v="2025-09-28T01:53:19"/>
    <s v="https://etrain.info/train/Sealdah-Duronto-12260/history?d=1y"/>
  </r>
  <r>
    <x v="23"/>
    <s v="Sealdah Duronto"/>
    <s v="DDU"/>
    <x v="161"/>
    <n v="23"/>
    <n v="68.75"/>
    <n v="18.75"/>
    <n v="12.5"/>
    <n v="0"/>
    <d v="2025-09-28T01:53:30"/>
    <s v="https://etrain.info/train/Sealdah-Duronto-12260/history?d=1y"/>
  </r>
  <r>
    <x v="23"/>
    <s v="Sealdah Duronto"/>
    <s v="RTGH"/>
    <x v="182"/>
    <n v="0"/>
    <n v="62.5"/>
    <n v="31.25"/>
    <n v="6.25"/>
    <n v="0"/>
    <d v="2025-09-28T01:53:20"/>
    <s v="https://etrain.info/train/Sealdah-Duronto-12260/history?d=1y"/>
  </r>
  <r>
    <x v="23"/>
    <s v="Sealdah Duronto"/>
    <s v="KQR"/>
    <x v="177"/>
    <n v="0"/>
    <n v="56.25"/>
    <n v="31.25"/>
    <n v="12.5"/>
    <n v="0"/>
    <d v="2025-09-28T01:53:32"/>
    <s v="https://etrain.info/train/Sealdah-Duronto-12260/history?d=1y"/>
  </r>
  <r>
    <x v="23"/>
    <s v="Sealdah Duronto"/>
    <s v="CNB"/>
    <x v="167"/>
    <n v="25"/>
    <n v="50"/>
    <n v="43.75"/>
    <n v="6.25"/>
    <n v="0"/>
    <d v="2025-09-28T01:53:29"/>
    <s v="https://etrain.info/train/Sealdah-Duronto-12260/history?d=1y"/>
  </r>
  <r>
    <x v="23"/>
    <s v="Sealdah Duronto"/>
    <s v="DHN"/>
    <x v="76"/>
    <n v="33"/>
    <n v="43.75"/>
    <n v="43.75"/>
    <n v="12.5"/>
    <n v="0"/>
    <d v="2025-09-28T01:53:34"/>
    <s v="https://etrain.info/train/Sealdah-Duronto-12260/history?d=1y"/>
  </r>
  <r>
    <x v="23"/>
    <s v="Sealdah Duronto"/>
    <s v="LHU"/>
    <x v="179"/>
    <n v="24"/>
    <n v="37.5"/>
    <n v="56.25"/>
    <n v="6.25"/>
    <n v="0"/>
    <d v="2025-09-28T01:53:26"/>
    <s v="https://etrain.info/train/Sealdah-Duronto-12260/history?d=1y"/>
  </r>
  <r>
    <x v="23"/>
    <s v="Sealdah Duronto"/>
    <s v="SDLP"/>
    <x v="180"/>
    <n v="24"/>
    <n v="31.25"/>
    <n v="62.5"/>
    <n v="6.25"/>
    <n v="0"/>
    <d v="2025-09-28T01:53:24"/>
    <s v="https://etrain.info/train/Sealdah-Duronto-12260/history?d=1y"/>
  </r>
  <r>
    <x v="24"/>
    <s v="Howrah Duronto"/>
    <s v="CSMT"/>
    <x v="85"/>
    <n v="231"/>
    <n v="46.41"/>
    <n v="6.22"/>
    <n v="47.37"/>
    <n v="0"/>
    <d v="2025-09-28T01:53:44"/>
    <s v="https://etrain.info/train/Howrah-Duronto-12261/history?d=1y"/>
  </r>
  <r>
    <x v="24"/>
    <s v="Howrah Duronto"/>
    <s v="KYN"/>
    <x v="8"/>
    <n v="261"/>
    <n v="36.36"/>
    <n v="10.53"/>
    <n v="52.63"/>
    <n v="0.48"/>
    <d v="2025-09-28T01:53:45"/>
    <s v="https://etrain.info/train/Howrah-Duronto-12261/history?d=1y"/>
  </r>
  <r>
    <x v="24"/>
    <s v="Howrah Duronto"/>
    <s v="NGP"/>
    <x v="184"/>
    <n v="305"/>
    <n v="27.75"/>
    <n v="16.75"/>
    <n v="55.5"/>
    <n v="0"/>
    <d v="2025-09-28T01:53:52"/>
    <s v="https://etrain.info/train/Howrah-Duronto-12261/history?d=1y"/>
  </r>
  <r>
    <x v="24"/>
    <s v="Howrah Duronto"/>
    <s v="BSP"/>
    <x v="185"/>
    <n v="298"/>
    <n v="25.36"/>
    <n v="20.100000000000001"/>
    <n v="54.55"/>
    <n v="0"/>
    <d v="2025-09-28T01:53:56"/>
    <s v="https://etrain.info/train/Howrah-Duronto-12261/history?d=1y"/>
  </r>
  <r>
    <x v="24"/>
    <s v="Howrah Duronto"/>
    <s v="BSL"/>
    <x v="99"/>
    <n v="305"/>
    <n v="11.48"/>
    <n v="31.1"/>
    <n v="57.42"/>
    <n v="0"/>
    <d v="2025-09-28T01:53:49"/>
    <s v="https://etrain.info/train/Howrah-Duronto-12261/history?d=1y"/>
  </r>
  <r>
    <x v="24"/>
    <s v="Howrah Duronto"/>
    <s v="AK"/>
    <x v="186"/>
    <n v="448"/>
    <n v="0.96"/>
    <n v="0.96"/>
    <n v="4.3099999999999996"/>
    <n v="93.77"/>
    <d v="2025-09-28T01:53:50"/>
    <s v="https://etrain.info/train/Howrah-Duronto-12261/history?d=1y"/>
  </r>
  <r>
    <x v="24"/>
    <s v="Howrah Duronto"/>
    <s v="TATA"/>
    <x v="187"/>
    <n v="530"/>
    <n v="0.48"/>
    <n v="0"/>
    <n v="99.04"/>
    <n v="0.48"/>
    <d v="2025-09-28T01:53:57"/>
    <s v="https://etrain.info/train/Howrah-Duronto-12261/history?d=1y"/>
  </r>
  <r>
    <x v="24"/>
    <s v="Howrah Duronto"/>
    <s v="HWH"/>
    <x v="75"/>
    <n v="586"/>
    <n v="0.48"/>
    <n v="0"/>
    <n v="99.04"/>
    <n v="0.48"/>
    <d v="2025-09-28T01:53:59"/>
    <s v="https://etrain.info/train/Howrah-Duronto-12261/history?d=1y"/>
  </r>
  <r>
    <x v="25"/>
    <s v="Howrah Duronto"/>
    <s v="HWH"/>
    <x v="75"/>
    <n v="92"/>
    <n v="62.5"/>
    <n v="6.25"/>
    <n v="31.25"/>
    <n v="0"/>
    <d v="2025-09-28T01:54:05"/>
    <s v="https://etrain.info/train/Howrah-Duronto-12262/history?d=1y"/>
  </r>
  <r>
    <x v="25"/>
    <s v="Howrah Duronto"/>
    <s v="BSP"/>
    <x v="185"/>
    <n v="301"/>
    <n v="18.75"/>
    <n v="0"/>
    <n v="81.25"/>
    <n v="0"/>
    <d v="2025-09-28T01:54:08"/>
    <s v="https://etrain.info/train/Howrah-Duronto-12262/history?d=1y"/>
  </r>
  <r>
    <x v="25"/>
    <s v="Howrah Duronto"/>
    <s v="TATA"/>
    <x v="187"/>
    <n v="147"/>
    <n v="6.25"/>
    <n v="43.75"/>
    <n v="50"/>
    <n v="0"/>
    <d v="2025-09-28T01:54:07"/>
    <s v="https://etrain.info/train/Howrah-Duronto-12262/history?d=1y"/>
  </r>
  <r>
    <x v="25"/>
    <s v="Howrah Duronto"/>
    <s v="NGP"/>
    <x v="184"/>
    <n v="0"/>
    <n v="6.25"/>
    <n v="0"/>
    <n v="93.75"/>
    <n v="0"/>
    <d v="2025-09-28T01:54:10"/>
    <s v="https://etrain.info/train/Howrah-Duronto-12262/history?d=1y"/>
  </r>
  <r>
    <x v="25"/>
    <s v="Howrah Duronto"/>
    <s v="AK"/>
    <x v="186"/>
    <n v="411"/>
    <n v="6.25"/>
    <n v="0"/>
    <n v="68.75"/>
    <n v="25"/>
    <d v="2025-09-28T01:54:12"/>
    <s v="https://etrain.info/train/Howrah-Duronto-12262/history?d=1y"/>
  </r>
  <r>
    <x v="25"/>
    <s v="Howrah Duronto"/>
    <s v="BSL"/>
    <x v="99"/>
    <n v="0"/>
    <n v="6.25"/>
    <n v="0"/>
    <n v="93.75"/>
    <n v="0"/>
    <d v="2025-09-28T01:54:13"/>
    <s v="https://etrain.info/train/Howrah-Duronto-12262/history?d=1y"/>
  </r>
  <r>
    <x v="25"/>
    <s v="Howrah Duronto"/>
    <s v="KYN"/>
    <x v="8"/>
    <n v="482"/>
    <n v="6.25"/>
    <n v="0"/>
    <n v="93.75"/>
    <n v="0"/>
    <d v="2025-09-28T01:54:15"/>
    <s v="https://etrain.info/train/Howrah-Duronto-12262/history?d=1y"/>
  </r>
  <r>
    <x v="25"/>
    <s v="Howrah Duronto"/>
    <s v="CSMT"/>
    <x v="85"/>
    <n v="468"/>
    <n v="6.25"/>
    <n v="0"/>
    <n v="93.75"/>
    <n v="0"/>
    <d v="2025-09-28T01:54:17"/>
    <s v="https://etrain.info/train/Howrah-Duronto-12262/history?d=1y"/>
  </r>
  <r>
    <x v="26"/>
    <s v="Sanghamitra Express"/>
    <s v="DDU"/>
    <x v="161"/>
    <n v="12"/>
    <n v="96.67"/>
    <n v="0"/>
    <n v="3.33"/>
    <n v="0"/>
    <d v="2025-09-27T18:41:56"/>
    <s v="https://etrain.info/train/Sanghamitra-Express-12295/history?d=1y"/>
  </r>
  <r>
    <x v="26"/>
    <s v="Sanghamitra Express"/>
    <s v="DLN"/>
    <x v="188"/>
    <n v="0"/>
    <n v="90"/>
    <n v="6.67"/>
    <n v="3.33"/>
    <n v="0"/>
    <d v="2025-09-27T18:41:59"/>
    <s v="https://etrain.info/train/Sanghamitra-Express-12295/history?d=1y"/>
  </r>
  <r>
    <x v="26"/>
    <s v="Sanghamitra Express"/>
    <s v="DNR"/>
    <x v="189"/>
    <n v="4"/>
    <n v="90"/>
    <n v="3.33"/>
    <n v="6.67"/>
    <n v="0"/>
    <d v="2025-09-27T18:42:07"/>
    <s v="https://etrain.info/train/Sanghamitra-Express-12295/history?d=1y"/>
  </r>
  <r>
    <x v="26"/>
    <s v="Sanghamitra Express"/>
    <s v="KPD"/>
    <x v="190"/>
    <n v="24"/>
    <n v="80"/>
    <n v="6.67"/>
    <n v="13.33"/>
    <n v="0"/>
    <d v="2025-09-27T18:41:03"/>
    <s v="https://etrain.info/train/Sanghamitra-Express-12295/history?d=1y"/>
  </r>
  <r>
    <x v="26"/>
    <s v="Sanghamitra Express"/>
    <s v="ET"/>
    <x v="87"/>
    <n v="26"/>
    <n v="80"/>
    <n v="6.67"/>
    <n v="13.33"/>
    <n v="0"/>
    <d v="2025-09-27T18:41:34"/>
    <s v="https://etrain.info/train/Sanghamitra-Express-12295/history?d=1y"/>
  </r>
  <r>
    <x v="26"/>
    <s v="Sanghamitra Express"/>
    <s v="SMVB"/>
    <x v="172"/>
    <n v="19"/>
    <n v="76.67"/>
    <n v="16.670000000000002"/>
    <n v="6.67"/>
    <n v="0"/>
    <d v="2025-09-27T18:40:53"/>
    <s v="https://etrain.info/train/Sanghamitra-Express-12295/history?d=1y"/>
  </r>
  <r>
    <x v="26"/>
    <s v="Sanghamitra Express"/>
    <s v="KJM"/>
    <x v="191"/>
    <n v="0"/>
    <n v="70"/>
    <n v="23.33"/>
    <n v="6.67"/>
    <n v="0"/>
    <d v="2025-09-27T18:40:55"/>
    <s v="https://etrain.info/train/Sanghamitra-Express-12295/history?d=1y"/>
  </r>
  <r>
    <x v="26"/>
    <s v="Sanghamitra Express"/>
    <s v="BPQ"/>
    <x v="192"/>
    <n v="32"/>
    <n v="70"/>
    <n v="13.33"/>
    <n v="16.670000000000002"/>
    <n v="0"/>
    <d v="2025-09-27T18:41:22"/>
    <s v="https://etrain.info/train/Sanghamitra-Express-12295/history?d=1y"/>
  </r>
  <r>
    <x v="26"/>
    <s v="Sanghamitra Express"/>
    <s v="BXR"/>
    <x v="171"/>
    <n v="19"/>
    <n v="70"/>
    <n v="26.67"/>
    <n v="3.33"/>
    <n v="0"/>
    <d v="2025-09-27T18:42:02"/>
    <s v="https://etrain.info/train/Sanghamitra-Express-12295/history?d=1y"/>
  </r>
  <r>
    <x v="26"/>
    <s v="Sanghamitra Express"/>
    <s v="KPN"/>
    <x v="193"/>
    <n v="30"/>
    <n v="63.33"/>
    <n v="26.67"/>
    <n v="10"/>
    <n v="0"/>
    <d v="2025-09-27T18:40:58"/>
    <s v="https://etrain.info/train/Sanghamitra-Express-12295/history?d=1y"/>
  </r>
  <r>
    <x v="26"/>
    <s v="Sanghamitra Express"/>
    <s v="AJJ"/>
    <x v="135"/>
    <n v="29"/>
    <n v="63.33"/>
    <n v="23.33"/>
    <n v="13.33"/>
    <n v="0.01"/>
    <d v="2025-09-27T18:41:05"/>
    <s v="https://etrain.info/train/Sanghamitra-Express-12295/history?d=1y"/>
  </r>
  <r>
    <x v="26"/>
    <s v="Sanghamitra Express"/>
    <s v="NGP"/>
    <x v="184"/>
    <n v="31"/>
    <n v="63.33"/>
    <n v="20"/>
    <n v="16.670000000000002"/>
    <n v="0"/>
    <d v="2025-09-27T18:41:29"/>
    <s v="https://etrain.info/train/Sanghamitra-Express-12295/history?d=1y"/>
  </r>
  <r>
    <x v="26"/>
    <s v="Sanghamitra Express"/>
    <s v="JTJ"/>
    <x v="194"/>
    <n v="30"/>
    <n v="60"/>
    <n v="26.67"/>
    <n v="13.33"/>
    <n v="0"/>
    <d v="2025-09-27T18:41:01"/>
    <s v="https://etrain.info/train/Sanghamitra-Express-12295/history?d=1y"/>
  </r>
  <r>
    <x v="26"/>
    <s v="Sanghamitra Express"/>
    <s v="PER"/>
    <x v="136"/>
    <n v="33"/>
    <n v="60"/>
    <n v="26.67"/>
    <n v="13.33"/>
    <n v="0"/>
    <d v="2025-09-27T18:41:08"/>
    <s v="https://etrain.info/train/Sanghamitra-Express-12295/history?d=1y"/>
  </r>
  <r>
    <x v="26"/>
    <s v="Sanghamitra Express"/>
    <s v="KMT"/>
    <x v="195"/>
    <n v="38"/>
    <n v="60"/>
    <n v="20"/>
    <n v="20"/>
    <n v="0"/>
    <d v="2025-09-27T18:41:16"/>
    <s v="https://etrain.info/train/Sanghamitra-Express-12295/history?d=1y"/>
  </r>
  <r>
    <x v="26"/>
    <s v="Sanghamitra Express"/>
    <s v="CD"/>
    <x v="196"/>
    <n v="35"/>
    <n v="60"/>
    <n v="23.33"/>
    <n v="16.670000000000002"/>
    <n v="0"/>
    <d v="2025-09-27T18:41:24"/>
    <s v="https://etrain.info/train/Sanghamitra-Express-12295/history?d=1y"/>
  </r>
  <r>
    <x v="26"/>
    <s v="Sanghamitra Express"/>
    <s v="ARA"/>
    <x v="170"/>
    <n v="23"/>
    <n v="56.67"/>
    <n v="36.67"/>
    <n v="6.67"/>
    <n v="0"/>
    <d v="2025-09-27T18:42:06"/>
    <s v="https://etrain.info/train/Sanghamitra-Express-12295/history?d=1y"/>
  </r>
  <r>
    <x v="26"/>
    <s v="Sanghamitra Express"/>
    <s v="PPI"/>
    <x v="197"/>
    <n v="0"/>
    <n v="50"/>
    <n v="36.67"/>
    <n v="13.33"/>
    <n v="0"/>
    <d v="2025-09-27T18:41:36"/>
    <s v="https://etrain.info/train/Sanghamitra-Express-12295/history?d=1y"/>
  </r>
  <r>
    <x v="26"/>
    <s v="Sanghamitra Express"/>
    <s v="BWT"/>
    <x v="198"/>
    <n v="31"/>
    <n v="43.33"/>
    <n v="46.67"/>
    <n v="10"/>
    <n v="0"/>
    <d v="2025-09-27T18:40:56"/>
    <s v="https://etrain.info/train/Sanghamitra-Express-12295/history?d=1y"/>
  </r>
  <r>
    <x v="26"/>
    <s v="Sanghamitra Express"/>
    <s v="MZP"/>
    <x v="199"/>
    <n v="29"/>
    <n v="43.33"/>
    <n v="50"/>
    <n v="6.67"/>
    <n v="0"/>
    <d v="2025-09-27T18:41:53"/>
    <s v="https://etrain.info/train/Sanghamitra-Express-12295/history?d=1y"/>
  </r>
  <r>
    <x v="26"/>
    <s v="Sanghamitra Express"/>
    <s v="SEGM"/>
    <x v="200"/>
    <n v="44"/>
    <n v="36.67"/>
    <n v="46.67"/>
    <n v="16.670000000000002"/>
    <n v="0"/>
    <d v="2025-09-27T18:41:27"/>
    <s v="https://etrain.info/train/Sanghamitra-Express-12295/history?d=1y"/>
  </r>
  <r>
    <x v="26"/>
    <s v="Sanghamitra Express"/>
    <s v="JBP"/>
    <x v="201"/>
    <n v="43"/>
    <n v="36.67"/>
    <n v="46.67"/>
    <n v="16.670000000000002"/>
    <n v="0"/>
    <d v="2025-09-27T18:41:43"/>
    <s v="https://etrain.info/train/Sanghamitra-Express-12295/history?d=1y"/>
  </r>
  <r>
    <x v="26"/>
    <s v="Sanghamitra Express"/>
    <s v="RDM"/>
    <x v="202"/>
    <n v="57"/>
    <n v="13.33"/>
    <n v="63.33"/>
    <n v="23.33"/>
    <n v="0.01"/>
    <d v="2025-09-27T18:41:19"/>
    <s v="https://etrain.info/train/Sanghamitra-Express-12295/history?d=1y"/>
  </r>
  <r>
    <x v="26"/>
    <s v="Sanghamitra Express"/>
    <s v="GDR"/>
    <x v="203"/>
    <n v="46"/>
    <n v="10"/>
    <n v="70"/>
    <n v="20"/>
    <n v="0"/>
    <d v="2025-09-27T18:41:10"/>
    <s v="https://etrain.info/train/Sanghamitra-Express-12295/history?d=1y"/>
  </r>
  <r>
    <x v="26"/>
    <s v="Sanghamitra Express"/>
    <s v="PCOI"/>
    <x v="204"/>
    <n v="70"/>
    <n v="10"/>
    <n v="40"/>
    <n v="50"/>
    <n v="0"/>
    <d v="2025-09-27T18:41:49"/>
    <s v="https://etrain.info/train/Sanghamitra-Express-12295/history?d=1y"/>
  </r>
  <r>
    <x v="26"/>
    <s v="Sanghamitra Express"/>
    <s v="BZU"/>
    <x v="205"/>
    <n v="64"/>
    <n v="6.67"/>
    <n v="63.33"/>
    <n v="30"/>
    <n v="0"/>
    <d v="2025-09-27T18:41:31"/>
    <s v="https://etrain.info/train/Sanghamitra-Express-12295/history?d=1y"/>
  </r>
  <r>
    <x v="26"/>
    <s v="Sanghamitra Express"/>
    <s v="NU"/>
    <x v="206"/>
    <n v="54"/>
    <n v="6.67"/>
    <n v="76.67"/>
    <n v="16.670000000000002"/>
    <n v="0"/>
    <d v="2025-09-27T18:41:39"/>
    <s v="https://etrain.info/train/Sanghamitra-Express-12295/history?d=1y"/>
  </r>
  <r>
    <x v="26"/>
    <s v="Sanghamitra Express"/>
    <s v="OGL"/>
    <x v="207"/>
    <n v="61"/>
    <n v="3.33"/>
    <n v="73.33"/>
    <n v="23.33"/>
    <n v="0.01"/>
    <d v="2025-09-27T18:41:13"/>
    <s v="https://etrain.info/train/Sanghamitra-Express-12295/history?d=1y"/>
  </r>
  <r>
    <x v="26"/>
    <s v="Sanghamitra Express"/>
    <s v="BZA"/>
    <x v="174"/>
    <n v="54"/>
    <n v="3.33"/>
    <n v="76.67"/>
    <n v="20"/>
    <n v="0"/>
    <d v="2025-09-27T18:41:14"/>
    <s v="https://etrain.info/train/Sanghamitra-Express-12295/history?d=1y"/>
  </r>
  <r>
    <x v="26"/>
    <s v="Sanghamitra Express"/>
    <s v="SKZR"/>
    <x v="208"/>
    <n v="38"/>
    <n v="3.33"/>
    <n v="30"/>
    <n v="3.33"/>
    <n v="63.34"/>
    <d v="2025-09-27T18:41:20"/>
    <s v="https://etrain.info/train/Sanghamitra-Express-12295/history?d=1y"/>
  </r>
  <r>
    <x v="26"/>
    <s v="Sanghamitra Express"/>
    <s v="NLR"/>
    <x v="209"/>
    <n v="60"/>
    <n v="0"/>
    <n v="80"/>
    <n v="20"/>
    <n v="0"/>
    <d v="2025-09-27T18:41:11"/>
    <s v="https://etrain.info/train/Sanghamitra-Express-12295/history?d=1y"/>
  </r>
  <r>
    <x v="26"/>
    <s v="Sanghamitra Express"/>
    <s v="WL"/>
    <x v="210"/>
    <n v="62"/>
    <n v="0"/>
    <n v="80"/>
    <n v="20"/>
    <n v="0"/>
    <d v="2025-09-27T18:41:17"/>
    <s v="https://etrain.info/train/Sanghamitra-Express-12295/history?d=1y"/>
  </r>
  <r>
    <x v="26"/>
    <s v="Sanghamitra Express"/>
    <s v="GDYA"/>
    <x v="211"/>
    <n v="73"/>
    <n v="0"/>
    <n v="53.33"/>
    <n v="46.67"/>
    <n v="0"/>
    <d v="2025-09-27T18:41:32"/>
    <s v="https://etrain.info/train/Sanghamitra-Express-12295/history?d=1y"/>
  </r>
  <r>
    <x v="26"/>
    <s v="Sanghamitra Express"/>
    <s v="KTE"/>
    <x v="212"/>
    <n v="60"/>
    <n v="0"/>
    <n v="83.33"/>
    <n v="16.670000000000002"/>
    <n v="0"/>
    <d v="2025-09-27T18:41:44"/>
    <s v="https://etrain.info/train/Sanghamitra-Express-12295/history?d=1y"/>
  </r>
  <r>
    <x v="26"/>
    <s v="Sanghamitra Express"/>
    <s v="MYR"/>
    <x v="213"/>
    <n v="70"/>
    <n v="0"/>
    <n v="83.33"/>
    <n v="16.670000000000002"/>
    <n v="0"/>
    <d v="2025-09-27T18:41:46"/>
    <s v="https://etrain.info/train/Sanghamitra-Express-12295/history?d=1y"/>
  </r>
  <r>
    <x v="26"/>
    <s v="Sanghamitra Express"/>
    <s v="STA"/>
    <x v="214"/>
    <n v="62"/>
    <n v="0"/>
    <n v="83.33"/>
    <n v="16.670000000000002"/>
    <n v="0"/>
    <d v="2025-09-27T18:41:47"/>
    <s v="https://etrain.info/train/Sanghamitra-Express-12295/history?d=1y"/>
  </r>
  <r>
    <x v="27"/>
    <s v="Sanghamitra Express"/>
    <s v="DNR"/>
    <x v="189"/>
    <n v="5"/>
    <n v="90"/>
    <n v="10"/>
    <n v="0"/>
    <n v="0"/>
    <d v="2025-09-27T18:42:11"/>
    <s v="https://etrain.info/train/Sanghamitra-Express-12296/history?d=1y"/>
  </r>
  <r>
    <x v="27"/>
    <s v="Sanghamitra Express"/>
    <s v="SMVB"/>
    <x v="172"/>
    <n v="10"/>
    <n v="86.67"/>
    <n v="0"/>
    <n v="13.33"/>
    <n v="0"/>
    <d v="2025-09-27T18:43:31"/>
    <s v="https://etrain.info/train/Sanghamitra-Express-12296/history?d=1y"/>
  </r>
  <r>
    <x v="27"/>
    <s v="Sanghamitra Express"/>
    <s v="ET"/>
    <x v="87"/>
    <n v="8"/>
    <n v="83.33"/>
    <n v="13.33"/>
    <n v="3.33"/>
    <n v="0.01"/>
    <d v="2025-09-27T18:42:33"/>
    <s v="https://etrain.info/train/Sanghamitra-Express-12296/history?d=1y"/>
  </r>
  <r>
    <x v="27"/>
    <s v="Sanghamitra Express"/>
    <s v="BPQ"/>
    <x v="192"/>
    <n v="10"/>
    <n v="83.33"/>
    <n v="16.670000000000002"/>
    <n v="0"/>
    <n v="0"/>
    <d v="2025-09-27T18:42:43"/>
    <s v="https://etrain.info/train/Sanghamitra-Express-12296/history?d=1y"/>
  </r>
  <r>
    <x v="27"/>
    <s v="Sanghamitra Express"/>
    <s v="GDYA"/>
    <x v="211"/>
    <n v="13"/>
    <n v="80"/>
    <n v="13.33"/>
    <n v="6.67"/>
    <n v="0"/>
    <d v="2025-09-27T18:42:35"/>
    <s v="https://etrain.info/train/Sanghamitra-Express-12296/history?d=1y"/>
  </r>
  <r>
    <x v="27"/>
    <s v="Sanghamitra Express"/>
    <s v="GDR"/>
    <x v="203"/>
    <n v="14"/>
    <n v="80"/>
    <n v="13.33"/>
    <n v="6.67"/>
    <n v="0"/>
    <d v="2025-09-27T18:43:03"/>
    <s v="https://etrain.info/train/Sanghamitra-Express-12296/history?d=1y"/>
  </r>
  <r>
    <x v="27"/>
    <s v="Sanghamitra Express"/>
    <s v="DDU"/>
    <x v="161"/>
    <n v="21"/>
    <n v="66.67"/>
    <n v="23.33"/>
    <n v="10"/>
    <n v="0"/>
    <d v="2025-09-27T18:42:17"/>
    <s v="https://etrain.info/train/Sanghamitra-Express-12296/history?d=1y"/>
  </r>
  <r>
    <x v="27"/>
    <s v="Sanghamitra Express"/>
    <s v="MZP"/>
    <x v="199"/>
    <n v="21"/>
    <n v="60"/>
    <n v="30"/>
    <n v="10"/>
    <n v="0"/>
    <d v="2025-09-27T18:42:18"/>
    <s v="https://etrain.info/train/Sanghamitra-Express-12296/history?d=1y"/>
  </r>
  <r>
    <x v="27"/>
    <s v="Sanghamitra Express"/>
    <s v="STA"/>
    <x v="214"/>
    <n v="20"/>
    <n v="56.67"/>
    <n v="36.67"/>
    <n v="6.67"/>
    <n v="0"/>
    <d v="2025-09-27T18:42:24"/>
    <s v="https://etrain.info/train/Sanghamitra-Express-12296/history?d=1y"/>
  </r>
  <r>
    <x v="27"/>
    <s v="Sanghamitra Express"/>
    <s v="JTJ"/>
    <x v="194"/>
    <n v="31"/>
    <n v="56.67"/>
    <n v="30"/>
    <n v="13.33"/>
    <n v="0"/>
    <d v="2025-09-27T18:43:16"/>
    <s v="https://etrain.info/train/Sanghamitra-Express-12296/history?d=1y"/>
  </r>
  <r>
    <x v="27"/>
    <s v="Sanghamitra Express"/>
    <s v="NGP"/>
    <x v="184"/>
    <n v="22"/>
    <n v="53.33"/>
    <n v="36.67"/>
    <n v="10"/>
    <n v="0"/>
    <d v="2025-09-27T18:42:38"/>
    <s v="https://etrain.info/train/Sanghamitra-Express-12296/history?d=1y"/>
  </r>
  <r>
    <x v="27"/>
    <s v="Sanghamitra Express"/>
    <s v="BZA"/>
    <x v="174"/>
    <n v="23"/>
    <n v="46.67"/>
    <n v="46.67"/>
    <n v="6.67"/>
    <n v="0"/>
    <d v="2025-09-27T18:42:55"/>
    <s v="https://etrain.info/train/Sanghamitra-Express-12296/history?d=1y"/>
  </r>
  <r>
    <x v="27"/>
    <s v="Sanghamitra Express"/>
    <s v="NLR"/>
    <x v="209"/>
    <n v="25"/>
    <n v="46.67"/>
    <n v="46.67"/>
    <n v="6.67"/>
    <n v="0"/>
    <d v="2025-09-27T18:43:01"/>
    <s v="https://etrain.info/train/Sanghamitra-Express-12296/history?d=1y"/>
  </r>
  <r>
    <x v="27"/>
    <s v="Sanghamitra Express"/>
    <s v="KPD"/>
    <x v="190"/>
    <n v="37"/>
    <n v="46.67"/>
    <n v="40"/>
    <n v="13.33"/>
    <n v="0"/>
    <d v="2025-09-27T18:43:12"/>
    <s v="https://etrain.info/train/Sanghamitra-Express-12296/history?d=1y"/>
  </r>
  <r>
    <x v="27"/>
    <s v="Sanghamitra Express"/>
    <s v="ARA"/>
    <x v="170"/>
    <n v="23"/>
    <n v="43.33"/>
    <n v="46.67"/>
    <n v="10"/>
    <n v="0"/>
    <d v="2025-09-27T18:42:13"/>
    <s v="https://etrain.info/train/Sanghamitra-Express-12296/history?d=1y"/>
  </r>
  <r>
    <x v="27"/>
    <s v="Sanghamitra Express"/>
    <s v="PCOI"/>
    <x v="204"/>
    <n v="28"/>
    <n v="43.33"/>
    <n v="46.67"/>
    <n v="10"/>
    <n v="0"/>
    <d v="2025-09-27T18:42:20"/>
    <s v="https://etrain.info/train/Sanghamitra-Express-12296/history?d=1y"/>
  </r>
  <r>
    <x v="27"/>
    <s v="Sanghamitra Express"/>
    <s v="BZU"/>
    <x v="205"/>
    <n v="27"/>
    <n v="36.67"/>
    <n v="53.33"/>
    <n v="10"/>
    <n v="0"/>
    <d v="2025-09-27T18:42:36"/>
    <s v="https://etrain.info/train/Sanghamitra-Express-12296/history?d=1y"/>
  </r>
  <r>
    <x v="27"/>
    <s v="Sanghamitra Express"/>
    <s v="OGL"/>
    <x v="207"/>
    <n v="29"/>
    <n v="36.67"/>
    <n v="53.33"/>
    <n v="10"/>
    <n v="0"/>
    <d v="2025-09-27T18:42:57"/>
    <s v="https://etrain.info/train/Sanghamitra-Express-12296/history?d=1y"/>
  </r>
  <r>
    <x v="27"/>
    <s v="Sanghamitra Express"/>
    <s v="MYR"/>
    <x v="213"/>
    <n v="29"/>
    <n v="30"/>
    <n v="60"/>
    <n v="10"/>
    <n v="0"/>
    <d v="2025-09-27T18:42:26"/>
    <s v="https://etrain.info/train/Sanghamitra-Express-12296/history?d=1y"/>
  </r>
  <r>
    <x v="27"/>
    <s v="Sanghamitra Express"/>
    <s v="KPN"/>
    <x v="193"/>
    <n v="46"/>
    <n v="30"/>
    <n v="56.67"/>
    <n v="13.33"/>
    <n v="0"/>
    <d v="2025-09-27T18:43:19"/>
    <s v="https://etrain.info/train/Sanghamitra-Express-12296/history?d=1y"/>
  </r>
  <r>
    <x v="27"/>
    <s v="Sanghamitra Express"/>
    <s v="PER"/>
    <x v="136"/>
    <n v="0"/>
    <n v="26.67"/>
    <n v="66.67"/>
    <n v="6.67"/>
    <n v="0"/>
    <d v="2025-09-27T18:43:05"/>
    <s v="https://etrain.info/train/Sanghamitra-Express-12296/history?d=1y"/>
  </r>
  <r>
    <x v="27"/>
    <s v="Sanghamitra Express"/>
    <s v="AJJ"/>
    <x v="135"/>
    <n v="32"/>
    <n v="26.67"/>
    <n v="66.67"/>
    <n v="6.67"/>
    <n v="0"/>
    <d v="2025-09-27T18:43:08"/>
    <s v="https://etrain.info/train/Sanghamitra-Express-12296/history?d=1y"/>
  </r>
  <r>
    <x v="27"/>
    <s v="Sanghamitra Express"/>
    <s v="JBP"/>
    <x v="201"/>
    <n v="38"/>
    <n v="23.33"/>
    <n v="63.33"/>
    <n v="13.33"/>
    <n v="0.01"/>
    <d v="2025-09-27T18:42:28"/>
    <s v="https://etrain.info/train/Sanghamitra-Express-12296/history?d=1y"/>
  </r>
  <r>
    <x v="27"/>
    <s v="Sanghamitra Express"/>
    <s v="BWT"/>
    <x v="198"/>
    <n v="49"/>
    <n v="20"/>
    <n v="66.67"/>
    <n v="13.33"/>
    <n v="0"/>
    <d v="2025-09-27T18:43:23"/>
    <s v="https://etrain.info/train/Sanghamitra-Express-12296/history?d=1y"/>
  </r>
  <r>
    <x v="27"/>
    <s v="Sanghamitra Express"/>
    <s v="KJM"/>
    <x v="191"/>
    <n v="45"/>
    <n v="20"/>
    <n v="66.67"/>
    <n v="13.33"/>
    <n v="0"/>
    <d v="2025-09-27T18:43:27"/>
    <s v="https://etrain.info/train/Sanghamitra-Express-12296/history?d=1y"/>
  </r>
  <r>
    <x v="27"/>
    <s v="Sanghamitra Express"/>
    <s v="BXR"/>
    <x v="171"/>
    <n v="34"/>
    <n v="16.670000000000002"/>
    <n v="73.33"/>
    <n v="10"/>
    <n v="0"/>
    <d v="2025-09-27T18:42:14"/>
    <s v="https://etrain.info/train/Sanghamitra-Express-12296/history?d=1y"/>
  </r>
  <r>
    <x v="27"/>
    <s v="Sanghamitra Express"/>
    <s v="NU"/>
    <x v="206"/>
    <n v="0"/>
    <n v="13.33"/>
    <n v="70"/>
    <n v="16.670000000000002"/>
    <n v="0"/>
    <d v="2025-09-27T18:42:30"/>
    <s v="https://etrain.info/train/Sanghamitra-Express-12296/history?d=1y"/>
  </r>
  <r>
    <x v="27"/>
    <s v="Sanghamitra Express"/>
    <s v="SEGM"/>
    <x v="200"/>
    <n v="41"/>
    <n v="13.33"/>
    <n v="63.33"/>
    <n v="23.33"/>
    <n v="0.01"/>
    <d v="2025-09-27T18:42:39"/>
    <s v="https://etrain.info/train/Sanghamitra-Express-12296/history?d=1y"/>
  </r>
  <r>
    <x v="27"/>
    <s v="Sanghamitra Express"/>
    <s v="PPI"/>
    <x v="197"/>
    <n v="0"/>
    <n v="10"/>
    <n v="73.33"/>
    <n v="16.670000000000002"/>
    <n v="0"/>
    <d v="2025-09-27T18:42:32"/>
    <s v="https://etrain.info/train/Sanghamitra-Express-12296/history?d=1y"/>
  </r>
  <r>
    <x v="27"/>
    <s v="Sanghamitra Express"/>
    <s v="CD"/>
    <x v="196"/>
    <n v="0"/>
    <n v="6.67"/>
    <n v="70"/>
    <n v="23.33"/>
    <n v="0"/>
    <d v="2025-09-27T18:42:41"/>
    <s v="https://etrain.info/train/Sanghamitra-Express-12296/history?d=1y"/>
  </r>
  <r>
    <x v="27"/>
    <s v="Sanghamitra Express"/>
    <s v="WL"/>
    <x v="210"/>
    <n v="51"/>
    <n v="6.67"/>
    <n v="73.33"/>
    <n v="20"/>
    <n v="0"/>
    <d v="2025-09-27T18:42:50"/>
    <s v="https://etrain.info/train/Sanghamitra-Express-12296/history?d=1y"/>
  </r>
  <r>
    <x v="27"/>
    <s v="Sanghamitra Express"/>
    <s v="DLN"/>
    <x v="188"/>
    <n v="45"/>
    <n v="3.33"/>
    <n v="76.67"/>
    <n v="20"/>
    <n v="0"/>
    <d v="2025-09-27T18:42:15"/>
    <s v="https://etrain.info/train/Sanghamitra-Express-12296/history?d=1y"/>
  </r>
  <r>
    <x v="27"/>
    <s v="Sanghamitra Express"/>
    <s v="KTE"/>
    <x v="212"/>
    <n v="47"/>
    <n v="3.33"/>
    <n v="76.67"/>
    <n v="20"/>
    <n v="0"/>
    <d v="2025-09-27T18:42:27"/>
    <s v="https://etrain.info/train/Sanghamitra-Express-12296/history?d=1y"/>
  </r>
  <r>
    <x v="27"/>
    <s v="Sanghamitra Express"/>
    <s v="SKZR"/>
    <x v="208"/>
    <n v="39"/>
    <n v="3.33"/>
    <n v="23.33"/>
    <n v="10"/>
    <n v="63.34"/>
    <d v="2025-09-27T18:42:45"/>
    <s v="https://etrain.info/train/Sanghamitra-Express-12296/history?d=1y"/>
  </r>
  <r>
    <x v="27"/>
    <s v="Sanghamitra Express"/>
    <s v="KMT"/>
    <x v="195"/>
    <n v="57"/>
    <n v="3.33"/>
    <n v="63.33"/>
    <n v="33.33"/>
    <n v="0.01"/>
    <d v="2025-09-27T18:42:52"/>
    <s v="https://etrain.info/train/Sanghamitra-Express-12296/history?d=1y"/>
  </r>
  <r>
    <x v="27"/>
    <s v="Sanghamitra Express"/>
    <s v="RDM"/>
    <x v="202"/>
    <n v="43"/>
    <n v="0"/>
    <n v="86.67"/>
    <n v="13.33"/>
    <n v="0"/>
    <d v="2025-09-27T18:42:49"/>
    <s v="https://etrain.info/train/Sanghamitra-Express-12296/history?d=1y"/>
  </r>
  <r>
    <x v="28"/>
    <s v="Howrah Rajdhani"/>
    <s v="HWH"/>
    <x v="75"/>
    <n v="0"/>
    <n v="100"/>
    <n v="0"/>
    <n v="0"/>
    <n v="0"/>
    <d v="2025-09-28T01:54:24"/>
    <s v="https://etrain.info/train/Howrah-Rajdhani-12301/history?d=1y"/>
  </r>
  <r>
    <x v="28"/>
    <s v="Howrah Rajdhani"/>
    <s v="DHN"/>
    <x v="76"/>
    <n v="3"/>
    <n v="100"/>
    <n v="0"/>
    <n v="0"/>
    <n v="0"/>
    <d v="2025-09-28T01:54:27"/>
    <s v="https://etrain.info/train/Howrah-Rajdhani-12301/history?d=1y"/>
  </r>
  <r>
    <x v="28"/>
    <s v="Howrah Rajdhani"/>
    <s v="PNME"/>
    <x v="215"/>
    <n v="6"/>
    <n v="100"/>
    <n v="0"/>
    <n v="0"/>
    <n v="0"/>
    <d v="2025-09-28T01:54:29"/>
    <s v="https://etrain.info/train/Howrah-Rajdhani-12301/history?d=1y"/>
  </r>
  <r>
    <x v="28"/>
    <s v="Howrah Rajdhani"/>
    <s v="GAYA"/>
    <x v="216"/>
    <n v="0"/>
    <n v="92"/>
    <n v="4"/>
    <n v="4"/>
    <n v="0"/>
    <d v="2025-09-28T01:54:31"/>
    <s v="https://etrain.info/train/Howrah-Rajdhani-12301/history?d=1y"/>
  </r>
  <r>
    <x v="28"/>
    <s v="Howrah Rajdhani"/>
    <s v="DDU"/>
    <x v="161"/>
    <n v="15"/>
    <n v="92"/>
    <n v="4"/>
    <n v="4"/>
    <n v="0"/>
    <d v="2025-09-28T01:54:32"/>
    <s v="https://etrain.info/train/Howrah-Rajdhani-12301/history?d=1y"/>
  </r>
  <r>
    <x v="28"/>
    <s v="Howrah Rajdhani"/>
    <s v="PRYJ"/>
    <x v="162"/>
    <n v="15"/>
    <n v="92"/>
    <n v="4"/>
    <n v="4"/>
    <n v="0"/>
    <d v="2025-09-28T01:54:34"/>
    <s v="https://etrain.info/train/Howrah-Rajdhani-12301/history?d=1y"/>
  </r>
  <r>
    <x v="28"/>
    <s v="Howrah Rajdhani"/>
    <s v="CNB"/>
    <x v="167"/>
    <n v="19"/>
    <n v="76"/>
    <n v="20"/>
    <n v="4"/>
    <n v="0"/>
    <d v="2025-09-28T01:54:35"/>
    <s v="https://etrain.info/train/Howrah-Rajdhani-12301/history?d=1y"/>
  </r>
  <r>
    <x v="28"/>
    <s v="Howrah Rajdhani"/>
    <s v="NDLS"/>
    <x v="58"/>
    <n v="22"/>
    <n v="76"/>
    <n v="20"/>
    <n v="4"/>
    <n v="0"/>
    <d v="2025-09-28T01:54:37"/>
    <s v="https://etrain.info/train/Howrah-Rajdhani-12301/history?d=1y"/>
  </r>
  <r>
    <x v="28"/>
    <s v="Howrah Rajdhani"/>
    <s v="ASN"/>
    <x v="83"/>
    <n v="16"/>
    <n v="56"/>
    <n v="44"/>
    <n v="0"/>
    <n v="0"/>
    <d v="2025-09-28T01:54:25"/>
    <s v="https://etrain.info/train/Howrah-Rajdhani-12301/history?d=1y"/>
  </r>
  <r>
    <x v="29"/>
    <s v="Howrah Rajdhani"/>
    <s v="NDLS"/>
    <x v="58"/>
    <n v="0"/>
    <n v="96.15"/>
    <n v="0"/>
    <n v="3.85"/>
    <n v="0"/>
    <d v="2025-09-28T01:54:42"/>
    <s v="https://etrain.info/train/Howrah-Rajdhani-12302/history?d=1y"/>
  </r>
  <r>
    <x v="29"/>
    <s v="Howrah Rajdhani"/>
    <s v="DHN"/>
    <x v="76"/>
    <n v="20"/>
    <n v="88.46"/>
    <n v="3.85"/>
    <n v="7.69"/>
    <n v="0"/>
    <d v="2025-09-28T01:55:00"/>
    <s v="https://etrain.info/train/Howrah-Rajdhani-12302/history?d=1y"/>
  </r>
  <r>
    <x v="29"/>
    <s v="Howrah Rajdhani"/>
    <s v="CNB"/>
    <x v="167"/>
    <n v="22"/>
    <n v="84.62"/>
    <n v="7.69"/>
    <n v="7.69"/>
    <n v="0"/>
    <d v="2025-09-28T01:54:46"/>
    <s v="https://etrain.info/train/Howrah-Rajdhani-12302/history?d=1y"/>
  </r>
  <r>
    <x v="29"/>
    <s v="Howrah Rajdhani"/>
    <s v="DDU"/>
    <x v="161"/>
    <n v="20"/>
    <n v="84.62"/>
    <n v="7.69"/>
    <n v="7.69"/>
    <n v="0"/>
    <d v="2025-09-28T01:54:51"/>
    <s v="https://etrain.info/train/Howrah-Rajdhani-12302/history?d=1y"/>
  </r>
  <r>
    <x v="29"/>
    <s v="Howrah Rajdhani"/>
    <s v="HWH"/>
    <x v="75"/>
    <n v="30"/>
    <n v="84.62"/>
    <n v="3.85"/>
    <n v="11.54"/>
    <n v="0"/>
    <d v="2025-09-28T01:55:06"/>
    <s v="https://etrain.info/train/Howrah-Rajdhani-12302/history?d=1y"/>
  </r>
  <r>
    <x v="29"/>
    <s v="Howrah Rajdhani"/>
    <s v="PRYJ"/>
    <x v="162"/>
    <n v="22"/>
    <n v="76.92"/>
    <n v="15.38"/>
    <n v="7.69"/>
    <n v="0.01"/>
    <d v="2025-09-28T01:54:48"/>
    <s v="https://etrain.info/train/Howrah-Rajdhani-12302/history?d=1y"/>
  </r>
  <r>
    <x v="29"/>
    <s v="Howrah Rajdhani"/>
    <s v="GAYA"/>
    <x v="216"/>
    <n v="23"/>
    <n v="73.08"/>
    <n v="19.23"/>
    <n v="7.69"/>
    <n v="0"/>
    <d v="2025-09-28T01:54:55"/>
    <s v="https://etrain.info/train/Howrah-Rajdhani-12302/history?d=1y"/>
  </r>
  <r>
    <x v="29"/>
    <s v="Howrah Rajdhani"/>
    <s v="ASN"/>
    <x v="83"/>
    <n v="40"/>
    <n v="50"/>
    <n v="38.46"/>
    <n v="11.54"/>
    <n v="0"/>
    <d v="2025-09-28T01:55:02"/>
    <s v="https://etrain.info/train/Howrah-Rajdhani-12302/history?d=1y"/>
  </r>
  <r>
    <x v="29"/>
    <s v="Howrah Rajdhani"/>
    <s v="PNME"/>
    <x v="215"/>
    <n v="34"/>
    <n v="46.15"/>
    <n v="46.15"/>
    <n v="7.69"/>
    <n v="0.01"/>
    <d v="2025-09-28T01:54:57"/>
    <s v="https://etrain.info/train/Howrah-Rajdhani-12302/history?d=1y"/>
  </r>
  <r>
    <x v="30"/>
    <s v="Kolkata Rajdhani"/>
    <s v="HWH"/>
    <x v="75"/>
    <n v="2"/>
    <n v="100"/>
    <n v="0"/>
    <n v="0"/>
    <n v="0"/>
    <d v="2025-09-28T01:55:11"/>
    <s v="https://etrain.info/train/Kolkata-Rajdhani-12305/history?d=1y"/>
  </r>
  <r>
    <x v="30"/>
    <s v="Kolkata Rajdhani"/>
    <s v="PNBE"/>
    <x v="166"/>
    <n v="2"/>
    <n v="100"/>
    <n v="0"/>
    <n v="0"/>
    <n v="0"/>
    <d v="2025-09-28T01:55:17"/>
    <s v="https://etrain.info/train/Kolkata-Rajdhani-12305/history?d=1y"/>
  </r>
  <r>
    <x v="30"/>
    <s v="Kolkata Rajdhani"/>
    <s v="DDU"/>
    <x v="161"/>
    <n v="11"/>
    <n v="60"/>
    <n v="40"/>
    <n v="0"/>
    <n v="0"/>
    <d v="2025-09-28T01:55:18"/>
    <s v="https://etrain.info/train/Kolkata-Rajdhani-12305/history?d=1y"/>
  </r>
  <r>
    <x v="30"/>
    <s v="Kolkata Rajdhani"/>
    <s v="PRYJ"/>
    <x v="162"/>
    <n v="12"/>
    <n v="60"/>
    <n v="40"/>
    <n v="0"/>
    <n v="0"/>
    <d v="2025-09-28T01:55:20"/>
    <s v="https://etrain.info/train/Kolkata-Rajdhani-12305/history?d=1y"/>
  </r>
  <r>
    <x v="30"/>
    <s v="Kolkata Rajdhani"/>
    <s v="NDLS"/>
    <x v="58"/>
    <n v="16"/>
    <n v="60"/>
    <n v="40"/>
    <n v="0"/>
    <n v="0"/>
    <d v="2025-09-28T01:55:23"/>
    <s v="https://etrain.info/train/Kolkata-Rajdhani-12305/history?d=1y"/>
  </r>
  <r>
    <x v="30"/>
    <s v="Kolkata Rajdhani"/>
    <s v="CNB"/>
    <x v="167"/>
    <n v="21"/>
    <n v="40"/>
    <n v="60"/>
    <n v="0"/>
    <n v="0"/>
    <d v="2025-09-28T01:55:21"/>
    <s v="https://etrain.info/train/Kolkata-Rajdhani-12305/history?d=1y"/>
  </r>
  <r>
    <x v="30"/>
    <s v="Kolkata Rajdhani"/>
    <s v="MDP"/>
    <x v="164"/>
    <n v="26"/>
    <n v="20"/>
    <n v="80"/>
    <n v="0"/>
    <n v="0"/>
    <d v="2025-09-28T01:55:14"/>
    <s v="https://etrain.info/train/Kolkata-Rajdhani-12305/history?d=1y"/>
  </r>
  <r>
    <x v="30"/>
    <s v="Kolkata Rajdhani"/>
    <s v="JSME"/>
    <x v="165"/>
    <n v="0"/>
    <n v="20"/>
    <n v="80"/>
    <n v="0"/>
    <n v="0"/>
    <d v="2025-09-28T01:55:15"/>
    <s v="https://etrain.info/train/Kolkata-Rajdhani-12305/history?d=1y"/>
  </r>
  <r>
    <x v="30"/>
    <s v="Kolkata Rajdhani"/>
    <s v="BWN"/>
    <x v="217"/>
    <n v="19"/>
    <n v="0"/>
    <n v="100"/>
    <n v="0"/>
    <n v="0"/>
    <d v="2025-09-28T01:55:12"/>
    <s v="https://etrain.info/train/Kolkata-Rajdhani-12305/history?d=1y"/>
  </r>
  <r>
    <x v="31"/>
    <s v="Kolkata Rajdhani"/>
    <s v="NDLS"/>
    <x v="58"/>
    <n v="1"/>
    <n v="100"/>
    <n v="0"/>
    <n v="0"/>
    <n v="0"/>
    <d v="2025-09-28T01:55:27"/>
    <s v="https://etrain.info/train/Kolkata-Rajdhani-12306/history?d=1y"/>
  </r>
  <r>
    <x v="31"/>
    <s v="Kolkata Rajdhani"/>
    <s v="CNB"/>
    <x v="167"/>
    <n v="4"/>
    <n v="100"/>
    <n v="0"/>
    <n v="0"/>
    <n v="0"/>
    <d v="2025-09-28T01:55:29"/>
    <s v="https://etrain.info/train/Kolkata-Rajdhani-12306/history?d=1y"/>
  </r>
  <r>
    <x v="31"/>
    <s v="Kolkata Rajdhani"/>
    <s v="PRYJ"/>
    <x v="162"/>
    <n v="4"/>
    <n v="100"/>
    <n v="0"/>
    <n v="0"/>
    <n v="0"/>
    <d v="2025-09-28T01:55:30"/>
    <s v="https://etrain.info/train/Kolkata-Rajdhani-12306/history?d=1y"/>
  </r>
  <r>
    <x v="31"/>
    <s v="Kolkata Rajdhani"/>
    <s v="DDU"/>
    <x v="161"/>
    <n v="0"/>
    <n v="100"/>
    <n v="0"/>
    <n v="0"/>
    <n v="0"/>
    <d v="2025-09-28T01:55:32"/>
    <s v="https://etrain.info/train/Kolkata-Rajdhani-12306/history?d=1y"/>
  </r>
  <r>
    <x v="31"/>
    <s v="Kolkata Rajdhani"/>
    <s v="PNBE"/>
    <x v="166"/>
    <n v="1"/>
    <n v="100"/>
    <n v="0"/>
    <n v="0"/>
    <n v="0"/>
    <d v="2025-09-28T01:55:33"/>
    <s v="https://etrain.info/train/Kolkata-Rajdhani-12306/history?d=1y"/>
  </r>
  <r>
    <x v="31"/>
    <s v="Kolkata Rajdhani"/>
    <s v="JSME"/>
    <x v="165"/>
    <n v="1"/>
    <n v="100"/>
    <n v="0"/>
    <n v="0"/>
    <n v="0"/>
    <d v="2025-09-28T01:55:35"/>
    <s v="https://etrain.info/train/Kolkata-Rajdhani-12306/history?d=1y"/>
  </r>
  <r>
    <x v="31"/>
    <s v="Kolkata Rajdhani"/>
    <s v="MDP"/>
    <x v="164"/>
    <n v="2"/>
    <n v="100"/>
    <n v="0"/>
    <n v="0"/>
    <n v="0"/>
    <d v="2025-09-28T01:55:37"/>
    <s v="https://etrain.info/train/Kolkata-Rajdhani-12306/history?d=1y"/>
  </r>
  <r>
    <x v="31"/>
    <s v="Kolkata Rajdhani"/>
    <s v="BWN"/>
    <x v="217"/>
    <n v="0"/>
    <n v="100"/>
    <n v="0"/>
    <n v="0"/>
    <n v="0"/>
    <d v="2025-09-28T01:55:38"/>
    <s v="https://etrain.info/train/Kolkata-Rajdhani-12306/history?d=1y"/>
  </r>
  <r>
    <x v="31"/>
    <s v="Kolkata Rajdhani"/>
    <s v="HWH"/>
    <x v="75"/>
    <n v="0"/>
    <n v="100"/>
    <n v="0"/>
    <n v="0"/>
    <n v="0"/>
    <d v="2025-09-28T01:55:40"/>
    <s v="https://etrain.info/train/Kolkata-Rajdhani-12306/history?d=1y"/>
  </r>
  <r>
    <x v="32"/>
    <s v="Sealdah Rajdhani"/>
    <s v="SDAH"/>
    <x v="176"/>
    <n v="0"/>
    <n v="100"/>
    <n v="0"/>
    <n v="0"/>
    <n v="0"/>
    <d v="2025-09-28T01:55:44"/>
    <s v="https://etrain.info/train/Sealdah-Rajdhani-12313/history?d=1y"/>
  </r>
  <r>
    <x v="32"/>
    <s v="Sealdah Rajdhani"/>
    <s v="DHN"/>
    <x v="76"/>
    <n v="2"/>
    <n v="96.67"/>
    <n v="3.33"/>
    <n v="0"/>
    <n v="0"/>
    <d v="2025-09-28T01:55:53"/>
    <s v="https://etrain.info/train/Sealdah-Rajdhani-12313/history?d=1y"/>
  </r>
  <r>
    <x v="32"/>
    <s v="Sealdah Rajdhani"/>
    <s v="GAYA"/>
    <x v="216"/>
    <n v="9"/>
    <n v="96.67"/>
    <n v="0"/>
    <n v="3.33"/>
    <n v="0"/>
    <d v="2025-09-28T01:55:57"/>
    <s v="https://etrain.info/train/Sealdah-Rajdhani-12313/history?d=1y"/>
  </r>
  <r>
    <x v="32"/>
    <s v="Sealdah Rajdhani"/>
    <s v="DGR"/>
    <x v="81"/>
    <n v="8"/>
    <n v="93.33"/>
    <n v="6.67"/>
    <n v="0"/>
    <n v="0"/>
    <d v="2025-09-28T01:55:48"/>
    <s v="https://etrain.info/train/Sealdah-Rajdhani-12313/history?d=1y"/>
  </r>
  <r>
    <x v="32"/>
    <s v="Sealdah Rajdhani"/>
    <s v="DDU"/>
    <x v="161"/>
    <n v="12"/>
    <n v="93.33"/>
    <n v="3.33"/>
    <n v="3.33"/>
    <n v="0.01"/>
    <d v="2025-09-28T01:55:58"/>
    <s v="https://etrain.info/train/Sealdah-Rajdhani-12313/history?d=1y"/>
  </r>
  <r>
    <x v="32"/>
    <s v="Sealdah Rajdhani"/>
    <s v="NDLS"/>
    <x v="58"/>
    <n v="11"/>
    <n v="83.33"/>
    <n v="13.33"/>
    <n v="3.33"/>
    <n v="0.01"/>
    <d v="2025-09-28T01:56:03"/>
    <s v="https://etrain.info/train/Sealdah-Rajdhani-12313/history?d=1y"/>
  </r>
  <r>
    <x v="32"/>
    <s v="Sealdah Rajdhani"/>
    <s v="ASN"/>
    <x v="83"/>
    <n v="14"/>
    <n v="76.67"/>
    <n v="23.33"/>
    <n v="0"/>
    <n v="0"/>
    <d v="2025-09-28T01:55:50"/>
    <s v="https://etrain.info/train/Sealdah-Rajdhani-12313/history?d=1y"/>
  </r>
  <r>
    <x v="32"/>
    <s v="Sealdah Rajdhani"/>
    <s v="CNB"/>
    <x v="167"/>
    <n v="17"/>
    <n v="76.67"/>
    <n v="20"/>
    <n v="3.33"/>
    <n v="0"/>
    <d v="2025-09-28T01:56:02"/>
    <s v="https://etrain.info/train/Sealdah-Rajdhani-12313/history?d=1y"/>
  </r>
  <r>
    <x v="33"/>
    <s v="Sealdah Rajdhani"/>
    <s v="NDLS"/>
    <x v="58"/>
    <n v="9"/>
    <n v="96.67"/>
    <n v="0"/>
    <n v="3.33"/>
    <n v="0"/>
    <d v="2025-09-28T01:56:13"/>
    <s v="https://etrain.info/train/Sealdah-Rajdhani-12314/history?d=1y"/>
  </r>
  <r>
    <x v="33"/>
    <s v="Sealdah Rajdhani"/>
    <s v="DDU"/>
    <x v="161"/>
    <n v="0"/>
    <n v="93.33"/>
    <n v="0"/>
    <n v="6.67"/>
    <n v="0"/>
    <d v="2025-09-28T01:56:16"/>
    <s v="https://etrain.info/train/Sealdah-Rajdhani-12314/history?d=1y"/>
  </r>
  <r>
    <x v="33"/>
    <s v="Sealdah Rajdhani"/>
    <s v="DHN"/>
    <x v="76"/>
    <n v="0"/>
    <n v="90"/>
    <n v="3.33"/>
    <n v="6.67"/>
    <n v="0"/>
    <d v="2025-09-28T01:56:23"/>
    <s v="https://etrain.info/train/Sealdah-Rajdhani-12314/history?d=1y"/>
  </r>
  <r>
    <x v="33"/>
    <s v="Sealdah Rajdhani"/>
    <s v="SDAH"/>
    <x v="176"/>
    <n v="19"/>
    <n v="86.67"/>
    <n v="3.33"/>
    <n v="10"/>
    <n v="0"/>
    <d v="2025-09-28T01:56:31"/>
    <s v="https://etrain.info/train/Sealdah-Rajdhani-12314/history?d=1y"/>
  </r>
  <r>
    <x v="33"/>
    <s v="Sealdah Rajdhani"/>
    <s v="GAYA"/>
    <x v="216"/>
    <n v="24"/>
    <n v="83.33"/>
    <n v="10"/>
    <n v="6.67"/>
    <n v="0"/>
    <d v="2025-09-28T01:56:20"/>
    <s v="https://etrain.info/train/Sealdah-Rajdhani-12314/history?d=1y"/>
  </r>
  <r>
    <x v="33"/>
    <s v="Sealdah Rajdhani"/>
    <s v="CNB"/>
    <x v="167"/>
    <n v="23"/>
    <n v="80"/>
    <n v="13.33"/>
    <n v="6.67"/>
    <n v="0"/>
    <d v="2025-09-28T01:56:14"/>
    <s v="https://etrain.info/train/Sealdah-Rajdhani-12314/history?d=1y"/>
  </r>
  <r>
    <x v="33"/>
    <s v="Sealdah Rajdhani"/>
    <s v="ASN"/>
    <x v="83"/>
    <n v="0"/>
    <n v="26.67"/>
    <n v="63.33"/>
    <n v="10"/>
    <n v="0"/>
    <d v="2025-09-28T01:56:25"/>
    <s v="https://etrain.info/train/Sealdah-Rajdhani-12314/history?d=1y"/>
  </r>
  <r>
    <x v="33"/>
    <s v="Sealdah Rajdhani"/>
    <s v="DGR"/>
    <x v="81"/>
    <n v="40"/>
    <n v="13.33"/>
    <n v="76.67"/>
    <n v="10"/>
    <n v="0"/>
    <d v="2025-09-28T01:56:27"/>
    <s v="https://etrain.info/train/Sealdah-Rajdhani-12314/history?d=1y"/>
  </r>
  <r>
    <x v="34"/>
    <s v="Vikramshila Express"/>
    <s v="BGP"/>
    <x v="218"/>
    <n v="8"/>
    <n v="93.42"/>
    <n v="0.55000000000000004"/>
    <n v="1.64"/>
    <n v="4.3899999999999997"/>
    <d v="2025-09-28T02:07:53"/>
    <s v="https://etrain.info/train/Vikramshila-Express-12367/history?d=1y"/>
  </r>
  <r>
    <x v="34"/>
    <s v="Vikramshila Express"/>
    <s v="BUP"/>
    <x v="219"/>
    <n v="11"/>
    <n v="85.75"/>
    <n v="7.67"/>
    <n v="1.37"/>
    <n v="5.21"/>
    <d v="2025-09-28T02:07:56"/>
    <s v="https://etrain.info/train/Vikramshila-Express-12367/history?d=1y"/>
  </r>
  <r>
    <x v="34"/>
    <s v="Vikramshila Express"/>
    <s v="SGG"/>
    <x v="220"/>
    <n v="12"/>
    <n v="81.64"/>
    <n v="11.78"/>
    <n v="1.37"/>
    <n v="5.21"/>
    <d v="2025-09-28T02:07:55"/>
    <s v="https://etrain.info/train/Vikramshila-Express-12367/history?d=1y"/>
  </r>
  <r>
    <x v="34"/>
    <s v="Vikramshila Express"/>
    <s v="KIUL"/>
    <x v="168"/>
    <n v="14"/>
    <n v="79.180000000000007"/>
    <n v="13.97"/>
    <n v="2.4700000000000002"/>
    <n v="4.38"/>
    <d v="2025-09-28T02:08:05"/>
    <s v="https://etrain.info/train/Vikramshila-Express-12367/history?d=1y"/>
  </r>
  <r>
    <x v="34"/>
    <s v="Vikramshila Express"/>
    <s v="LKR"/>
    <x v="221"/>
    <n v="0"/>
    <n v="74.52"/>
    <n v="18.899999999999999"/>
    <n v="2.19"/>
    <n v="4.38"/>
    <d v="2025-09-28T02:08:08"/>
    <s v="https://etrain.info/train/Vikramshila-Express-12367/history?d=1y"/>
  </r>
  <r>
    <x v="34"/>
    <s v="Vikramshila Express"/>
    <s v="ANVT"/>
    <x v="163"/>
    <n v="37"/>
    <n v="71.510000000000005"/>
    <n v="6.85"/>
    <n v="17.260000000000002"/>
    <n v="4.38"/>
    <d v="2025-09-28T02:08:34"/>
    <s v="https://etrain.info/train/Vikramshila-Express-12367/history?d=1y"/>
  </r>
  <r>
    <x v="34"/>
    <s v="Vikramshila Express"/>
    <s v="JMP"/>
    <x v="222"/>
    <n v="16"/>
    <n v="65.209999999999994"/>
    <n v="28.22"/>
    <n v="1.37"/>
    <n v="5.2"/>
    <d v="2025-09-28T02:07:58"/>
    <s v="https://etrain.info/train/Vikramshila-Express-12367/history?d=1y"/>
  </r>
  <r>
    <x v="34"/>
    <s v="Vikramshila Express"/>
    <s v="BRYA"/>
    <x v="223"/>
    <n v="21"/>
    <n v="59.73"/>
    <n v="33.15"/>
    <n v="2.74"/>
    <n v="4.38"/>
    <d v="2025-09-28T02:08:10"/>
    <s v="https://etrain.info/train/Vikramshila-Express-12367/history?d=1y"/>
  </r>
  <r>
    <x v="34"/>
    <s v="Vikramshila Express"/>
    <s v="DDU"/>
    <x v="161"/>
    <n v="0"/>
    <n v="54.52"/>
    <n v="25.21"/>
    <n v="15.89"/>
    <n v="4.38"/>
    <d v="2025-09-28T02:08:30"/>
    <s v="https://etrain.info/train/Vikramshila-Express-12367/history?d=1y"/>
  </r>
  <r>
    <x v="34"/>
    <s v="Vikramshila Express"/>
    <s v="AHA"/>
    <x v="224"/>
    <n v="18"/>
    <n v="52.6"/>
    <n v="40.82"/>
    <n v="1.37"/>
    <n v="5.21"/>
    <d v="2025-09-28T02:08:01"/>
    <s v="https://etrain.info/train/Vikramshila-Express-12367/history?d=1y"/>
  </r>
  <r>
    <x v="34"/>
    <s v="Vikramshila Express"/>
    <s v="DRH"/>
    <x v="225"/>
    <n v="18"/>
    <n v="48.49"/>
    <n v="44.93"/>
    <n v="1.37"/>
    <n v="5.21"/>
    <d v="2025-09-28T02:08:00"/>
    <s v="https://etrain.info/train/Vikramshila-Express-12367/history?d=1y"/>
  </r>
  <r>
    <x v="34"/>
    <s v="Vikramshila Express"/>
    <s v="KJH"/>
    <x v="226"/>
    <n v="20"/>
    <n v="44.66"/>
    <n v="48.77"/>
    <n v="1.37"/>
    <n v="5.2"/>
    <d v="2025-09-28T02:08:03"/>
    <s v="https://etrain.info/train/Vikramshila-Express-12367/history?d=1y"/>
  </r>
  <r>
    <x v="34"/>
    <s v="Vikramshila Express"/>
    <s v="HTZ"/>
    <x v="227"/>
    <n v="24"/>
    <n v="43.84"/>
    <n v="48.77"/>
    <n v="3.01"/>
    <n v="4.38"/>
    <d v="2025-09-28T02:08:11"/>
    <s v="https://etrain.info/train/Vikramshila-Express-12367/history?d=1y"/>
  </r>
  <r>
    <x v="34"/>
    <s v="Vikramshila Express"/>
    <s v="CNB"/>
    <x v="167"/>
    <n v="53"/>
    <n v="28.77"/>
    <n v="45.75"/>
    <n v="21.1"/>
    <n v="4.38"/>
    <d v="2025-09-28T02:08:33"/>
    <s v="https://etrain.info/train/Vikramshila-Express-12367/history?d=1y"/>
  </r>
  <r>
    <x v="34"/>
    <s v="Vikramshila Express"/>
    <s v="MKA"/>
    <x v="169"/>
    <n v="30"/>
    <n v="21.92"/>
    <n v="69.86"/>
    <n v="3.84"/>
    <n v="4.38"/>
    <d v="2025-09-28T02:08:13"/>
    <s v="https://etrain.info/train/Vikramshila-Express-12367/history?d=1y"/>
  </r>
  <r>
    <x v="34"/>
    <s v="Vikramshila Express"/>
    <s v="PNBE"/>
    <x v="166"/>
    <n v="38"/>
    <n v="18.079999999999998"/>
    <n v="67.95"/>
    <n v="9.59"/>
    <n v="4.38"/>
    <d v="2025-09-28T02:08:23"/>
    <s v="https://etrain.info/train/Vikramshila-Express-12367/history?d=1y"/>
  </r>
  <r>
    <x v="34"/>
    <s v="Vikramshila Express"/>
    <s v="BARH"/>
    <x v="228"/>
    <n v="38"/>
    <n v="7.4"/>
    <n v="83.29"/>
    <n v="4.93"/>
    <n v="4.38"/>
    <d v="2025-09-28T02:08:15"/>
    <s v="https://etrain.info/train/Vikramshila-Express-12367/history?d=1y"/>
  </r>
  <r>
    <x v="34"/>
    <s v="Vikramshila Express"/>
    <s v="BKP"/>
    <x v="229"/>
    <n v="41"/>
    <n v="6.85"/>
    <n v="81.37"/>
    <n v="7.4"/>
    <n v="4.38"/>
    <d v="2025-09-28T02:08:17"/>
    <s v="https://etrain.info/train/Vikramshila-Express-12367/history?d=1y"/>
  </r>
  <r>
    <x v="34"/>
    <s v="Vikramshila Express"/>
    <s v="ARA"/>
    <x v="170"/>
    <n v="55"/>
    <n v="4.1100000000000003"/>
    <n v="68.489999999999995"/>
    <n v="23.01"/>
    <n v="4.3899999999999997"/>
    <d v="2025-09-28T02:08:25"/>
    <s v="https://etrain.info/train/Vikramshila-Express-12367/history?d=1y"/>
  </r>
  <r>
    <x v="34"/>
    <s v="Vikramshila Express"/>
    <s v="KOO"/>
    <x v="230"/>
    <n v="0"/>
    <n v="3.29"/>
    <n v="81.92"/>
    <n v="10.41"/>
    <n v="4.38"/>
    <d v="2025-09-28T02:08:19"/>
    <s v="https://etrain.info/train/Vikramshila-Express-12367/history?d=1y"/>
  </r>
  <r>
    <x v="34"/>
    <s v="Vikramshila Express"/>
    <s v="PNC"/>
    <x v="231"/>
    <n v="48"/>
    <n v="3.29"/>
    <n v="76.989999999999995"/>
    <n v="15.34"/>
    <n v="4.38"/>
    <d v="2025-09-28T02:08:22"/>
    <s v="https://etrain.info/train/Vikramshila-Express-12367/history?d=1y"/>
  </r>
  <r>
    <x v="34"/>
    <s v="Vikramshila Express"/>
    <s v="BXR"/>
    <x v="171"/>
    <n v="65"/>
    <n v="2.74"/>
    <n v="59.73"/>
    <n v="33.15"/>
    <n v="4.38"/>
    <d v="2025-09-28T02:08:27"/>
    <s v="https://etrain.info/train/Vikramshila-Express-12367/history?d=1y"/>
  </r>
  <r>
    <x v="34"/>
    <s v="Vikramshila Express"/>
    <s v="FUT"/>
    <x v="232"/>
    <n v="48"/>
    <n v="2.4700000000000002"/>
    <n v="79.180000000000007"/>
    <n v="13.97"/>
    <n v="4.38"/>
    <d v="2025-09-28T02:08:21"/>
    <s v="https://etrain.info/train/Vikramshila-Express-12367/history?d=1y"/>
  </r>
  <r>
    <x v="34"/>
    <s v="Vikramshila Express"/>
    <s v="PRYJ"/>
    <x v="162"/>
    <n v="101"/>
    <n v="2.19"/>
    <n v="3.01"/>
    <n v="5.21"/>
    <n v="89.59"/>
    <d v="2025-09-28T02:08:31"/>
    <s v="https://etrain.info/train/Vikramshila-Express-12367/history?d=1y"/>
  </r>
  <r>
    <x v="35"/>
    <s v="Vikramshila Express"/>
    <s v="ANVT"/>
    <x v="163"/>
    <n v="0"/>
    <n v="100"/>
    <n v="0"/>
    <n v="0"/>
    <n v="0"/>
    <d v="2025-09-28T02:08:40"/>
    <s v="https://etrain.info/train/Vikramshila-Express-12368/history?d=1y"/>
  </r>
  <r>
    <x v="35"/>
    <s v="Vikramshila Express"/>
    <s v="BGP"/>
    <x v="218"/>
    <n v="10"/>
    <n v="80"/>
    <n v="10"/>
    <n v="10"/>
    <n v="0"/>
    <d v="2025-09-28T02:09:18"/>
    <s v="https://etrain.info/train/Vikramshila-Express-12368/history?d=1y"/>
  </r>
  <r>
    <x v="35"/>
    <s v="Vikramshila Express"/>
    <s v="KIUL"/>
    <x v="168"/>
    <n v="24"/>
    <n v="73.33"/>
    <n v="13.33"/>
    <n v="13.33"/>
    <n v="0.01"/>
    <d v="2025-09-28T02:09:06"/>
    <s v="https://etrain.info/train/Vikramshila-Express-12368/history?d=1y"/>
  </r>
  <r>
    <x v="35"/>
    <s v="Vikramshila Express"/>
    <s v="KJH"/>
    <x v="226"/>
    <n v="0"/>
    <n v="73.33"/>
    <n v="13.33"/>
    <n v="13.33"/>
    <n v="0"/>
    <d v="2025-09-28T02:09:08"/>
    <s v="https://etrain.info/train/Vikramshila-Express-12368/history?d=1y"/>
  </r>
  <r>
    <x v="35"/>
    <s v="Vikramshila Express"/>
    <s v="AHA"/>
    <x v="224"/>
    <n v="26"/>
    <n v="73.33"/>
    <n v="13.33"/>
    <n v="13.33"/>
    <n v="0.01"/>
    <d v="2025-09-28T02:09:10"/>
    <s v="https://etrain.info/train/Vikramshila-Express-12368/history?d=1y"/>
  </r>
  <r>
    <x v="35"/>
    <s v="Vikramshila Express"/>
    <s v="DRH"/>
    <x v="225"/>
    <n v="26"/>
    <n v="73.33"/>
    <n v="13.33"/>
    <n v="13.33"/>
    <n v="0.01"/>
    <d v="2025-09-28T02:09:12"/>
    <s v="https://etrain.info/train/Vikramshila-Express-12368/history?d=1y"/>
  </r>
  <r>
    <x v="35"/>
    <s v="Vikramshila Express"/>
    <s v="DDU"/>
    <x v="161"/>
    <n v="0"/>
    <n v="63.33"/>
    <n v="23.33"/>
    <n v="13.33"/>
    <n v="0"/>
    <d v="2025-09-28T02:08:44"/>
    <s v="https://etrain.info/train/Vikramshila-Express-12368/history?d=1y"/>
  </r>
  <r>
    <x v="35"/>
    <s v="Vikramshila Express"/>
    <s v="BXR"/>
    <x v="171"/>
    <n v="30"/>
    <n v="56.67"/>
    <n v="23.33"/>
    <n v="20"/>
    <n v="0"/>
    <d v="2025-09-28T02:08:45"/>
    <s v="https://etrain.info/train/Vikramshila-Express-12368/history?d=1y"/>
  </r>
  <r>
    <x v="35"/>
    <s v="Vikramshila Express"/>
    <s v="JMP"/>
    <x v="222"/>
    <n v="34"/>
    <n v="53.33"/>
    <n v="30"/>
    <n v="16.670000000000002"/>
    <n v="0"/>
    <d v="2025-09-28T02:09:13"/>
    <s v="https://etrain.info/train/Vikramshila-Express-12368/history?d=1y"/>
  </r>
  <r>
    <x v="35"/>
    <s v="Vikramshila Express"/>
    <s v="SGG"/>
    <x v="220"/>
    <n v="34"/>
    <n v="50"/>
    <n v="33.33"/>
    <n v="16.670000000000002"/>
    <n v="0"/>
    <d v="2025-09-28T02:09:17"/>
    <s v="https://etrain.info/train/Vikramshila-Express-12368/history?d=1y"/>
  </r>
  <r>
    <x v="35"/>
    <s v="Vikramshila Express"/>
    <s v="ARA"/>
    <x v="170"/>
    <n v="35"/>
    <n v="46.67"/>
    <n v="33.33"/>
    <n v="20"/>
    <n v="0"/>
    <d v="2025-09-28T02:08:47"/>
    <s v="https://etrain.info/train/Vikramshila-Express-12368/history?d=1y"/>
  </r>
  <r>
    <x v="35"/>
    <s v="Vikramshila Express"/>
    <s v="BUP"/>
    <x v="219"/>
    <n v="41"/>
    <n v="23.33"/>
    <n v="60"/>
    <n v="16.670000000000002"/>
    <n v="0"/>
    <d v="2025-09-28T02:09:15"/>
    <s v="https://etrain.info/train/Vikramshila-Express-12368/history?d=1y"/>
  </r>
  <r>
    <x v="35"/>
    <s v="Vikramshila Express"/>
    <s v="CNB"/>
    <x v="167"/>
    <n v="0"/>
    <n v="16.670000000000002"/>
    <n v="60"/>
    <n v="23.33"/>
    <n v="0"/>
    <d v="2025-09-28T02:08:42"/>
    <s v="https://etrain.info/train/Vikramshila-Express-12368/history?d=1y"/>
  </r>
  <r>
    <x v="35"/>
    <s v="Vikramshila Express"/>
    <s v="PNBE"/>
    <x v="166"/>
    <n v="54"/>
    <n v="10"/>
    <n v="63.33"/>
    <n v="26.67"/>
    <n v="0"/>
    <d v="2025-09-28T02:08:49"/>
    <s v="https://etrain.info/train/Vikramshila-Express-12368/history?d=1y"/>
  </r>
  <r>
    <x v="35"/>
    <s v="Vikramshila Express"/>
    <s v="PNC"/>
    <x v="231"/>
    <n v="56"/>
    <n v="10"/>
    <n v="63.33"/>
    <n v="26.67"/>
    <n v="0"/>
    <d v="2025-09-28T02:08:50"/>
    <s v="https://etrain.info/train/Vikramshila-Express-12368/history?d=1y"/>
  </r>
  <r>
    <x v="35"/>
    <s v="Vikramshila Express"/>
    <s v="LKR"/>
    <x v="221"/>
    <n v="67"/>
    <n v="3.33"/>
    <n v="66.67"/>
    <n v="30"/>
    <n v="0"/>
    <d v="2025-09-28T02:09:05"/>
    <s v="https://etrain.info/train/Vikramshila-Express-12368/history?d=1y"/>
  </r>
  <r>
    <x v="35"/>
    <s v="Vikramshila Express"/>
    <s v="FUT"/>
    <x v="232"/>
    <n v="63"/>
    <n v="0"/>
    <n v="66.67"/>
    <n v="33.33"/>
    <n v="0"/>
    <d v="2025-09-28T02:08:52"/>
    <s v="https://etrain.info/train/Vikramshila-Express-12368/history?d=1y"/>
  </r>
  <r>
    <x v="35"/>
    <s v="Vikramshila Express"/>
    <s v="KOO"/>
    <x v="230"/>
    <n v="64"/>
    <n v="0"/>
    <n v="70"/>
    <n v="30"/>
    <n v="0"/>
    <d v="2025-09-28T02:08:54"/>
    <s v="https://etrain.info/train/Vikramshila-Express-12368/history?d=1y"/>
  </r>
  <r>
    <x v="35"/>
    <s v="Vikramshila Express"/>
    <s v="BKP"/>
    <x v="229"/>
    <n v="0"/>
    <n v="0"/>
    <n v="66.67"/>
    <n v="33.33"/>
    <n v="0"/>
    <d v="2025-09-28T02:08:56"/>
    <s v="https://etrain.info/train/Vikramshila-Express-12368/history?d=1y"/>
  </r>
  <r>
    <x v="35"/>
    <s v="Vikramshila Express"/>
    <s v="BARH"/>
    <x v="228"/>
    <n v="67"/>
    <n v="0"/>
    <n v="70"/>
    <n v="30"/>
    <n v="0"/>
    <d v="2025-09-28T02:08:58"/>
    <s v="https://etrain.info/train/Vikramshila-Express-12368/history?d=1y"/>
  </r>
  <r>
    <x v="35"/>
    <s v="Vikramshila Express"/>
    <s v="MKA"/>
    <x v="169"/>
    <n v="71"/>
    <n v="0"/>
    <n v="63.33"/>
    <n v="36.67"/>
    <n v="0"/>
    <d v="2025-09-28T02:08:59"/>
    <s v="https://etrain.info/train/Vikramshila-Express-12368/history?d=1y"/>
  </r>
  <r>
    <x v="35"/>
    <s v="Vikramshila Express"/>
    <s v="HTZ"/>
    <x v="227"/>
    <n v="0"/>
    <n v="0"/>
    <n v="56.67"/>
    <n v="43.33"/>
    <n v="0"/>
    <d v="2025-09-28T02:09:01"/>
    <s v="https://etrain.info/train/Vikramshila-Express-12368/history?d=1y"/>
  </r>
  <r>
    <x v="35"/>
    <s v="Vikramshila Express"/>
    <s v="BRYA"/>
    <x v="223"/>
    <n v="75"/>
    <n v="0"/>
    <n v="56.67"/>
    <n v="43.33"/>
    <n v="0"/>
    <d v="2025-09-28T02:09:03"/>
    <s v="https://etrain.info/train/Vikramshila-Express-12368/history?d=1y"/>
  </r>
  <r>
    <x v="36"/>
    <s v="Dibrugarh Rajdhani"/>
    <s v="DBRG"/>
    <x v="233"/>
    <n v="2"/>
    <n v="96.67"/>
    <n v="3.33"/>
    <n v="0"/>
    <n v="0"/>
    <d v="2025-09-28T01:56:38"/>
    <s v="https://etrain.info/train/Dibrugarh-Rajdhani-12423/history?d=1y"/>
  </r>
  <r>
    <x v="36"/>
    <s v="Dibrugarh Rajdhani"/>
    <s v="KIR"/>
    <x v="234"/>
    <n v="5"/>
    <n v="90"/>
    <n v="6.67"/>
    <n v="3.33"/>
    <n v="0"/>
    <d v="2025-09-28T01:57:16"/>
    <s v="https://etrain.info/train/Dibrugarh-Rajdhani-12423/history?d=1y"/>
  </r>
  <r>
    <x v="36"/>
    <s v="Dibrugarh Rajdhani"/>
    <s v="NNA"/>
    <x v="235"/>
    <n v="8"/>
    <n v="90"/>
    <n v="6.67"/>
    <n v="3.33"/>
    <n v="0"/>
    <d v="2025-09-28T01:57:17"/>
    <s v="https://etrain.info/train/Dibrugarh-Rajdhani-12423/history?d=1y"/>
  </r>
  <r>
    <x v="36"/>
    <s v="Dibrugarh Rajdhani"/>
    <s v="PPTA"/>
    <x v="236"/>
    <n v="7"/>
    <n v="90"/>
    <n v="6.67"/>
    <n v="3.33"/>
    <n v="0"/>
    <d v="2025-09-28T01:57:25"/>
    <s v="https://etrain.info/train/Dibrugarh-Rajdhani-12423/history?d=1y"/>
  </r>
  <r>
    <x v="36"/>
    <s v="Dibrugarh Rajdhani"/>
    <s v="DNR"/>
    <x v="189"/>
    <n v="11"/>
    <n v="86.67"/>
    <n v="6.67"/>
    <n v="6.67"/>
    <n v="0"/>
    <d v="2025-09-28T01:57:28"/>
    <s v="https://etrain.info/train/Dibrugarh-Rajdhani-12423/history?d=1y"/>
  </r>
  <r>
    <x v="36"/>
    <s v="Dibrugarh Rajdhani"/>
    <s v="DDU"/>
    <x v="161"/>
    <n v="10"/>
    <n v="83.33"/>
    <n v="16.670000000000002"/>
    <n v="0"/>
    <n v="0"/>
    <d v="2025-09-28T01:57:30"/>
    <s v="https://etrain.info/train/Dibrugarh-Rajdhani-12423/history?d=1y"/>
  </r>
  <r>
    <x v="36"/>
    <s v="Dibrugarh Rajdhani"/>
    <s v="NDLS"/>
    <x v="58"/>
    <n v="11"/>
    <n v="83.33"/>
    <n v="13.33"/>
    <n v="3.33"/>
    <n v="0.01"/>
    <d v="2025-09-28T01:57:37"/>
    <s v="https://etrain.info/train/Dibrugarh-Rajdhani-12423/history?d=1y"/>
  </r>
  <r>
    <x v="36"/>
    <s v="Dibrugarh Rajdhani"/>
    <s v="PRYJ"/>
    <x v="162"/>
    <n v="12"/>
    <n v="80"/>
    <n v="13.33"/>
    <n v="6.67"/>
    <n v="0"/>
    <d v="2025-09-28T01:57:31"/>
    <s v="https://etrain.info/train/Dibrugarh-Rajdhani-12423/history?d=1y"/>
  </r>
  <r>
    <x v="36"/>
    <s v="Dibrugarh Rajdhani"/>
    <s v="NTSK"/>
    <x v="237"/>
    <n v="13"/>
    <n v="73.33"/>
    <n v="23.33"/>
    <n v="3.33"/>
    <n v="0.01"/>
    <d v="2025-09-28T01:56:40"/>
    <s v="https://etrain.info/train/Dibrugarh-Rajdhani-12423/history?d=1y"/>
  </r>
  <r>
    <x v="36"/>
    <s v="Dibrugarh Rajdhani"/>
    <s v="NBQ"/>
    <x v="238"/>
    <n v="13"/>
    <n v="70"/>
    <n v="26.67"/>
    <n v="3.33"/>
    <n v="0"/>
    <d v="2025-09-28T01:57:00"/>
    <s v="https://etrain.info/train/Dibrugarh-Rajdhani-12423/history?d=1y"/>
  </r>
  <r>
    <x v="36"/>
    <s v="Dibrugarh Rajdhani"/>
    <s v="MNE"/>
    <x v="239"/>
    <n v="15"/>
    <n v="66.67"/>
    <n v="30"/>
    <n v="3.33"/>
    <n v="0"/>
    <d v="2025-09-28T01:57:21"/>
    <s v="https://etrain.info/train/Dibrugarh-Rajdhani-12423/history?d=1y"/>
  </r>
  <r>
    <x v="36"/>
    <s v="Dibrugarh Rajdhani"/>
    <s v="KOJ"/>
    <x v="240"/>
    <n v="19"/>
    <n v="63.33"/>
    <n v="30"/>
    <n v="6.67"/>
    <n v="0"/>
    <d v="2025-09-28T01:57:04"/>
    <s v="https://etrain.info/train/Dibrugarh-Rajdhani-12423/history?d=1y"/>
  </r>
  <r>
    <x v="36"/>
    <s v="Dibrugarh Rajdhani"/>
    <s v="NJP"/>
    <x v="241"/>
    <n v="17"/>
    <n v="63.33"/>
    <n v="30"/>
    <n v="6.67"/>
    <n v="0"/>
    <d v="2025-09-28T01:57:12"/>
    <s v="https://etrain.info/train/Dibrugarh-Rajdhani-12423/history?d=1y"/>
  </r>
  <r>
    <x v="36"/>
    <s v="Dibrugarh Rajdhani"/>
    <s v="KNE"/>
    <x v="242"/>
    <n v="0"/>
    <n v="63.33"/>
    <n v="30"/>
    <n v="6.67"/>
    <n v="0"/>
    <d v="2025-09-28T01:57:14"/>
    <s v="https://etrain.info/train/Dibrugarh-Rajdhani-12423/history?d=1y"/>
  </r>
  <r>
    <x v="36"/>
    <s v="Dibrugarh Rajdhani"/>
    <s v="CNB"/>
    <x v="167"/>
    <n v="17"/>
    <n v="60"/>
    <n v="33.33"/>
    <n v="6.67"/>
    <n v="0"/>
    <d v="2025-09-28T01:57:35"/>
    <s v="https://etrain.info/train/Dibrugarh-Rajdhani-12423/history?d=1y"/>
  </r>
  <r>
    <x v="36"/>
    <s v="Dibrugarh Rajdhani"/>
    <s v="RNY"/>
    <x v="243"/>
    <n v="0"/>
    <n v="53.33"/>
    <n v="43.33"/>
    <n v="3.33"/>
    <n v="0"/>
    <d v="2025-09-28T01:56:56"/>
    <s v="https://etrain.info/train/Dibrugarh-Rajdhani-12423/history?d=1y"/>
  </r>
  <r>
    <x v="36"/>
    <s v="Dibrugarh Rajdhani"/>
    <s v="MXN"/>
    <x v="244"/>
    <n v="21"/>
    <n v="50"/>
    <n v="46.67"/>
    <n v="3.33"/>
    <n v="0"/>
    <d v="2025-09-28T01:56:43"/>
    <s v="https://etrain.info/train/Dibrugarh-Rajdhani-12423/history?d=1y"/>
  </r>
  <r>
    <x v="36"/>
    <s v="Dibrugarh Rajdhani"/>
    <s v="DMV"/>
    <x v="245"/>
    <n v="22"/>
    <n v="50"/>
    <n v="46.67"/>
    <n v="3.33"/>
    <n v="0"/>
    <d v="2025-09-28T01:56:47"/>
    <s v="https://etrain.info/train/Dibrugarh-Rajdhani-12423/history?d=1y"/>
  </r>
  <r>
    <x v="36"/>
    <s v="Dibrugarh Rajdhani"/>
    <s v="DPU"/>
    <x v="246"/>
    <n v="0"/>
    <n v="50"/>
    <n v="43.33"/>
    <n v="6.67"/>
    <n v="0"/>
    <d v="2025-09-28T01:56:49"/>
    <s v="https://etrain.info/train/Dibrugarh-Rajdhani-12423/history?d=1y"/>
  </r>
  <r>
    <x v="36"/>
    <s v="Dibrugarh Rajdhani"/>
    <s v="GHY"/>
    <x v="247"/>
    <n v="25"/>
    <n v="43.33"/>
    <n v="53.33"/>
    <n v="3.33"/>
    <n v="0.01"/>
    <d v="2025-09-28T01:56:54"/>
    <s v="https://etrain.info/train/Dibrugarh-Rajdhani-12423/history?d=1y"/>
  </r>
  <r>
    <x v="36"/>
    <s v="Dibrugarh Rajdhani"/>
    <s v="LMG"/>
    <x v="248"/>
    <n v="33"/>
    <n v="30"/>
    <n v="60"/>
    <n v="10"/>
    <n v="0"/>
    <d v="2025-09-28T01:56:50"/>
    <s v="https://etrain.info/train/Dibrugarh-Rajdhani-12423/history?d=1y"/>
  </r>
  <r>
    <x v="36"/>
    <s v="Dibrugarh Rajdhani"/>
    <s v="NCB"/>
    <x v="249"/>
    <n v="30"/>
    <n v="30"/>
    <n v="63.33"/>
    <n v="6.67"/>
    <n v="0"/>
    <d v="2025-09-28T01:57:08"/>
    <s v="https://etrain.info/train/Dibrugarh-Rajdhani-12423/history?d=1y"/>
  </r>
  <r>
    <x v="36"/>
    <s v="Dibrugarh Rajdhani"/>
    <s v="CPK"/>
    <x v="250"/>
    <n v="0"/>
    <n v="26.67"/>
    <n v="63.33"/>
    <n v="10"/>
    <n v="0"/>
    <d v="2025-09-28T01:56:53"/>
    <s v="https://etrain.info/train/Dibrugarh-Rajdhani-12423/history?d=1y"/>
  </r>
  <r>
    <x v="36"/>
    <s v="Dibrugarh Rajdhani"/>
    <s v="BJU"/>
    <x v="251"/>
    <n v="0"/>
    <n v="20"/>
    <n v="73.33"/>
    <n v="6.67"/>
    <n v="0"/>
    <d v="2025-09-28T01:57:23"/>
    <s v="https://etrain.info/train/Dibrugarh-Rajdhani-12423/history?d=1y"/>
  </r>
  <r>
    <x v="37"/>
    <s v="Dibrugarh Rajdhani"/>
    <s v="NDLS"/>
    <x v="58"/>
    <n v="0"/>
    <n v="100"/>
    <n v="0"/>
    <n v="0"/>
    <n v="0"/>
    <d v="2025-09-28T01:57:45"/>
    <s v="https://etrain.info/train/Dibrugarh-Rajdhani-12424/history?d=1y"/>
  </r>
  <r>
    <x v="37"/>
    <s v="Dibrugarh Rajdhani"/>
    <s v="DDU"/>
    <x v="161"/>
    <n v="8"/>
    <n v="96.67"/>
    <n v="0"/>
    <n v="3.33"/>
    <n v="0"/>
    <d v="2025-09-28T01:57:51"/>
    <s v="https://etrain.info/train/Dibrugarh-Rajdhani-12424/history?d=1y"/>
  </r>
  <r>
    <x v="37"/>
    <s v="Dibrugarh Rajdhani"/>
    <s v="DNR"/>
    <x v="189"/>
    <n v="0"/>
    <n v="96.67"/>
    <n v="0"/>
    <n v="3.33"/>
    <n v="0"/>
    <d v="2025-09-28T01:57:53"/>
    <s v="https://etrain.info/train/Dibrugarh-Rajdhani-12424/history?d=1y"/>
  </r>
  <r>
    <x v="37"/>
    <s v="Dibrugarh Rajdhani"/>
    <s v="PPTA"/>
    <x v="236"/>
    <n v="9"/>
    <n v="96.67"/>
    <n v="0"/>
    <n v="3.33"/>
    <n v="0"/>
    <d v="2025-09-28T01:57:57"/>
    <s v="https://etrain.info/train/Dibrugarh-Rajdhani-12424/history?d=1y"/>
  </r>
  <r>
    <x v="37"/>
    <s v="Dibrugarh Rajdhani"/>
    <s v="BJU"/>
    <x v="251"/>
    <n v="7"/>
    <n v="93.33"/>
    <n v="3.33"/>
    <n v="3.33"/>
    <n v="0.01"/>
    <d v="2025-09-28T01:57:58"/>
    <s v="https://etrain.info/train/Dibrugarh-Rajdhani-12424/history?d=1y"/>
  </r>
  <r>
    <x v="37"/>
    <s v="Dibrugarh Rajdhani"/>
    <s v="CNB"/>
    <x v="167"/>
    <n v="13"/>
    <n v="90"/>
    <n v="6.67"/>
    <n v="3.33"/>
    <n v="0"/>
    <d v="2025-09-28T01:57:46"/>
    <s v="https://etrain.info/train/Dibrugarh-Rajdhani-12424/history?d=1y"/>
  </r>
  <r>
    <x v="37"/>
    <s v="Dibrugarh Rajdhani"/>
    <s v="PRYJ"/>
    <x v="162"/>
    <n v="17"/>
    <n v="83.33"/>
    <n v="13.33"/>
    <n v="3.33"/>
    <n v="0.01"/>
    <d v="2025-09-28T01:57:47"/>
    <s v="https://etrain.info/train/Dibrugarh-Rajdhani-12424/history?d=1y"/>
  </r>
  <r>
    <x v="37"/>
    <s v="Dibrugarh Rajdhani"/>
    <s v="MNE"/>
    <x v="239"/>
    <n v="17"/>
    <n v="83.33"/>
    <n v="13.33"/>
    <n v="3.33"/>
    <n v="0.01"/>
    <d v="2025-09-28T01:58:00"/>
    <s v="https://etrain.info/train/Dibrugarh-Rajdhani-12424/history?d=1y"/>
  </r>
  <r>
    <x v="37"/>
    <s v="Dibrugarh Rajdhani"/>
    <s v="KIR"/>
    <x v="234"/>
    <n v="15"/>
    <n v="83.33"/>
    <n v="13.33"/>
    <n v="3.33"/>
    <n v="0.01"/>
    <d v="2025-09-28T01:58:05"/>
    <s v="https://etrain.info/train/Dibrugarh-Rajdhani-12424/history?d=1y"/>
  </r>
  <r>
    <x v="37"/>
    <s v="Dibrugarh Rajdhani"/>
    <s v="NCB"/>
    <x v="249"/>
    <n v="15"/>
    <n v="83.33"/>
    <n v="13.33"/>
    <n v="3.33"/>
    <n v="0.01"/>
    <d v="2025-09-28T01:58:12"/>
    <s v="https://etrain.info/train/Dibrugarh-Rajdhani-12424/history?d=1y"/>
  </r>
  <r>
    <x v="37"/>
    <s v="Dibrugarh Rajdhani"/>
    <s v="NBQ"/>
    <x v="238"/>
    <n v="19"/>
    <n v="80"/>
    <n v="16.670000000000002"/>
    <n v="3.33"/>
    <n v="0"/>
    <d v="2025-09-28T01:58:17"/>
    <s v="https://etrain.info/train/Dibrugarh-Rajdhani-12424/history?d=1y"/>
  </r>
  <r>
    <x v="37"/>
    <s v="Dibrugarh Rajdhani"/>
    <s v="LMG"/>
    <x v="248"/>
    <n v="23"/>
    <n v="70"/>
    <n v="23.33"/>
    <n v="6.67"/>
    <n v="0"/>
    <d v="2025-09-28T01:58:31"/>
    <s v="https://etrain.info/train/Dibrugarh-Rajdhani-12424/history?d=1y"/>
  </r>
  <r>
    <x v="37"/>
    <s v="Dibrugarh Rajdhani"/>
    <s v="DPU"/>
    <x v="246"/>
    <n v="26"/>
    <n v="70"/>
    <n v="20"/>
    <n v="10"/>
    <n v="0"/>
    <d v="2025-09-28T01:58:32"/>
    <s v="https://etrain.info/train/Dibrugarh-Rajdhani-12424/history?d=1y"/>
  </r>
  <r>
    <x v="37"/>
    <s v="Dibrugarh Rajdhani"/>
    <s v="DBRG"/>
    <x v="233"/>
    <n v="15"/>
    <n v="70"/>
    <n v="16.670000000000002"/>
    <n v="13.33"/>
    <n v="0"/>
    <d v="2025-09-28T01:58:42"/>
    <s v="https://etrain.info/train/Dibrugarh-Rajdhani-12424/history?d=1y"/>
  </r>
  <r>
    <x v="37"/>
    <s v="Dibrugarh Rajdhani"/>
    <s v="MXN"/>
    <x v="244"/>
    <n v="27"/>
    <n v="66.67"/>
    <n v="23.33"/>
    <n v="10"/>
    <n v="0"/>
    <d v="2025-09-28T01:58:36"/>
    <s v="https://etrain.info/train/Dibrugarh-Rajdhani-12424/history?d=1y"/>
  </r>
  <r>
    <x v="37"/>
    <s v="Dibrugarh Rajdhani"/>
    <s v="CPK"/>
    <x v="250"/>
    <n v="0"/>
    <n v="60"/>
    <n v="33.33"/>
    <n v="6.67"/>
    <n v="0"/>
    <d v="2025-09-28T01:58:27"/>
    <s v="https://etrain.info/train/Dibrugarh-Rajdhani-12424/history?d=1y"/>
  </r>
  <r>
    <x v="37"/>
    <s v="Dibrugarh Rajdhani"/>
    <s v="NNA"/>
    <x v="235"/>
    <n v="21"/>
    <n v="56.67"/>
    <n v="40"/>
    <n v="3.33"/>
    <n v="0"/>
    <d v="2025-09-28T01:58:04"/>
    <s v="https://etrain.info/train/Dibrugarh-Rajdhani-12424/history?d=1y"/>
  </r>
  <r>
    <x v="37"/>
    <s v="Dibrugarh Rajdhani"/>
    <s v="NJP"/>
    <x v="241"/>
    <n v="24"/>
    <n v="56.67"/>
    <n v="40"/>
    <n v="3.33"/>
    <n v="0"/>
    <d v="2025-09-28T01:58:11"/>
    <s v="https://etrain.info/train/Dibrugarh-Rajdhani-12424/history?d=1y"/>
  </r>
  <r>
    <x v="37"/>
    <s v="Dibrugarh Rajdhani"/>
    <s v="GHY"/>
    <x v="247"/>
    <n v="30"/>
    <n v="53.33"/>
    <n v="40"/>
    <n v="6.67"/>
    <n v="0"/>
    <d v="2025-09-28T01:58:25"/>
    <s v="https://etrain.info/train/Dibrugarh-Rajdhani-12424/history?d=1y"/>
  </r>
  <r>
    <x v="37"/>
    <s v="Dibrugarh Rajdhani"/>
    <s v="DMV"/>
    <x v="245"/>
    <n v="0"/>
    <n v="53.33"/>
    <n v="36.67"/>
    <n v="10"/>
    <n v="0"/>
    <d v="2025-09-28T01:58:34"/>
    <s v="https://etrain.info/train/Dibrugarh-Rajdhani-12424/history?d=1y"/>
  </r>
  <r>
    <x v="37"/>
    <s v="Dibrugarh Rajdhani"/>
    <s v="RNY"/>
    <x v="243"/>
    <n v="34"/>
    <n v="36.67"/>
    <n v="56.67"/>
    <n v="6.67"/>
    <n v="0"/>
    <d v="2025-09-28T01:58:21"/>
    <s v="https://etrain.info/train/Dibrugarh-Rajdhani-12424/history?d=1y"/>
  </r>
  <r>
    <x v="37"/>
    <s v="Dibrugarh Rajdhani"/>
    <s v="KOJ"/>
    <x v="240"/>
    <n v="30"/>
    <n v="33.33"/>
    <n v="63.33"/>
    <n v="3.33"/>
    <n v="0.01"/>
    <d v="2025-09-28T01:58:14"/>
    <s v="https://etrain.info/train/Dibrugarh-Rajdhani-12424/history?d=1y"/>
  </r>
  <r>
    <x v="37"/>
    <s v="Dibrugarh Rajdhani"/>
    <s v="NTSK"/>
    <x v="237"/>
    <n v="49"/>
    <n v="23.33"/>
    <n v="63.33"/>
    <n v="13.33"/>
    <n v="0.01"/>
    <d v="2025-09-28T01:58:38"/>
    <s v="https://etrain.info/train/Dibrugarh-Rajdhani-12424/history?d=1y"/>
  </r>
  <r>
    <x v="37"/>
    <s v="Dibrugarh Rajdhani"/>
    <s v="KNE"/>
    <x v="242"/>
    <n v="0"/>
    <n v="6.67"/>
    <n v="90"/>
    <n v="3.33"/>
    <n v="0"/>
    <d v="2025-09-28T01:58:07"/>
    <s v="https://etrain.info/train/Dibrugarh-Rajdhani-12424/history?d=1y"/>
  </r>
  <r>
    <x v="38"/>
    <s v="Rajdhani"/>
    <s v="MAS"/>
    <x v="125"/>
    <n v="2"/>
    <n v="100"/>
    <n v="0"/>
    <n v="0"/>
    <n v="0"/>
    <d v="2025-09-27T18:04:52"/>
    <s v="https://etrain.info/train/Rajdhani-12433/history?d=1y"/>
  </r>
  <r>
    <x v="38"/>
    <s v="Rajdhani"/>
    <s v="VGLJ"/>
    <x v="59"/>
    <n v="5"/>
    <n v="100"/>
    <n v="0"/>
    <n v="0"/>
    <n v="0"/>
    <d v="2025-09-27T18:05:03"/>
    <s v="https://etrain.info/train/Rajdhani-12433/history?d=1y"/>
  </r>
  <r>
    <x v="38"/>
    <s v="Rajdhani"/>
    <s v="AGC"/>
    <x v="61"/>
    <n v="7"/>
    <n v="88.89"/>
    <n v="11.11"/>
    <n v="0"/>
    <n v="0"/>
    <d v="2025-09-27T18:05:07"/>
    <s v="https://etrain.info/train/Rajdhani-12433/history?d=1y"/>
  </r>
  <r>
    <x v="38"/>
    <s v="Rajdhani"/>
    <s v="NZM"/>
    <x v="84"/>
    <n v="2"/>
    <n v="88.89"/>
    <n v="11.11"/>
    <n v="0"/>
    <n v="0"/>
    <d v="2025-09-27T18:05:08"/>
    <s v="https://etrain.info/train/Rajdhani-12433/history?d=1y"/>
  </r>
  <r>
    <x v="38"/>
    <s v="Rajdhani"/>
    <s v="NGP"/>
    <x v="184"/>
    <n v="16"/>
    <n v="77.78"/>
    <n v="22.22"/>
    <n v="0"/>
    <n v="0"/>
    <d v="2025-09-27T18:04:59"/>
    <s v="https://etrain.info/train/Rajdhani-12433/history?d=1y"/>
  </r>
  <r>
    <x v="38"/>
    <s v="Rajdhani"/>
    <s v="BPL"/>
    <x v="56"/>
    <n v="7"/>
    <n v="77.78"/>
    <n v="22.22"/>
    <n v="0"/>
    <n v="0"/>
    <d v="2025-09-27T18:05:01"/>
    <s v="https://etrain.info/train/Rajdhani-12433/history?d=1y"/>
  </r>
  <r>
    <x v="38"/>
    <s v="Rajdhani"/>
    <s v="BPQ"/>
    <x v="192"/>
    <n v="13"/>
    <n v="66.67"/>
    <n v="33.33"/>
    <n v="0"/>
    <n v="0"/>
    <d v="2025-09-27T18:04:57"/>
    <s v="https://etrain.info/train/Rajdhani-12433/history?d=1y"/>
  </r>
  <r>
    <x v="38"/>
    <s v="Rajdhani"/>
    <s v="GWL"/>
    <x v="64"/>
    <n v="13"/>
    <n v="66.67"/>
    <n v="33.33"/>
    <n v="0"/>
    <n v="0"/>
    <d v="2025-09-27T18:05:05"/>
    <s v="https://etrain.info/train/Rajdhani-12433/history?d=1y"/>
  </r>
  <r>
    <x v="38"/>
    <s v="Rajdhani"/>
    <s v="BZA"/>
    <x v="174"/>
    <n v="14"/>
    <n v="44.44"/>
    <n v="55.56"/>
    <n v="0"/>
    <n v="0"/>
    <d v="2025-09-27T18:04:54"/>
    <s v="https://etrain.info/train/Rajdhani-12433/history?d=1y"/>
  </r>
  <r>
    <x v="38"/>
    <s v="Rajdhani"/>
    <s v="WL"/>
    <x v="210"/>
    <n v="18"/>
    <n v="33.33"/>
    <n v="66.67"/>
    <n v="0"/>
    <n v="0"/>
    <d v="2025-09-27T18:04:55"/>
    <s v="https://etrain.info/train/Rajdhani-12433/history?d=1y"/>
  </r>
  <r>
    <x v="39"/>
    <s v="Rajdhani"/>
    <s v="NZM"/>
    <x v="84"/>
    <n v="0"/>
    <n v="100"/>
    <n v="0"/>
    <n v="0"/>
    <n v="0"/>
    <d v="2025-09-27T18:05:12"/>
    <s v="https://etrain.info/train/Rajdhani-12434/history?d=1y"/>
  </r>
  <r>
    <x v="39"/>
    <s v="Rajdhani"/>
    <s v="VGLJ"/>
    <x v="59"/>
    <n v="4"/>
    <n v="100"/>
    <n v="0"/>
    <n v="0"/>
    <n v="0"/>
    <d v="2025-09-27T18:05:18"/>
    <s v="https://etrain.info/train/Rajdhani-12434/history?d=1y"/>
  </r>
  <r>
    <x v="39"/>
    <s v="Rajdhani"/>
    <s v="BPL"/>
    <x v="56"/>
    <n v="10"/>
    <n v="100"/>
    <n v="0"/>
    <n v="0"/>
    <n v="0"/>
    <d v="2025-09-27T18:05:20"/>
    <s v="https://etrain.info/train/Rajdhani-12434/history?d=1y"/>
  </r>
  <r>
    <x v="39"/>
    <s v="Rajdhani"/>
    <s v="BPQ"/>
    <x v="192"/>
    <n v="1"/>
    <n v="100"/>
    <n v="0"/>
    <n v="0"/>
    <n v="0"/>
    <d v="2025-09-27T18:05:24"/>
    <s v="https://etrain.info/train/Rajdhani-12434/history?d=1y"/>
  </r>
  <r>
    <x v="39"/>
    <s v="Rajdhani"/>
    <s v="GWL"/>
    <x v="64"/>
    <n v="0"/>
    <n v="88.89"/>
    <n v="11.11"/>
    <n v="0"/>
    <n v="0"/>
    <d v="2025-09-27T18:05:16"/>
    <s v="https://etrain.info/train/Rajdhani-12434/history?d=1y"/>
  </r>
  <r>
    <x v="39"/>
    <s v="Rajdhani"/>
    <s v="WL"/>
    <x v="210"/>
    <n v="7"/>
    <n v="88.89"/>
    <n v="11.11"/>
    <n v="0"/>
    <n v="0"/>
    <d v="2025-09-27T18:05:26"/>
    <s v="https://etrain.info/train/Rajdhani-12434/history?d=1y"/>
  </r>
  <r>
    <x v="39"/>
    <s v="Rajdhani"/>
    <s v="MAS"/>
    <x v="125"/>
    <n v="0"/>
    <n v="88.89"/>
    <n v="11.11"/>
    <n v="0"/>
    <n v="0"/>
    <d v="2025-09-27T18:05:30"/>
    <s v="https://etrain.info/train/Rajdhani-12434/history?d=1y"/>
  </r>
  <r>
    <x v="39"/>
    <s v="Rajdhani"/>
    <s v="AGC"/>
    <x v="61"/>
    <n v="10"/>
    <n v="77.78"/>
    <n v="22.22"/>
    <n v="0"/>
    <n v="0"/>
    <d v="2025-09-27T18:05:14"/>
    <s v="https://etrain.info/train/Rajdhani-12434/history?d=1y"/>
  </r>
  <r>
    <x v="39"/>
    <s v="Rajdhani"/>
    <s v="NGP"/>
    <x v="184"/>
    <n v="6"/>
    <n v="77.78"/>
    <n v="22.22"/>
    <n v="0"/>
    <n v="0"/>
    <d v="2025-09-27T18:05:22"/>
    <s v="https://etrain.info/train/Rajdhani-12434/history?d=1y"/>
  </r>
  <r>
    <x v="39"/>
    <s v="Rajdhani"/>
    <s v="BZA"/>
    <x v="174"/>
    <n v="16"/>
    <n v="66.67"/>
    <n v="33.33"/>
    <n v="0"/>
    <n v="0"/>
    <d v="2025-09-27T18:05:28"/>
    <s v="https://etrain.info/train/Rajdhani-12434/history?d=1y"/>
  </r>
  <r>
    <x v="40"/>
    <s v="Guwahati Sbc Express"/>
    <s v="CTC"/>
    <x v="252"/>
    <n v="0"/>
    <n v="100"/>
    <n v="0"/>
    <n v="0"/>
    <n v="0"/>
    <d v="2025-09-28T01:37:55"/>
    <s v="https://etrain.info/train/Guwahati-SBC-Express-12509/history?d=1y"/>
  </r>
  <r>
    <x v="40"/>
    <s v="Guwahati Sbc Express"/>
    <s v="SMVB"/>
    <x v="172"/>
    <n v="6"/>
    <n v="91.67"/>
    <n v="8.33"/>
    <n v="0"/>
    <n v="0"/>
    <d v="2025-09-28T01:37:16"/>
    <s v="https://etrain.info/train/Guwahati-SBC-Express-12509/history?d=1y"/>
  </r>
  <r>
    <x v="40"/>
    <s v="Guwahati Sbc Express"/>
    <s v="KPD"/>
    <x v="190"/>
    <n v="11"/>
    <n v="83.33"/>
    <n v="16.670000000000002"/>
    <n v="0"/>
    <n v="0"/>
    <d v="2025-09-28T01:37:27"/>
    <s v="https://etrain.info/train/Guwahati-SBC-Express-12509/history?d=1y"/>
  </r>
  <r>
    <x v="40"/>
    <s v="Guwahati Sbc Express"/>
    <s v="JTJ"/>
    <x v="194"/>
    <n v="15"/>
    <n v="66.67"/>
    <n v="25"/>
    <n v="8.33"/>
    <n v="0"/>
    <d v="2025-09-28T01:37:25"/>
    <s v="https://etrain.info/train/Guwahati-SBC-Express-12509/history?d=1y"/>
  </r>
  <r>
    <x v="40"/>
    <s v="Guwahati Sbc Express"/>
    <s v="BWT"/>
    <x v="198"/>
    <n v="23"/>
    <n v="41.67"/>
    <n v="50"/>
    <n v="8.33"/>
    <n v="0"/>
    <d v="2025-09-28T01:37:21"/>
    <s v="https://etrain.info/train/Guwahati-SBC-Express-12509/history?d=1y"/>
  </r>
  <r>
    <x v="40"/>
    <s v="Guwahati Sbc Express"/>
    <s v="KJM"/>
    <x v="191"/>
    <n v="23"/>
    <n v="33.33"/>
    <n v="58.33"/>
    <n v="8.33"/>
    <n v="0.01"/>
    <d v="2025-09-28T01:37:18"/>
    <s v="https://etrain.info/train/Guwahati-SBC-Express-12509/history?d=1y"/>
  </r>
  <r>
    <x v="40"/>
    <s v="Guwahati Sbc Express"/>
    <s v="VSKP"/>
    <x v="253"/>
    <n v="48"/>
    <n v="33.33"/>
    <n v="41.67"/>
    <n v="25"/>
    <n v="0"/>
    <d v="2025-09-28T01:37:40"/>
    <s v="https://etrain.info/train/Guwahati-SBC-Express-12509/history?d=1y"/>
  </r>
  <r>
    <x v="40"/>
    <s v="Guwahati Sbc Express"/>
    <s v="AJJ"/>
    <x v="135"/>
    <n v="0"/>
    <n v="25"/>
    <n v="66.67"/>
    <n v="8.33"/>
    <n v="0"/>
    <d v="2025-09-28T01:37:30"/>
    <s v="https://etrain.info/train/Guwahati-SBC-Express-12509/history?d=1y"/>
  </r>
  <r>
    <x v="40"/>
    <s v="Guwahati Sbc Express"/>
    <s v="PER"/>
    <x v="136"/>
    <n v="31"/>
    <n v="25"/>
    <n v="58.33"/>
    <n v="16.670000000000002"/>
    <n v="0"/>
    <d v="2025-09-28T01:37:31"/>
    <s v="https://etrain.info/train/Guwahati-SBC-Express-12509/history?d=1y"/>
  </r>
  <r>
    <x v="40"/>
    <s v="Guwahati Sbc Express"/>
    <s v="VZM"/>
    <x v="173"/>
    <n v="62"/>
    <n v="25"/>
    <n v="25"/>
    <n v="50"/>
    <n v="0"/>
    <d v="2025-09-28T01:37:41"/>
    <s v="https://etrain.info/train/Guwahati-SBC-Express-12509/history?d=1y"/>
  </r>
  <r>
    <x v="40"/>
    <s v="Guwahati Sbc Express"/>
    <s v="OGL"/>
    <x v="207"/>
    <n v="0"/>
    <n v="8.33"/>
    <n v="83.33"/>
    <n v="8.33"/>
    <n v="0"/>
    <d v="2025-09-28T01:37:34"/>
    <s v="https://etrain.info/train/Guwahati-SBC-Express-12509/history?d=1y"/>
  </r>
  <r>
    <x v="40"/>
    <s v="Guwahati Sbc Express"/>
    <s v="BZA"/>
    <x v="174"/>
    <n v="55"/>
    <n v="8.33"/>
    <n v="50"/>
    <n v="41.67"/>
    <n v="0"/>
    <d v="2025-09-28T01:37:36"/>
    <s v="https://etrain.info/train/Guwahati-SBC-Express-12509/history?d=1y"/>
  </r>
  <r>
    <x v="40"/>
    <s v="Guwahati Sbc Express"/>
    <s v="RJY"/>
    <x v="254"/>
    <n v="70"/>
    <n v="8.33"/>
    <n v="50"/>
    <n v="41.67"/>
    <n v="0"/>
    <d v="2025-09-28T01:37:38"/>
    <s v="https://etrain.info/train/Guwahati-SBC-Express-12509/history?d=1y"/>
  </r>
  <r>
    <x v="40"/>
    <s v="Guwahati Sbc Express"/>
    <s v="CHE"/>
    <x v="255"/>
    <n v="71"/>
    <n v="8.33"/>
    <n v="25"/>
    <n v="66.67"/>
    <n v="0"/>
    <d v="2025-09-28T01:37:44"/>
    <s v="https://etrain.info/train/Guwahati-SBC-Express-12509/history?d=1y"/>
  </r>
  <r>
    <x v="40"/>
    <s v="Guwahati Sbc Express"/>
    <s v="PSA"/>
    <x v="256"/>
    <n v="65"/>
    <n v="8.33"/>
    <n v="41.67"/>
    <n v="50"/>
    <n v="0"/>
    <d v="2025-09-28T01:37:45"/>
    <s v="https://etrain.info/train/Guwahati-SBC-Express-12509/history?d=1y"/>
  </r>
  <r>
    <x v="40"/>
    <s v="Guwahati Sbc Express"/>
    <s v="KUR"/>
    <x v="257"/>
    <n v="79"/>
    <n v="8.33"/>
    <n v="16.670000000000002"/>
    <n v="75"/>
    <n v="0"/>
    <d v="2025-09-28T01:37:51"/>
    <s v="https://etrain.info/train/Guwahati-SBC-Express-12509/history?d=1y"/>
  </r>
  <r>
    <x v="40"/>
    <s v="Guwahati Sbc Express"/>
    <s v="BAM"/>
    <x v="258"/>
    <n v="77"/>
    <n v="0"/>
    <n v="25"/>
    <n v="75"/>
    <n v="0"/>
    <d v="2025-09-28T01:37:47"/>
    <s v="https://etrain.info/train/Guwahati-SBC-Express-12509/history?d=1y"/>
  </r>
  <r>
    <x v="40"/>
    <s v="Guwahati Sbc Express"/>
    <s v="BALU"/>
    <x v="259"/>
    <n v="82"/>
    <n v="0"/>
    <n v="16.670000000000002"/>
    <n v="83.33"/>
    <n v="0"/>
    <d v="2025-09-28T01:37:49"/>
    <s v="https://etrain.info/train/Guwahati-SBC-Express-12509/history?d=1y"/>
  </r>
  <r>
    <x v="40"/>
    <s v="Guwahati Sbc Express"/>
    <s v="BBS"/>
    <x v="175"/>
    <n v="79"/>
    <n v="0"/>
    <n v="25"/>
    <n v="75"/>
    <n v="0"/>
    <d v="2025-09-28T01:37:53"/>
    <s v="https://etrain.info/train/Guwahati-SBC-Express-12509/history?d=1y"/>
  </r>
  <r>
    <x v="40"/>
    <s v="Guwahati Sbc Express"/>
    <s v="JJKR"/>
    <x v="260"/>
    <n v="0"/>
    <n v="0"/>
    <n v="0"/>
    <n v="100"/>
    <n v="0"/>
    <d v="2025-09-28T01:37:57"/>
    <s v="https://etrain.info/train/Guwahati-SBC-Express-12509/history?d=1y"/>
  </r>
  <r>
    <x v="40"/>
    <s v="Guwahati Sbc Express"/>
    <s v="BHC"/>
    <x v="261"/>
    <n v="0"/>
    <n v="0"/>
    <n v="0"/>
    <n v="100"/>
    <n v="0"/>
    <d v="2025-09-28T01:38:01"/>
    <s v="https://etrain.info/train/Guwahati-SBC-Express-12509/history?d=1y"/>
  </r>
  <r>
    <x v="40"/>
    <s v="Guwahati Sbc Express"/>
    <s v="BLS"/>
    <x v="262"/>
    <n v="174"/>
    <n v="0"/>
    <n v="0"/>
    <n v="100"/>
    <n v="0"/>
    <d v="2025-09-28T01:38:02"/>
    <s v="https://etrain.info/train/Guwahati-SBC-Express-12509/history?d=1y"/>
  </r>
  <r>
    <x v="40"/>
    <s v="Guwahati Sbc Express"/>
    <s v="KGP"/>
    <x v="263"/>
    <n v="205"/>
    <n v="0"/>
    <n v="0"/>
    <n v="100"/>
    <n v="0"/>
    <d v="2025-09-28T01:38:04"/>
    <s v="https://etrain.info/train/Guwahati-SBC-Express-12509/history?d=1y"/>
  </r>
  <r>
    <x v="40"/>
    <s v="Guwahati Sbc Express"/>
    <s v="DKAE"/>
    <x v="264"/>
    <n v="240"/>
    <n v="0"/>
    <n v="0"/>
    <n v="100"/>
    <n v="0"/>
    <d v="2025-09-28T01:38:06"/>
    <s v="https://etrain.info/train/Guwahati-SBC-Express-12509/history?d=1y"/>
  </r>
  <r>
    <x v="40"/>
    <s v="Guwahati Sbc Express"/>
    <s v="BHP"/>
    <x v="265"/>
    <n v="249"/>
    <n v="0"/>
    <n v="0"/>
    <n v="100"/>
    <n v="0"/>
    <d v="2025-09-28T01:38:08"/>
    <s v="https://etrain.info/train/Guwahati-SBC-Express-12509/history?d=1y"/>
  </r>
  <r>
    <x v="40"/>
    <s v="Guwahati Sbc Express"/>
    <s v="RPH"/>
    <x v="266"/>
    <n v="245"/>
    <n v="0"/>
    <n v="0"/>
    <n v="100"/>
    <n v="0"/>
    <d v="2025-09-28T01:38:09"/>
    <s v="https://etrain.info/train/Guwahati-SBC-Express-12509/history?d=1y"/>
  </r>
  <r>
    <x v="40"/>
    <s v="Guwahati Sbc Express"/>
    <s v="NFK"/>
    <x v="267"/>
    <n v="208"/>
    <n v="0"/>
    <n v="0"/>
    <n v="100"/>
    <n v="0"/>
    <d v="2025-09-28T01:38:11"/>
    <s v="https://etrain.info/train/Guwahati-SBC-Express-12509/history?d=1y"/>
  </r>
  <r>
    <x v="40"/>
    <s v="Guwahati Sbc Express"/>
    <s v="MLDT"/>
    <x v="268"/>
    <n v="197"/>
    <n v="0"/>
    <n v="0"/>
    <n v="100"/>
    <n v="0"/>
    <d v="2025-09-28T01:38:13"/>
    <s v="https://etrain.info/train/Guwahati-SBC-Express-12509/history?d=1y"/>
  </r>
  <r>
    <x v="40"/>
    <s v="Guwahati Sbc Express"/>
    <s v="BOE"/>
    <x v="269"/>
    <n v="222"/>
    <n v="0"/>
    <n v="0"/>
    <n v="100"/>
    <n v="0"/>
    <d v="2025-09-28T01:38:15"/>
    <s v="https://etrain.info/train/Guwahati-SBC-Express-12509/history?d=1y"/>
  </r>
  <r>
    <x v="40"/>
    <s v="Guwahati Sbc Express"/>
    <s v="KNE"/>
    <x v="242"/>
    <n v="238"/>
    <n v="0"/>
    <n v="0"/>
    <n v="100"/>
    <n v="0"/>
    <d v="2025-09-28T01:38:16"/>
    <s v="https://etrain.info/train/Guwahati-SBC-Express-12509/history?d=1y"/>
  </r>
  <r>
    <x v="40"/>
    <s v="Guwahati Sbc Express"/>
    <s v="NJP"/>
    <x v="241"/>
    <n v="241"/>
    <n v="0"/>
    <n v="0"/>
    <n v="100"/>
    <n v="0"/>
    <d v="2025-09-28T01:38:18"/>
    <s v="https://etrain.info/train/Guwahati-SBC-Express-12509/history?d=1y"/>
  </r>
  <r>
    <x v="40"/>
    <s v="Guwahati Sbc Express"/>
    <s v="JPE"/>
    <x v="270"/>
    <n v="219"/>
    <n v="0"/>
    <n v="0"/>
    <n v="100"/>
    <n v="0"/>
    <d v="2025-09-28T01:38:20"/>
    <s v="https://etrain.info/train/Guwahati-SBC-Express-12509/history?d=1y"/>
  </r>
  <r>
    <x v="40"/>
    <s v="Guwahati Sbc Express"/>
    <s v="DQG"/>
    <x v="271"/>
    <n v="221"/>
    <n v="0"/>
    <n v="0"/>
    <n v="100"/>
    <n v="0"/>
    <d v="2025-09-28T01:38:22"/>
    <s v="https://etrain.info/train/Guwahati-SBC-Express-12509/history?d=1y"/>
  </r>
  <r>
    <x v="40"/>
    <s v="Guwahati Sbc Express"/>
    <s v="NCB"/>
    <x v="249"/>
    <n v="225"/>
    <n v="0"/>
    <n v="0"/>
    <n v="100"/>
    <n v="0"/>
    <d v="2025-09-28T01:38:23"/>
    <s v="https://etrain.info/train/Guwahati-SBC-Express-12509/history?d=1y"/>
  </r>
  <r>
    <x v="40"/>
    <s v="Guwahati Sbc Express"/>
    <s v="NOQ"/>
    <x v="272"/>
    <n v="232"/>
    <n v="0"/>
    <n v="0"/>
    <n v="100"/>
    <n v="0"/>
    <d v="2025-09-28T01:38:25"/>
    <s v="https://etrain.info/train/Guwahati-SBC-Express-12509/history?d=1y"/>
  </r>
  <r>
    <x v="40"/>
    <s v="Guwahati Sbc Express"/>
    <s v="KOJ"/>
    <x v="240"/>
    <n v="252"/>
    <n v="0"/>
    <n v="0"/>
    <n v="100"/>
    <n v="0"/>
    <d v="2025-09-28T01:38:27"/>
    <s v="https://etrain.info/train/Guwahati-SBC-Express-12509/history?d=1y"/>
  </r>
  <r>
    <x v="40"/>
    <s v="Guwahati Sbc Express"/>
    <s v="NBQ"/>
    <x v="238"/>
    <n v="222"/>
    <n v="0"/>
    <n v="0"/>
    <n v="100"/>
    <n v="0"/>
    <d v="2025-09-28T01:38:29"/>
    <s v="https://etrain.info/train/Guwahati-SBC-Express-12509/history?d=1y"/>
  </r>
  <r>
    <x v="40"/>
    <s v="Guwahati Sbc Express"/>
    <s v="BPRD"/>
    <x v="273"/>
    <n v="230"/>
    <n v="0"/>
    <n v="0"/>
    <n v="100"/>
    <n v="0"/>
    <d v="2025-09-28T01:38:31"/>
    <s v="https://etrain.info/train/Guwahati-SBC-Express-12509/history?d=1y"/>
  </r>
  <r>
    <x v="40"/>
    <s v="Guwahati Sbc Express"/>
    <s v="RNY"/>
    <x v="243"/>
    <n v="248"/>
    <n v="0"/>
    <n v="0"/>
    <n v="100"/>
    <n v="0"/>
    <d v="2025-09-28T01:38:33"/>
    <s v="https://etrain.info/train/Guwahati-SBC-Express-12509/history?d=1y"/>
  </r>
  <r>
    <x v="40"/>
    <s v="Guwahati Sbc Express"/>
    <s v="KYQ"/>
    <x v="274"/>
    <n v="225"/>
    <n v="0"/>
    <n v="0"/>
    <n v="100"/>
    <n v="0"/>
    <d v="2025-09-28T01:38:35"/>
    <s v="https://etrain.info/train/Guwahati-SBC-Express-12509/history?d=1y"/>
  </r>
  <r>
    <x v="40"/>
    <s v="Guwahati Sbc Express"/>
    <s v="GHY"/>
    <x v="247"/>
    <n v="208"/>
    <n v="0"/>
    <n v="8.33"/>
    <n v="91.67"/>
    <n v="0"/>
    <d v="2025-09-28T01:38:37"/>
    <s v="https://etrain.info/train/Guwahati-SBC-Express-12509/history?d=1y"/>
  </r>
  <r>
    <x v="41"/>
    <s v="Sbc Guwahati Express"/>
    <s v="GHY"/>
    <x v="247"/>
    <n v="2"/>
    <n v="100"/>
    <n v="0"/>
    <n v="0"/>
    <n v="0"/>
    <d v="2025-09-28T01:38:45"/>
    <s v="https://etrain.info/train/SBC-Guwahati-Express-12510/history?d=1y"/>
  </r>
  <r>
    <x v="41"/>
    <s v="Sbc Guwahati Express"/>
    <s v="KYQ"/>
    <x v="274"/>
    <n v="0"/>
    <n v="100"/>
    <n v="0"/>
    <n v="0"/>
    <n v="0"/>
    <d v="2025-09-28T01:38:47"/>
    <s v="https://etrain.info/train/SBC-Guwahati-Express-12510/history?d=1y"/>
  </r>
  <r>
    <x v="41"/>
    <s v="Sbc Guwahati Express"/>
    <s v="NBQ"/>
    <x v="238"/>
    <n v="3"/>
    <n v="100"/>
    <n v="0"/>
    <n v="0"/>
    <n v="0"/>
    <d v="2025-09-28T01:38:55"/>
    <s v="https://etrain.info/train/SBC-Guwahati-Express-12510/history?d=1y"/>
  </r>
  <r>
    <x v="41"/>
    <s v="Sbc Guwahati Express"/>
    <s v="RNY"/>
    <x v="243"/>
    <n v="8"/>
    <n v="92.31"/>
    <n v="7.69"/>
    <n v="0"/>
    <n v="0"/>
    <d v="2025-09-28T01:38:51"/>
    <s v="https://etrain.info/train/SBC-Guwahati-Express-12510/history?d=1y"/>
  </r>
  <r>
    <x v="41"/>
    <s v="Sbc Guwahati Express"/>
    <s v="KOJ"/>
    <x v="240"/>
    <n v="7"/>
    <n v="92.31"/>
    <n v="7.69"/>
    <n v="0"/>
    <n v="0"/>
    <d v="2025-09-28T01:38:59"/>
    <s v="https://etrain.info/train/SBC-Guwahati-Express-12510/history?d=1y"/>
  </r>
  <r>
    <x v="41"/>
    <s v="Sbc Guwahati Express"/>
    <s v="NJP"/>
    <x v="241"/>
    <n v="8"/>
    <n v="76.92"/>
    <n v="23.08"/>
    <n v="0"/>
    <n v="0"/>
    <d v="2025-09-28T01:39:08"/>
    <s v="https://etrain.info/train/SBC-Guwahati-Express-12510/history?d=1y"/>
  </r>
  <r>
    <x v="41"/>
    <s v="Sbc Guwahati Express"/>
    <s v="MLDT"/>
    <x v="268"/>
    <n v="12"/>
    <n v="76.92"/>
    <n v="15.38"/>
    <n v="7.69"/>
    <n v="0.01"/>
    <d v="2025-09-28T01:39:16"/>
    <s v="https://etrain.info/train/SBC-Guwahati-Express-12510/history?d=1y"/>
  </r>
  <r>
    <x v="41"/>
    <s v="Sbc Guwahati Express"/>
    <s v="KNE"/>
    <x v="242"/>
    <n v="20"/>
    <n v="69.23"/>
    <n v="30.77"/>
    <n v="0"/>
    <n v="0"/>
    <d v="2025-09-28T01:39:12"/>
    <s v="https://etrain.info/train/SBC-Guwahati-Express-12510/history?d=1y"/>
  </r>
  <r>
    <x v="41"/>
    <s v="Sbc Guwahati Express"/>
    <s v="NFK"/>
    <x v="267"/>
    <n v="21"/>
    <n v="69.23"/>
    <n v="15.38"/>
    <n v="15.38"/>
    <n v="0.01"/>
    <d v="2025-09-28T01:39:18"/>
    <s v="https://etrain.info/train/SBC-Guwahati-Express-12510/history?d=1y"/>
  </r>
  <r>
    <x v="41"/>
    <s v="Sbc Guwahati Express"/>
    <s v="RPH"/>
    <x v="266"/>
    <n v="19"/>
    <n v="69.23"/>
    <n v="15.38"/>
    <n v="15.38"/>
    <n v="0.01"/>
    <d v="2025-09-28T01:39:20"/>
    <s v="https://etrain.info/train/SBC-Guwahati-Express-12510/history?d=1y"/>
  </r>
  <r>
    <x v="41"/>
    <s v="Sbc Guwahati Express"/>
    <s v="BPRD"/>
    <x v="273"/>
    <n v="14"/>
    <n v="61.54"/>
    <n v="38.46"/>
    <n v="0"/>
    <n v="0"/>
    <d v="2025-09-28T01:38:53"/>
    <s v="https://etrain.info/train/SBC-Guwahati-Express-12510/history?d=1y"/>
  </r>
  <r>
    <x v="41"/>
    <s v="Sbc Guwahati Express"/>
    <s v="BHP"/>
    <x v="265"/>
    <n v="24"/>
    <n v="53.85"/>
    <n v="30.77"/>
    <n v="15.38"/>
    <n v="0"/>
    <d v="2025-09-28T01:39:24"/>
    <s v="https://etrain.info/train/SBC-Guwahati-Express-12510/history?d=1y"/>
  </r>
  <r>
    <x v="41"/>
    <s v="Sbc Guwahati Express"/>
    <s v="JPE"/>
    <x v="270"/>
    <n v="22"/>
    <n v="38.46"/>
    <n v="61.54"/>
    <n v="0"/>
    <n v="0"/>
    <d v="2025-09-28T01:39:07"/>
    <s v="https://etrain.info/train/SBC-Guwahati-Express-12510/history?d=1y"/>
  </r>
  <r>
    <x v="41"/>
    <s v="Sbc Guwahati Express"/>
    <s v="BOE"/>
    <x v="269"/>
    <n v="19"/>
    <n v="38.46"/>
    <n v="61.54"/>
    <n v="0"/>
    <n v="0"/>
    <d v="2025-09-28T01:39:14"/>
    <s v="https://etrain.info/train/SBC-Guwahati-Express-12510/history?d=1y"/>
  </r>
  <r>
    <x v="41"/>
    <s v="Sbc Guwahati Express"/>
    <s v="NOQ"/>
    <x v="272"/>
    <n v="18"/>
    <n v="30.77"/>
    <n v="69.23"/>
    <n v="0"/>
    <n v="0"/>
    <d v="2025-09-28T01:39:01"/>
    <s v="https://etrain.info/train/SBC-Guwahati-Express-12510/history?d=1y"/>
  </r>
  <r>
    <x v="41"/>
    <s v="Sbc Guwahati Express"/>
    <s v="NCB"/>
    <x v="249"/>
    <n v="21"/>
    <n v="23.08"/>
    <n v="76.92"/>
    <n v="0"/>
    <n v="0"/>
    <d v="2025-09-28T01:39:03"/>
    <s v="https://etrain.info/train/SBC-Guwahati-Express-12510/history?d=1y"/>
  </r>
  <r>
    <x v="41"/>
    <s v="Sbc Guwahati Express"/>
    <s v="SMVB"/>
    <x v="172"/>
    <n v="169"/>
    <n v="15.38"/>
    <n v="0"/>
    <n v="84.62"/>
    <n v="0"/>
    <d v="2025-09-28T01:40:04"/>
    <s v="https://etrain.info/train/SBC-Guwahati-Express-12510/history?d=1y"/>
  </r>
  <r>
    <x v="41"/>
    <s v="Sbc Guwahati Express"/>
    <s v="DQG"/>
    <x v="271"/>
    <n v="29"/>
    <n v="7.69"/>
    <n v="92.31"/>
    <n v="0"/>
    <n v="0"/>
    <d v="2025-09-28T01:39:05"/>
    <s v="https://etrain.info/train/SBC-Guwahati-Express-12510/history?d=1y"/>
  </r>
  <r>
    <x v="41"/>
    <s v="Sbc Guwahati Express"/>
    <s v="AJJ"/>
    <x v="135"/>
    <n v="201"/>
    <n v="7.69"/>
    <n v="0"/>
    <n v="92.31"/>
    <n v="0"/>
    <d v="2025-09-28T01:39:56"/>
    <s v="https://etrain.info/train/SBC-Guwahati-Express-12510/history?d=1y"/>
  </r>
  <r>
    <x v="41"/>
    <s v="Sbc Guwahati Express"/>
    <s v="KPD"/>
    <x v="190"/>
    <n v="187"/>
    <n v="7.69"/>
    <n v="7.69"/>
    <n v="84.62"/>
    <n v="0"/>
    <d v="2025-09-28T01:39:57"/>
    <s v="https://etrain.info/train/SBC-Guwahati-Express-12510/history?d=1y"/>
  </r>
  <r>
    <x v="41"/>
    <s v="Sbc Guwahati Express"/>
    <s v="JTJ"/>
    <x v="194"/>
    <n v="182"/>
    <n v="7.69"/>
    <n v="7.69"/>
    <n v="84.62"/>
    <n v="0"/>
    <d v="2025-09-28T01:39:59"/>
    <s v="https://etrain.info/train/SBC-Guwahati-Express-12510/history?d=1y"/>
  </r>
  <r>
    <x v="41"/>
    <s v="Sbc Guwahati Express"/>
    <s v="BWT"/>
    <x v="198"/>
    <n v="198"/>
    <n v="7.69"/>
    <n v="7.69"/>
    <n v="84.62"/>
    <n v="0"/>
    <d v="2025-09-28T01:40:00"/>
    <s v="https://etrain.info/train/SBC-Guwahati-Express-12510/history?d=1y"/>
  </r>
  <r>
    <x v="41"/>
    <s v="Sbc Guwahati Express"/>
    <s v="DKAE"/>
    <x v="264"/>
    <n v="58"/>
    <n v="0"/>
    <n v="53.85"/>
    <n v="46.15"/>
    <n v="0"/>
    <d v="2025-09-28T01:39:25"/>
    <s v="https://etrain.info/train/SBC-Guwahati-Express-12510/history?d=1y"/>
  </r>
  <r>
    <x v="41"/>
    <s v="Sbc Guwahati Express"/>
    <s v="KGP"/>
    <x v="263"/>
    <n v="78"/>
    <n v="0"/>
    <n v="46.15"/>
    <n v="53.85"/>
    <n v="0"/>
    <d v="2025-09-28T01:39:27"/>
    <s v="https://etrain.info/train/SBC-Guwahati-Express-12510/history?d=1y"/>
  </r>
  <r>
    <x v="41"/>
    <s v="Sbc Guwahati Express"/>
    <s v="BLS"/>
    <x v="262"/>
    <n v="0"/>
    <n v="0"/>
    <n v="23.08"/>
    <n v="76.92"/>
    <n v="0"/>
    <d v="2025-09-28T01:39:30"/>
    <s v="https://etrain.info/train/SBC-Guwahati-Express-12510/history?d=1y"/>
  </r>
  <r>
    <x v="41"/>
    <s v="Sbc Guwahati Express"/>
    <s v="BHC"/>
    <x v="261"/>
    <n v="97"/>
    <n v="0"/>
    <n v="23.08"/>
    <n v="76.92"/>
    <n v="0"/>
    <d v="2025-09-28T01:39:32"/>
    <s v="https://etrain.info/train/SBC-Guwahati-Express-12510/history?d=1y"/>
  </r>
  <r>
    <x v="41"/>
    <s v="Sbc Guwahati Express"/>
    <s v="JJKR"/>
    <x v="260"/>
    <n v="97"/>
    <n v="0"/>
    <n v="23.08"/>
    <n v="76.92"/>
    <n v="0"/>
    <d v="2025-09-28T01:39:33"/>
    <s v="https://etrain.info/train/SBC-Guwahati-Express-12510/history?d=1y"/>
  </r>
  <r>
    <x v="41"/>
    <s v="Sbc Guwahati Express"/>
    <s v="CTC"/>
    <x v="252"/>
    <n v="131"/>
    <n v="0"/>
    <n v="15.38"/>
    <n v="84.62"/>
    <n v="0"/>
    <d v="2025-09-28T01:39:35"/>
    <s v="https://etrain.info/train/SBC-Guwahati-Express-12510/history?d=1y"/>
  </r>
  <r>
    <x v="41"/>
    <s v="Sbc Guwahati Express"/>
    <s v="BBS"/>
    <x v="175"/>
    <n v="124"/>
    <n v="0"/>
    <n v="7.69"/>
    <n v="92.31"/>
    <n v="0"/>
    <d v="2025-09-28T01:39:37"/>
    <s v="https://etrain.info/train/SBC-Guwahati-Express-12510/history?d=1y"/>
  </r>
  <r>
    <x v="41"/>
    <s v="Sbc Guwahati Express"/>
    <s v="KUR"/>
    <x v="257"/>
    <n v="119"/>
    <n v="0"/>
    <n v="15.38"/>
    <n v="84.62"/>
    <n v="0"/>
    <d v="2025-09-28T01:39:39"/>
    <s v="https://etrain.info/train/SBC-Guwahati-Express-12510/history?d=1y"/>
  </r>
  <r>
    <x v="41"/>
    <s v="Sbc Guwahati Express"/>
    <s v="BALU"/>
    <x v="259"/>
    <n v="126"/>
    <n v="0"/>
    <n v="7.69"/>
    <n v="92.31"/>
    <n v="0"/>
    <d v="2025-09-28T01:39:41"/>
    <s v="https://etrain.info/train/SBC-Guwahati-Express-12510/history?d=1y"/>
  </r>
  <r>
    <x v="41"/>
    <s v="Sbc Guwahati Express"/>
    <s v="BAM"/>
    <x v="258"/>
    <n v="123"/>
    <n v="0"/>
    <n v="7.69"/>
    <n v="92.31"/>
    <n v="0"/>
    <d v="2025-09-28T01:39:43"/>
    <s v="https://etrain.info/train/SBC-Guwahati-Express-12510/history?d=1y"/>
  </r>
  <r>
    <x v="41"/>
    <s v="Sbc Guwahati Express"/>
    <s v="PSA"/>
    <x v="256"/>
    <n v="110"/>
    <n v="0"/>
    <n v="15.38"/>
    <n v="84.62"/>
    <n v="0"/>
    <d v="2025-09-28T01:39:45"/>
    <s v="https://etrain.info/train/SBC-Guwahati-Express-12510/history?d=1y"/>
  </r>
  <r>
    <x v="41"/>
    <s v="Sbc Guwahati Express"/>
    <s v="CHE"/>
    <x v="255"/>
    <n v="112"/>
    <n v="0"/>
    <n v="15.38"/>
    <n v="84.62"/>
    <n v="0"/>
    <d v="2025-09-28T01:39:46"/>
    <s v="https://etrain.info/train/SBC-Guwahati-Express-12510/history?d=1y"/>
  </r>
  <r>
    <x v="41"/>
    <s v="Sbc Guwahati Express"/>
    <s v="VZM"/>
    <x v="173"/>
    <n v="124"/>
    <n v="0"/>
    <n v="7.69"/>
    <n v="92.31"/>
    <n v="0"/>
    <d v="2025-09-28T01:39:48"/>
    <s v="https://etrain.info/train/SBC-Guwahati-Express-12510/history?d=1y"/>
  </r>
  <r>
    <x v="41"/>
    <s v="Sbc Guwahati Express"/>
    <s v="VSKP"/>
    <x v="253"/>
    <n v="133"/>
    <n v="0"/>
    <n v="15.38"/>
    <n v="84.62"/>
    <n v="0"/>
    <d v="2025-09-28T01:39:49"/>
    <s v="https://etrain.info/train/SBC-Guwahati-Express-12510/history?d=1y"/>
  </r>
  <r>
    <x v="41"/>
    <s v="Sbc Guwahati Express"/>
    <s v="RJY"/>
    <x v="254"/>
    <n v="161"/>
    <n v="0"/>
    <n v="15.38"/>
    <n v="84.62"/>
    <n v="0"/>
    <d v="2025-09-28T01:39:51"/>
    <s v="https://etrain.info/train/SBC-Guwahati-Express-12510/history?d=1y"/>
  </r>
  <r>
    <x v="41"/>
    <s v="Sbc Guwahati Express"/>
    <s v="BZA"/>
    <x v="174"/>
    <n v="158"/>
    <n v="0"/>
    <n v="15.38"/>
    <n v="84.62"/>
    <n v="0"/>
    <d v="2025-09-28T01:39:53"/>
    <s v="https://etrain.info/train/SBC-Guwahati-Express-12510/history?d=1y"/>
  </r>
  <r>
    <x v="41"/>
    <s v="Sbc Guwahati Express"/>
    <s v="PER"/>
    <x v="136"/>
    <n v="200"/>
    <n v="0"/>
    <n v="7.69"/>
    <n v="92.31"/>
    <n v="0"/>
    <d v="2025-09-28T01:39:54"/>
    <s v="https://etrain.info/train/SBC-Guwahati-Express-12510/history?d=1y"/>
  </r>
  <r>
    <x v="41"/>
    <s v="Sbc Guwahati Express"/>
    <s v="KJM"/>
    <x v="191"/>
    <n v="208"/>
    <n v="0"/>
    <n v="15.38"/>
    <n v="84.62"/>
    <n v="0"/>
    <d v="2025-09-28T01:40:02"/>
    <s v="https://etrain.info/train/SBC-Guwahati-Express-12510/history?d=1y"/>
  </r>
  <r>
    <x v="42"/>
    <s v="Tamil Nadu Exp"/>
    <s v="MAS"/>
    <x v="125"/>
    <n v="0"/>
    <n v="96.99"/>
    <n v="2.74"/>
    <n v="0.27"/>
    <n v="0"/>
    <d v="2025-09-27T18:01:11"/>
    <s v="https://etrain.info/train/Tamil-Nadu-Exp-12621/history?d=1y"/>
  </r>
  <r>
    <x v="42"/>
    <s v="Tamil Nadu Exp"/>
    <s v="ET"/>
    <x v="87"/>
    <n v="29"/>
    <n v="67.95"/>
    <n v="20.27"/>
    <n v="11.78"/>
    <n v="0"/>
    <d v="2025-09-27T18:01:24"/>
    <s v="https://etrain.info/train/Tamil-Nadu-Exp-12621/history?d=1y"/>
  </r>
  <r>
    <x v="42"/>
    <s v="Tamil Nadu Exp"/>
    <s v="BPL"/>
    <x v="56"/>
    <n v="0"/>
    <n v="67.400000000000006"/>
    <n v="20.82"/>
    <n v="11.78"/>
    <n v="0"/>
    <d v="2025-09-27T18:01:28"/>
    <s v="https://etrain.info/train/Tamil-Nadu-Exp-12621/history?d=1y"/>
  </r>
  <r>
    <x v="42"/>
    <s v="Tamil Nadu Exp"/>
    <s v="KMT"/>
    <x v="195"/>
    <n v="17"/>
    <n v="62.47"/>
    <n v="33.42"/>
    <n v="3.29"/>
    <n v="0.82"/>
    <d v="2025-09-27T18:01:15"/>
    <s v="https://etrain.info/train/Tamil-Nadu-Exp-12621/history?d=1y"/>
  </r>
  <r>
    <x v="42"/>
    <s v="Tamil Nadu Exp"/>
    <s v="BZA"/>
    <x v="174"/>
    <n v="17"/>
    <n v="59.18"/>
    <n v="37.26"/>
    <n v="3.01"/>
    <n v="0.55000000000000004"/>
    <d v="2025-09-27T18:01:13"/>
    <s v="https://etrain.info/train/Tamil-Nadu-Exp-12621/history?d=1y"/>
  </r>
  <r>
    <x v="42"/>
    <s v="Tamil Nadu Exp"/>
    <s v="BPQ"/>
    <x v="192"/>
    <n v="22"/>
    <n v="53.97"/>
    <n v="38.9"/>
    <n v="6.3"/>
    <n v="0.83"/>
    <d v="2025-09-27T18:01:19"/>
    <s v="https://etrain.info/train/Tamil-Nadu-Exp-12621/history?d=1y"/>
  </r>
  <r>
    <x v="42"/>
    <s v="Tamil Nadu Exp"/>
    <s v="VGLJ"/>
    <x v="59"/>
    <n v="34"/>
    <n v="51.78"/>
    <n v="36.99"/>
    <n v="11.23"/>
    <n v="0"/>
    <d v="2025-09-27T18:01:32"/>
    <s v="https://etrain.info/train/Tamil-Nadu-Exp-12621/history?d=1y"/>
  </r>
  <r>
    <x v="42"/>
    <s v="Tamil Nadu Exp"/>
    <s v="NZM"/>
    <x v="84"/>
    <n v="53"/>
    <n v="47.95"/>
    <n v="33.42"/>
    <n v="18.63"/>
    <n v="0"/>
    <d v="2025-09-27T18:01:45"/>
    <s v="https://etrain.info/train/Tamil-Nadu-Exp-12621/history?d=1y"/>
  </r>
  <r>
    <x v="42"/>
    <s v="Tamil Nadu Exp"/>
    <s v="NDLS"/>
    <x v="58"/>
    <n v="54"/>
    <n v="44.93"/>
    <n v="35.89"/>
    <n v="19.18"/>
    <n v="0"/>
    <d v="2025-09-27T18:01:46"/>
    <s v="https://etrain.info/train/Tamil-Nadu-Exp-12621/history?d=1y"/>
  </r>
  <r>
    <x v="42"/>
    <s v="Tamil Nadu Exp"/>
    <s v="AGC"/>
    <x v="61"/>
    <n v="49"/>
    <n v="43.01"/>
    <n v="37.26"/>
    <n v="19.73"/>
    <n v="0"/>
    <d v="2025-09-27T18:01:40"/>
    <s v="https://etrain.info/train/Tamil-Nadu-Exp-12621/history?d=1y"/>
  </r>
  <r>
    <x v="42"/>
    <s v="Tamil Nadu Exp"/>
    <s v="WL"/>
    <x v="210"/>
    <n v="28"/>
    <n v="32.6"/>
    <n v="61.64"/>
    <n v="4.93"/>
    <n v="0.83"/>
    <d v="2025-09-27T18:01:17"/>
    <s v="https://etrain.info/train/Tamil-Nadu-Exp-12621/history?d=1y"/>
  </r>
  <r>
    <x v="42"/>
    <s v="Tamil Nadu Exp"/>
    <s v="NGP"/>
    <x v="184"/>
    <n v="37"/>
    <n v="26.58"/>
    <n v="63.29"/>
    <n v="9.59"/>
    <n v="0.54"/>
    <d v="2025-09-27T18:01:21"/>
    <s v="https://etrain.info/train/Tamil-Nadu-Exp-12621/history?d=1y"/>
  </r>
  <r>
    <x v="42"/>
    <s v="Tamil Nadu Exp"/>
    <s v="GWL"/>
    <x v="64"/>
    <n v="51"/>
    <n v="15.07"/>
    <n v="66.3"/>
    <n v="18.63"/>
    <n v="0"/>
    <d v="2025-09-27T18:01:36"/>
    <s v="https://etrain.info/train/Tamil-Nadu-Exp-12621/history?d=1y"/>
  </r>
  <r>
    <x v="43"/>
    <s v="Tamil Nadu Exp"/>
    <s v="NDLS"/>
    <x v="58"/>
    <n v="16"/>
    <n v="93.97"/>
    <n v="1.37"/>
    <n v="4.66"/>
    <n v="0"/>
    <d v="2025-09-27T18:01:52"/>
    <s v="https://etrain.info/train/Tamil-Nadu-Exp-12622/history?d=1y"/>
  </r>
  <r>
    <x v="43"/>
    <s v="Tamil Nadu Exp"/>
    <s v="MAS"/>
    <x v="125"/>
    <n v="36"/>
    <n v="79.45"/>
    <n v="7.4"/>
    <n v="13.15"/>
    <n v="0"/>
    <d v="2025-09-27T18:02:24"/>
    <s v="https://etrain.info/train/Tamil-Nadu-Exp-12622/history?d=1y"/>
  </r>
  <r>
    <x v="43"/>
    <s v="Tamil Nadu Exp"/>
    <s v="ET"/>
    <x v="87"/>
    <n v="35"/>
    <n v="78.36"/>
    <n v="7.95"/>
    <n v="13.7"/>
    <n v="0"/>
    <d v="2025-09-27T18:02:08"/>
    <s v="https://etrain.info/train/Tamil-Nadu-Exp-12622/history?d=1y"/>
  </r>
  <r>
    <x v="43"/>
    <s v="Tamil Nadu Exp"/>
    <s v="BPQ"/>
    <x v="192"/>
    <n v="46"/>
    <n v="61.92"/>
    <n v="22.19"/>
    <n v="15.62"/>
    <n v="0.27"/>
    <d v="2025-09-27T18:02:14"/>
    <s v="https://etrain.info/train/Tamil-Nadu-Exp-12622/history?d=1y"/>
  </r>
  <r>
    <x v="43"/>
    <s v="Tamil Nadu Exp"/>
    <s v="GWL"/>
    <x v="64"/>
    <n v="31"/>
    <n v="61.64"/>
    <n v="29.04"/>
    <n v="9.32"/>
    <n v="0"/>
    <d v="2025-09-27T18:01:58"/>
    <s v="https://etrain.info/train/Tamil-Nadu-Exp-12622/history?d=1y"/>
  </r>
  <r>
    <x v="43"/>
    <s v="Tamil Nadu Exp"/>
    <s v="BPL"/>
    <x v="56"/>
    <n v="39"/>
    <n v="59.18"/>
    <n v="27.4"/>
    <n v="13.42"/>
    <n v="0"/>
    <d v="2025-09-27T18:02:04"/>
    <s v="https://etrain.info/train/Tamil-Nadu-Exp-12622/history?d=1y"/>
  </r>
  <r>
    <x v="43"/>
    <s v="Tamil Nadu Exp"/>
    <s v="NGP"/>
    <x v="184"/>
    <n v="45"/>
    <n v="58.36"/>
    <n v="28.22"/>
    <n v="13.42"/>
    <n v="0"/>
    <d v="2025-09-27T18:02:12"/>
    <s v="https://etrain.info/train/Tamil-Nadu-Exp-12622/history?d=1y"/>
  </r>
  <r>
    <x v="43"/>
    <s v="Tamil Nadu Exp"/>
    <s v="VGLJ"/>
    <x v="59"/>
    <n v="37"/>
    <n v="53.42"/>
    <n v="36.71"/>
    <n v="9.86"/>
    <n v="0.01"/>
    <d v="2025-09-27T18:02:00"/>
    <s v="https://etrain.info/train/Tamil-Nadu-Exp-12622/history?d=1y"/>
  </r>
  <r>
    <x v="43"/>
    <s v="Tamil Nadu Exp"/>
    <s v="BZA"/>
    <x v="174"/>
    <n v="67"/>
    <n v="25.75"/>
    <n v="53.15"/>
    <n v="21.1"/>
    <n v="0"/>
    <d v="2025-09-27T18:02:20"/>
    <s v="https://etrain.info/train/Tamil-Nadu-Exp-12622/history?d=1y"/>
  </r>
  <r>
    <x v="43"/>
    <s v="Tamil Nadu Exp"/>
    <s v="AGC"/>
    <x v="61"/>
    <n v="37"/>
    <n v="25.21"/>
    <n v="67.400000000000006"/>
    <n v="7.4"/>
    <n v="0"/>
    <d v="2025-09-27T18:01:56"/>
    <s v="https://etrain.info/train/Tamil-Nadu-Exp-12622/history?d=1y"/>
  </r>
  <r>
    <x v="43"/>
    <s v="Tamil Nadu Exp"/>
    <s v="WL"/>
    <x v="210"/>
    <n v="64"/>
    <n v="23.56"/>
    <n v="55.07"/>
    <n v="21.1"/>
    <n v="0.27"/>
    <d v="2025-09-27T18:02:16"/>
    <s v="https://etrain.info/train/Tamil-Nadu-Exp-12622/history?d=1y"/>
  </r>
  <r>
    <x v="43"/>
    <s v="Tamil Nadu Exp"/>
    <s v="KMT"/>
    <x v="195"/>
    <n v="82"/>
    <n v="5.75"/>
    <n v="59.73"/>
    <n v="34.25"/>
    <n v="0.27"/>
    <d v="2025-09-27T18:02:18"/>
    <s v="https://etrain.info/train/Tamil-Nadu-Exp-12622/history?d=1y"/>
  </r>
  <r>
    <x v="44"/>
    <s v="Kerala Express"/>
    <s v="TVC"/>
    <x v="275"/>
    <n v="7"/>
    <n v="94.52"/>
    <n v="4.93"/>
    <n v="0.55000000000000004"/>
    <n v="0"/>
    <d v="2025-09-27T18:44:38"/>
    <s v="https://etrain.info/train/Kerala-Express-12625/history?d=1y"/>
  </r>
  <r>
    <x v="44"/>
    <s v="Kerala Express"/>
    <s v="KPD"/>
    <x v="190"/>
    <n v="9"/>
    <n v="93.7"/>
    <n v="4.1100000000000003"/>
    <n v="2.19"/>
    <n v="0"/>
    <d v="2025-09-27T18:45:43"/>
    <s v="https://etrain.info/train/Kerala-Express-12625/history?d=1y"/>
  </r>
  <r>
    <x v="44"/>
    <s v="Kerala Express"/>
    <s v="JTJ"/>
    <x v="194"/>
    <n v="12"/>
    <n v="89.86"/>
    <n v="7.4"/>
    <n v="2.74"/>
    <n v="0"/>
    <d v="2025-09-27T18:45:39"/>
    <s v="https://etrain.info/train/Kerala-Express-12625/history?d=1y"/>
  </r>
  <r>
    <x v="44"/>
    <s v="Kerala Express"/>
    <s v="VAK"/>
    <x v="276"/>
    <n v="8"/>
    <n v="89.59"/>
    <n v="9.59"/>
    <n v="0.82"/>
    <n v="0"/>
    <d v="2025-09-27T18:44:41"/>
    <s v="https://etrain.info/train/Kerala-Express-12625/history?d=1y"/>
  </r>
  <r>
    <x v="44"/>
    <s v="Kerala Express"/>
    <s v="QLN"/>
    <x v="151"/>
    <n v="10"/>
    <n v="87.12"/>
    <n v="12.05"/>
    <n v="0.82"/>
    <n v="0.01"/>
    <d v="2025-09-27T18:44:43"/>
    <s v="https://etrain.info/train/Kerala-Express-12625/history?d=1y"/>
  </r>
  <r>
    <x v="44"/>
    <s v="Kerala Express"/>
    <s v="BPQ"/>
    <x v="192"/>
    <n v="18"/>
    <n v="75.62"/>
    <n v="18.36"/>
    <n v="5.21"/>
    <n v="0.81"/>
    <d v="2025-09-27T18:46:01"/>
    <s v="https://etrain.info/train/Kerala-Express-12625/history?d=1y"/>
  </r>
  <r>
    <x v="44"/>
    <s v="Kerala Express"/>
    <s v="BINA"/>
    <x v="57"/>
    <n v="25"/>
    <n v="70.959999999999994"/>
    <n v="20.27"/>
    <n v="8.77"/>
    <n v="0"/>
    <d v="2025-09-27T18:46:17"/>
    <s v="https://etrain.info/train/Kerala-Express-12625/history?d=1y"/>
  </r>
  <r>
    <x v="44"/>
    <s v="Kerala Express"/>
    <s v="OTP"/>
    <x v="277"/>
    <n v="17"/>
    <n v="70.14"/>
    <n v="26.85"/>
    <n v="3.01"/>
    <n v="0"/>
    <d v="2025-09-27T18:45:19"/>
    <s v="https://etrain.info/train/Kerala-Express-12625/history?d=1y"/>
  </r>
  <r>
    <x v="44"/>
    <s v="Kerala Express"/>
    <s v="CD"/>
    <x v="196"/>
    <n v="19"/>
    <n v="65.75"/>
    <n v="27.95"/>
    <n v="5.48"/>
    <n v="0.82"/>
    <d v="2025-09-27T18:46:03"/>
    <s v="https://etrain.info/train/Kerala-Express-12625/history?d=1y"/>
  </r>
  <r>
    <x v="44"/>
    <s v="Kerala Express"/>
    <s v="CBE"/>
    <x v="0"/>
    <n v="17"/>
    <n v="65.48"/>
    <n v="31.23"/>
    <n v="3.29"/>
    <n v="0"/>
    <d v="2025-09-27T18:45:26"/>
    <s v="https://etrain.info/train/Kerala-Express-12625/history?d=1y"/>
  </r>
  <r>
    <x v="44"/>
    <s v="Kerala Express"/>
    <s v="CTO"/>
    <x v="278"/>
    <n v="17"/>
    <n v="65.209999999999994"/>
    <n v="31.78"/>
    <n v="3.01"/>
    <n v="0"/>
    <d v="2025-09-27T18:45:46"/>
    <s v="https://etrain.info/train/Kerala-Express-12625/history?d=1y"/>
  </r>
  <r>
    <x v="44"/>
    <s v="Kerala Express"/>
    <s v="KYJ"/>
    <x v="148"/>
    <n v="0"/>
    <n v="64.930000000000007"/>
    <n v="33.97"/>
    <n v="1.1000000000000001"/>
    <n v="0"/>
    <d v="2025-09-27T18:44:45"/>
    <s v="https://etrain.info/train/Kerala-Express-12625/history?d=1y"/>
  </r>
  <r>
    <x v="44"/>
    <s v="Kerala Express"/>
    <s v="NDLS"/>
    <x v="58"/>
    <n v="50"/>
    <n v="62.74"/>
    <n v="16.440000000000001"/>
    <n v="20.82"/>
    <n v="0"/>
    <d v="2025-09-27T18:46:39"/>
    <s v="https://etrain.info/train/Kerala-Express-12625/history?d=1y"/>
  </r>
  <r>
    <x v="44"/>
    <s v="Kerala Express"/>
    <s v="TUP"/>
    <x v="20"/>
    <n v="18"/>
    <n v="61.1"/>
    <n v="35.619999999999997"/>
    <n v="3.29"/>
    <n v="0"/>
    <d v="2025-09-27T18:45:30"/>
    <s v="https://etrain.info/train/Kerala-Express-12625/history?d=1y"/>
  </r>
  <r>
    <x v="44"/>
    <s v="Kerala Express"/>
    <s v="FDB"/>
    <x v="89"/>
    <n v="45"/>
    <n v="60.82"/>
    <n v="18.36"/>
    <n v="20.82"/>
    <n v="0"/>
    <d v="2025-09-27T18:46:32"/>
    <s v="https://etrain.info/train/Kerala-Express-12625/history?d=1y"/>
  </r>
  <r>
    <x v="44"/>
    <s v="Kerala Express"/>
    <s v="MVLK"/>
    <x v="279"/>
    <n v="17"/>
    <n v="58.36"/>
    <n v="40.549999999999997"/>
    <n v="1.1000000000000001"/>
    <n v="0"/>
    <d v="2025-09-27T18:44:49"/>
    <s v="https://etrain.info/train/Kerala-Express-12625/history?d=1y"/>
  </r>
  <r>
    <x v="44"/>
    <s v="Kerala Express"/>
    <s v="SA"/>
    <x v="15"/>
    <n v="18"/>
    <n v="58.36"/>
    <n v="38.36"/>
    <n v="3.29"/>
    <n v="0"/>
    <d v="2025-09-27T18:45:37"/>
    <s v="https://etrain.info/train/Kerala-Express-12625/history?d=1y"/>
  </r>
  <r>
    <x v="44"/>
    <s v="Kerala Express"/>
    <s v="AGC"/>
    <x v="61"/>
    <n v="43"/>
    <n v="58.36"/>
    <n v="23.01"/>
    <n v="18.63"/>
    <n v="0"/>
    <d v="2025-09-27T18:46:26"/>
    <s v="https://etrain.info/train/Kerala-Express-12625/history?d=1y"/>
  </r>
  <r>
    <x v="44"/>
    <s v="Kerala Express"/>
    <s v="BZA"/>
    <x v="174"/>
    <n v="20"/>
    <n v="57.53"/>
    <n v="36.71"/>
    <n v="4.93"/>
    <n v="0.83"/>
    <d v="2025-09-27T18:45:57"/>
    <s v="https://etrain.info/train/Kerala-Express-12625/history?d=1y"/>
  </r>
  <r>
    <x v="44"/>
    <s v="Kerala Express"/>
    <s v="BPL"/>
    <x v="56"/>
    <n v="28"/>
    <n v="57.26"/>
    <n v="34.520000000000003"/>
    <n v="8.2200000000000006"/>
    <n v="0"/>
    <d v="2025-09-27T18:46:13"/>
    <s v="https://etrain.info/train/Kerala-Express-12625/history?d=1y"/>
  </r>
  <r>
    <x v="44"/>
    <s v="Kerala Express"/>
    <s v="TPTY"/>
    <x v="280"/>
    <n v="20"/>
    <n v="56.16"/>
    <n v="40.82"/>
    <n v="3.01"/>
    <n v="0.01"/>
    <d v="2025-09-27T18:45:48"/>
    <s v="https://etrain.info/train/Kerala-Express-12625/history?d=1y"/>
  </r>
  <r>
    <x v="44"/>
    <s v="Kerala Express"/>
    <s v="ET"/>
    <x v="87"/>
    <n v="28"/>
    <n v="54.52"/>
    <n v="36.99"/>
    <n v="8.49"/>
    <n v="0"/>
    <d v="2025-09-27T18:46:09"/>
    <s v="https://etrain.info/train/Kerala-Express-12625/history?d=1y"/>
  </r>
  <r>
    <x v="44"/>
    <s v="Kerala Express"/>
    <s v="GDR"/>
    <x v="203"/>
    <n v="19"/>
    <n v="53.7"/>
    <n v="42.47"/>
    <n v="3.01"/>
    <n v="0.82"/>
    <d v="2025-09-27T18:45:53"/>
    <s v="https://etrain.info/train/Kerala-Express-12625/history?d=1y"/>
  </r>
  <r>
    <x v="44"/>
    <s v="Kerala Express"/>
    <s v="CNGR"/>
    <x v="147"/>
    <n v="17"/>
    <n v="53.42"/>
    <n v="45.48"/>
    <n v="1.1000000000000001"/>
    <n v="0"/>
    <d v="2025-09-27T18:44:52"/>
    <s v="https://etrain.info/train/Kerala-Express-12625/history?d=1y"/>
  </r>
  <r>
    <x v="44"/>
    <s v="Kerala Express"/>
    <s v="ED"/>
    <x v="16"/>
    <n v="20"/>
    <n v="53.42"/>
    <n v="43.29"/>
    <n v="3.29"/>
    <n v="0"/>
    <d v="2025-09-27T18:45:34"/>
    <s v="https://etrain.info/train/Kerala-Express-12625/history?d=1y"/>
  </r>
  <r>
    <x v="44"/>
    <s v="Kerala Express"/>
    <s v="NZM"/>
    <x v="84"/>
    <n v="60"/>
    <n v="47.67"/>
    <n v="27.67"/>
    <n v="24.66"/>
    <n v="0"/>
    <d v="2025-09-27T18:46:35"/>
    <s v="https://etrain.info/train/Kerala-Express-12625/history?d=1y"/>
  </r>
  <r>
    <x v="44"/>
    <s v="Kerala Express"/>
    <s v="VGLJ"/>
    <x v="59"/>
    <n v="38"/>
    <n v="44.66"/>
    <n v="41.64"/>
    <n v="13.7"/>
    <n v="0"/>
    <d v="2025-09-27T18:46:21"/>
    <s v="https://etrain.info/train/Kerala-Express-12625/history?d=1y"/>
  </r>
  <r>
    <x v="44"/>
    <s v="Kerala Express"/>
    <s v="CGY"/>
    <x v="145"/>
    <n v="21"/>
    <n v="41.64"/>
    <n v="56.71"/>
    <n v="1.64"/>
    <n v="0.01"/>
    <d v="2025-09-27T18:44:58"/>
    <s v="https://etrain.info/train/Kerala-Express-12625/history?d=1y"/>
  </r>
  <r>
    <x v="44"/>
    <s v="Kerala Express"/>
    <s v="GWL"/>
    <x v="64"/>
    <n v="45"/>
    <n v="39.450000000000003"/>
    <n v="43.29"/>
    <n v="17.260000000000002"/>
    <n v="0"/>
    <d v="2025-09-27T18:46:24"/>
    <s v="https://etrain.info/train/Kerala-Express-12625/history?d=1y"/>
  </r>
  <r>
    <x v="44"/>
    <s v="Kerala Express"/>
    <s v="TRVL"/>
    <x v="146"/>
    <n v="21"/>
    <n v="38.630000000000003"/>
    <n v="60"/>
    <n v="1.37"/>
    <n v="0"/>
    <d v="2025-09-27T18:44:56"/>
    <s v="https://etrain.info/train/Kerala-Express-12625/history?d=1y"/>
  </r>
  <r>
    <x v="44"/>
    <s v="Kerala Express"/>
    <s v="VARD"/>
    <x v="281"/>
    <n v="23"/>
    <n v="36.71"/>
    <n v="60.82"/>
    <n v="2.4700000000000002"/>
    <n v="0"/>
    <d v="2025-09-27T18:45:04"/>
    <s v="https://etrain.info/train/Kerala-Express-12625/history?d=1y"/>
  </r>
  <r>
    <x v="44"/>
    <s v="Kerala Express"/>
    <s v="KTYM"/>
    <x v="144"/>
    <n v="0"/>
    <n v="33.700000000000003"/>
    <n v="63.84"/>
    <n v="2.4700000000000002"/>
    <n v="0"/>
    <d v="2025-09-27T18:45:00"/>
    <s v="https://etrain.info/train/Kerala-Express-12625/history?d=1y"/>
  </r>
  <r>
    <x v="44"/>
    <s v="Kerala Express"/>
    <s v="ERN"/>
    <x v="150"/>
    <n v="25"/>
    <n v="31.23"/>
    <n v="65.48"/>
    <n v="3.29"/>
    <n v="0"/>
    <d v="2025-09-27T18:45:08"/>
    <s v="https://etrain.info/train/Kerala-Express-12625/history?d=1y"/>
  </r>
  <r>
    <x v="44"/>
    <s v="Kerala Express"/>
    <s v="NLR"/>
    <x v="209"/>
    <n v="27"/>
    <n v="26.85"/>
    <n v="68.489999999999995"/>
    <n v="3.84"/>
    <n v="0.82"/>
    <d v="2025-09-27T18:45:55"/>
    <s v="https://etrain.info/train/Kerala-Express-12625/history?d=1y"/>
  </r>
  <r>
    <x v="44"/>
    <s v="Kerala Express"/>
    <s v="PGT"/>
    <x v="282"/>
    <n v="26"/>
    <n v="25.48"/>
    <n v="71.23"/>
    <n v="3.29"/>
    <n v="0"/>
    <d v="2025-09-27T18:45:23"/>
    <s v="https://etrain.info/train/Kerala-Express-12625/history?d=1y"/>
  </r>
  <r>
    <x v="44"/>
    <s v="Kerala Express"/>
    <s v="AWY"/>
    <x v="283"/>
    <n v="27"/>
    <n v="24.93"/>
    <n v="70.959999999999994"/>
    <n v="4.1100000000000003"/>
    <n v="0"/>
    <d v="2025-09-27T18:45:12"/>
    <s v="https://etrain.info/train/Kerala-Express-12625/history?d=1y"/>
  </r>
  <r>
    <x v="44"/>
    <s v="Kerala Express"/>
    <s v="RDM"/>
    <x v="202"/>
    <n v="48"/>
    <n v="18.899999999999999"/>
    <n v="52.6"/>
    <n v="27.67"/>
    <n v="0.83"/>
    <d v="2025-09-27T18:46:00"/>
    <s v="https://etrain.info/train/Kerala-Express-12625/history?d=1y"/>
  </r>
  <r>
    <x v="44"/>
    <s v="Kerala Express"/>
    <s v="RU"/>
    <x v="126"/>
    <n v="31"/>
    <n v="15.34"/>
    <n v="80.819999999999993"/>
    <n v="3.84"/>
    <n v="0"/>
    <d v="2025-09-27T18:45:52"/>
    <s v="https://etrain.info/train/Kerala-Express-12625/history?d=1y"/>
  </r>
  <r>
    <x v="44"/>
    <s v="Kerala Express"/>
    <s v="SEGM"/>
    <x v="200"/>
    <n v="38"/>
    <n v="15.07"/>
    <n v="72.05"/>
    <n v="12.05"/>
    <n v="0.83"/>
    <d v="2025-09-27T18:46:04"/>
    <s v="https://etrain.info/train/Kerala-Express-12625/history?d=1y"/>
  </r>
  <r>
    <x v="44"/>
    <s v="Kerala Express"/>
    <s v="MTJ"/>
    <x v="62"/>
    <n v="60"/>
    <n v="13.15"/>
    <n v="63.29"/>
    <n v="23.56"/>
    <n v="0"/>
    <d v="2025-09-27T18:46:30"/>
    <s v="https://etrain.info/train/Kerala-Express-12625/history?d=1y"/>
  </r>
  <r>
    <x v="44"/>
    <s v="Kerala Express"/>
    <s v="TCR"/>
    <x v="143"/>
    <n v="30"/>
    <n v="10.14"/>
    <n v="85.48"/>
    <n v="4.38"/>
    <n v="0"/>
    <d v="2025-09-27T18:45:15"/>
    <s v="https://etrain.info/train/Kerala-Express-12625/history?d=1y"/>
  </r>
  <r>
    <x v="44"/>
    <s v="Kerala Express"/>
    <s v="NGP"/>
    <x v="184"/>
    <n v="50"/>
    <n v="6.3"/>
    <n v="71.78"/>
    <n v="21.1"/>
    <n v="0.82"/>
    <d v="2025-09-27T18:46:06"/>
    <s v="https://etrain.info/train/Kerala-Express-12625/history?d=1y"/>
  </r>
  <r>
    <x v="44"/>
    <s v="Kerala Express"/>
    <s v="WL"/>
    <x v="210"/>
    <n v="84"/>
    <n v="1.1000000000000001"/>
    <n v="15.62"/>
    <n v="82.47"/>
    <n v="0.81"/>
    <d v="2025-09-27T18:45:58"/>
    <s v="https://etrain.info/train/Kerala-Express-12625/history?d=1y"/>
  </r>
  <r>
    <x v="45"/>
    <s v="Kerala Express"/>
    <s v="NDLS"/>
    <x v="58"/>
    <n v="35"/>
    <n v="84.38"/>
    <n v="3.84"/>
    <n v="11.78"/>
    <n v="0"/>
    <d v="2025-09-27T18:46:44"/>
    <s v="https://etrain.info/train/Kerala-Express-12626/history?d=1y"/>
  </r>
  <r>
    <x v="45"/>
    <s v="Kerala Express"/>
    <s v="BINA"/>
    <x v="57"/>
    <n v="68"/>
    <n v="65.75"/>
    <n v="15.62"/>
    <n v="18.63"/>
    <n v="0"/>
    <d v="2025-09-27T18:46:57"/>
    <s v="https://etrain.info/train/Kerala-Express-12626/history?d=1y"/>
  </r>
  <r>
    <x v="45"/>
    <s v="Kerala Express"/>
    <s v="TVC"/>
    <x v="275"/>
    <n v="93"/>
    <n v="63.29"/>
    <n v="10.41"/>
    <n v="26.3"/>
    <n v="0"/>
    <d v="2025-09-27T18:48:20"/>
    <s v="https://etrain.info/train/Kerala-Express-12626/history?d=1y"/>
  </r>
  <r>
    <x v="45"/>
    <s v="Kerala Express"/>
    <s v="JTJ"/>
    <x v="194"/>
    <n v="0"/>
    <n v="57.26"/>
    <n v="9.32"/>
    <n v="33.42"/>
    <n v="0"/>
    <d v="2025-09-27T18:47:34"/>
    <s v="https://etrain.info/train/Kerala-Express-12626/history?d=1y"/>
  </r>
  <r>
    <x v="45"/>
    <s v="Kerala Express"/>
    <s v="TVP"/>
    <x v="284"/>
    <n v="107"/>
    <n v="55.89"/>
    <n v="17.260000000000002"/>
    <n v="26.85"/>
    <n v="0"/>
    <d v="2025-09-27T18:48:19"/>
    <s v="https://etrain.info/train/Kerala-Express-12626/history?d=1y"/>
  </r>
  <r>
    <x v="45"/>
    <s v="Kerala Express"/>
    <s v="KPD"/>
    <x v="190"/>
    <n v="98"/>
    <n v="54.52"/>
    <n v="12.88"/>
    <n v="32.6"/>
    <n v="0"/>
    <d v="2025-09-27T18:47:31"/>
    <s v="https://etrain.info/train/Kerala-Express-12626/history?d=1y"/>
  </r>
  <r>
    <x v="45"/>
    <s v="Kerala Express"/>
    <s v="ET"/>
    <x v="87"/>
    <n v="76"/>
    <n v="54.25"/>
    <n v="26.03"/>
    <n v="19.73"/>
    <n v="0"/>
    <d v="2025-09-27T18:47:04"/>
    <s v="https://etrain.info/train/Kerala-Express-12626/history?d=1y"/>
  </r>
  <r>
    <x v="45"/>
    <s v="Kerala Express"/>
    <s v="VGLJ"/>
    <x v="59"/>
    <n v="64"/>
    <n v="53.15"/>
    <n v="28.77"/>
    <n v="17.53"/>
    <n v="0.55000000000000004"/>
    <d v="2025-09-27T18:46:53"/>
    <s v="https://etrain.info/train/Kerala-Express-12626/history?d=1y"/>
  </r>
  <r>
    <x v="45"/>
    <s v="Kerala Express"/>
    <s v="SA"/>
    <x v="15"/>
    <n v="105"/>
    <n v="49.04"/>
    <n v="16.989999999999998"/>
    <n v="33.97"/>
    <n v="0"/>
    <d v="2025-09-27T18:47:36"/>
    <s v="https://etrain.info/train/Kerala-Express-12626/history?d=1y"/>
  </r>
  <r>
    <x v="45"/>
    <s v="Kerala Express"/>
    <s v="BPQ"/>
    <x v="192"/>
    <n v="0"/>
    <n v="46.58"/>
    <n v="29.86"/>
    <n v="23.29"/>
    <n v="0.27"/>
    <d v="2025-09-27T18:47:11"/>
    <s v="https://etrain.info/train/Kerala-Express-12626/history?d=1y"/>
  </r>
  <r>
    <x v="45"/>
    <s v="Kerala Express"/>
    <s v="ED"/>
    <x v="16"/>
    <n v="105"/>
    <n v="46.58"/>
    <n v="19.45"/>
    <n v="33.97"/>
    <n v="0"/>
    <d v="2025-09-27T18:47:37"/>
    <s v="https://etrain.info/train/Kerala-Express-12626/history?d=1y"/>
  </r>
  <r>
    <x v="45"/>
    <s v="Kerala Express"/>
    <s v="PGT"/>
    <x v="282"/>
    <n v="108"/>
    <n v="44.66"/>
    <n v="23.01"/>
    <n v="32.33"/>
    <n v="0"/>
    <d v="2025-09-27T18:47:43"/>
    <s v="https://etrain.info/train/Kerala-Express-12626/history?d=1y"/>
  </r>
  <r>
    <x v="45"/>
    <s v="Kerala Express"/>
    <s v="BPL"/>
    <x v="56"/>
    <n v="80"/>
    <n v="42.74"/>
    <n v="36.99"/>
    <n v="20.27"/>
    <n v="0"/>
    <d v="2025-09-27T18:47:01"/>
    <s v="https://etrain.info/train/Kerala-Express-12626/history?d=1y"/>
  </r>
  <r>
    <x v="45"/>
    <s v="Kerala Express"/>
    <s v="CGY"/>
    <x v="145"/>
    <n v="113"/>
    <n v="42.47"/>
    <n v="26.58"/>
    <n v="30.96"/>
    <n v="0"/>
    <d v="2025-09-27T18:48:02"/>
    <s v="https://etrain.info/train/Kerala-Express-12626/history?d=1y"/>
  </r>
  <r>
    <x v="45"/>
    <s v="Kerala Express"/>
    <s v="TUP"/>
    <x v="20"/>
    <n v="0"/>
    <n v="42.19"/>
    <n v="22.74"/>
    <n v="35.07"/>
    <n v="0"/>
    <d v="2025-09-27T18:47:39"/>
    <s v="https://etrain.info/train/Kerala-Express-12626/history?d=1y"/>
  </r>
  <r>
    <x v="45"/>
    <s v="Kerala Express"/>
    <s v="TRVL"/>
    <x v="146"/>
    <n v="113"/>
    <n v="42.19"/>
    <n v="26.3"/>
    <n v="31.51"/>
    <n v="0"/>
    <d v="2025-09-27T18:48:04"/>
    <s v="https://etrain.info/train/Kerala-Express-12626/history?d=1y"/>
  </r>
  <r>
    <x v="45"/>
    <s v="Kerala Express"/>
    <s v="GWL"/>
    <x v="64"/>
    <n v="64"/>
    <n v="39.450000000000003"/>
    <n v="43.56"/>
    <n v="16.440000000000001"/>
    <n v="0.55000000000000004"/>
    <d v="2025-09-27T18:46:51"/>
    <s v="https://etrain.info/train/Kerala-Express-12626/history?d=1y"/>
  </r>
  <r>
    <x v="45"/>
    <s v="Kerala Express"/>
    <s v="KTYM"/>
    <x v="144"/>
    <n v="113"/>
    <n v="39.450000000000003"/>
    <n v="29.04"/>
    <n v="31.51"/>
    <n v="0"/>
    <d v="2025-09-27T18:47:59"/>
    <s v="https://etrain.info/train/Kerala-Express-12626/history?d=1y"/>
  </r>
  <r>
    <x v="45"/>
    <s v="Kerala Express"/>
    <s v="CNGR"/>
    <x v="147"/>
    <n v="114"/>
    <n v="39.450000000000003"/>
    <n v="29.04"/>
    <n v="31.51"/>
    <n v="0"/>
    <d v="2025-09-27T18:48:07"/>
    <s v="https://etrain.info/train/Kerala-Express-12626/history?d=1y"/>
  </r>
  <r>
    <x v="45"/>
    <s v="Kerala Express"/>
    <s v="VARD"/>
    <x v="281"/>
    <n v="112"/>
    <n v="38.630000000000003"/>
    <n v="29.86"/>
    <n v="31.51"/>
    <n v="0"/>
    <d v="2025-09-27T18:47:55"/>
    <s v="https://etrain.info/train/Kerala-Express-12626/history?d=1y"/>
  </r>
  <r>
    <x v="45"/>
    <s v="Kerala Express"/>
    <s v="MVLK"/>
    <x v="279"/>
    <n v="115"/>
    <n v="38.36"/>
    <n v="30.41"/>
    <n v="31.23"/>
    <n v="0"/>
    <d v="2025-09-27T18:48:09"/>
    <s v="https://etrain.info/train/Kerala-Express-12626/history?d=1y"/>
  </r>
  <r>
    <x v="45"/>
    <s v="Kerala Express"/>
    <s v="CBE"/>
    <x v="0"/>
    <n v="110"/>
    <n v="37.81"/>
    <n v="27.4"/>
    <n v="34.25"/>
    <n v="0.54"/>
    <d v="2025-09-27T18:47:41"/>
    <s v="https://etrain.info/train/Kerala-Express-12626/history?d=1y"/>
  </r>
  <r>
    <x v="45"/>
    <s v="Kerala Express"/>
    <s v="CTO"/>
    <x v="278"/>
    <n v="105"/>
    <n v="36.99"/>
    <n v="28.22"/>
    <n v="34.79"/>
    <n v="0"/>
    <d v="2025-09-27T18:47:28"/>
    <s v="https://etrain.info/train/Kerala-Express-12626/history?d=1y"/>
  </r>
  <r>
    <x v="45"/>
    <s v="Kerala Express"/>
    <s v="RU"/>
    <x v="126"/>
    <n v="107"/>
    <n v="33.15"/>
    <n v="31.23"/>
    <n v="35.619999999999997"/>
    <n v="0"/>
    <d v="2025-09-27T18:47:22"/>
    <s v="https://etrain.info/train/Kerala-Express-12626/history?d=1y"/>
  </r>
  <r>
    <x v="45"/>
    <s v="Kerala Express"/>
    <s v="KYJ"/>
    <x v="148"/>
    <n v="117"/>
    <n v="32.049999999999997"/>
    <n v="36.99"/>
    <n v="30.96"/>
    <n v="0"/>
    <d v="2025-09-27T18:48:11"/>
    <s v="https://etrain.info/train/Kerala-Express-12626/history?d=1y"/>
  </r>
  <r>
    <x v="45"/>
    <s v="Kerala Express"/>
    <s v="NGP"/>
    <x v="184"/>
    <n v="88"/>
    <n v="30.96"/>
    <n v="48.22"/>
    <n v="20.55"/>
    <n v="0.27"/>
    <d v="2025-09-27T18:47:06"/>
    <s v="https://etrain.info/train/Kerala-Express-12626/history?d=1y"/>
  </r>
  <r>
    <x v="45"/>
    <s v="Kerala Express"/>
    <s v="BZA"/>
    <x v="174"/>
    <n v="98"/>
    <n v="26.85"/>
    <n v="43.84"/>
    <n v="29.04"/>
    <n v="0.27"/>
    <d v="2025-09-27T18:47:16"/>
    <s v="https://etrain.info/train/Kerala-Express-12626/history?d=1y"/>
  </r>
  <r>
    <x v="45"/>
    <s v="Kerala Express"/>
    <s v="NLR"/>
    <x v="209"/>
    <n v="103"/>
    <n v="24.38"/>
    <n v="41.1"/>
    <n v="34.25"/>
    <n v="0.27"/>
    <d v="2025-09-27T18:47:17"/>
    <s v="https://etrain.info/train/Kerala-Express-12626/history?d=1y"/>
  </r>
  <r>
    <x v="45"/>
    <s v="Kerala Express"/>
    <s v="GDR"/>
    <x v="203"/>
    <n v="107"/>
    <n v="23.56"/>
    <n v="39.729999999999997"/>
    <n v="36.44"/>
    <n v="0.27"/>
    <d v="2025-09-27T18:47:19"/>
    <s v="https://etrain.info/train/Kerala-Express-12626/history?d=1y"/>
  </r>
  <r>
    <x v="45"/>
    <s v="Kerala Express"/>
    <s v="TCR"/>
    <x v="143"/>
    <n v="110"/>
    <n v="20"/>
    <n v="49.04"/>
    <n v="30.96"/>
    <n v="0"/>
    <d v="2025-09-27T18:47:48"/>
    <s v="https://etrain.info/train/Kerala-Express-12626/history?d=1y"/>
  </r>
  <r>
    <x v="45"/>
    <s v="Kerala Express"/>
    <s v="ERN"/>
    <x v="150"/>
    <n v="116"/>
    <n v="18.079999999999998"/>
    <n v="49.04"/>
    <n v="32.880000000000003"/>
    <n v="0"/>
    <d v="2025-09-27T18:47:51"/>
    <s v="https://etrain.info/train/Kerala-Express-12626/history?d=1y"/>
  </r>
  <r>
    <x v="45"/>
    <s v="Kerala Express"/>
    <s v="QLN"/>
    <x v="151"/>
    <n v="123"/>
    <n v="16.989999999999998"/>
    <n v="51.78"/>
    <n v="31.23"/>
    <n v="0"/>
    <d v="2025-09-27T18:48:14"/>
    <s v="https://etrain.info/train/Kerala-Express-12626/history?d=1y"/>
  </r>
  <r>
    <x v="45"/>
    <s v="Kerala Express"/>
    <s v="OTP"/>
    <x v="277"/>
    <n v="117"/>
    <n v="16.71"/>
    <n v="49.32"/>
    <n v="33.97"/>
    <n v="0"/>
    <d v="2025-09-27T18:47:47"/>
    <s v="https://etrain.info/train/Kerala-Express-12626/history?d=1y"/>
  </r>
  <r>
    <x v="45"/>
    <s v="Kerala Express"/>
    <s v="MTJ"/>
    <x v="62"/>
    <n v="63"/>
    <n v="13.7"/>
    <n v="70.959999999999994"/>
    <n v="15.34"/>
    <n v="0"/>
    <d v="2025-09-27T18:46:48"/>
    <s v="https://etrain.info/train/Kerala-Express-12626/history?d=1y"/>
  </r>
  <r>
    <x v="45"/>
    <s v="Kerala Express"/>
    <s v="TPTY"/>
    <x v="280"/>
    <n v="114"/>
    <n v="13.7"/>
    <n v="49.59"/>
    <n v="36.71"/>
    <n v="0"/>
    <d v="2025-09-27T18:47:26"/>
    <s v="https://etrain.info/train/Kerala-Express-12626/history?d=1y"/>
  </r>
  <r>
    <x v="45"/>
    <s v="Kerala Express"/>
    <s v="VAK"/>
    <x v="276"/>
    <n v="126"/>
    <n v="13.15"/>
    <n v="53.42"/>
    <n v="33.42"/>
    <n v="0.01"/>
    <d v="2025-09-27T18:48:16"/>
    <s v="https://etrain.info/train/Kerala-Express-12626/history?d=1y"/>
  </r>
  <r>
    <x v="45"/>
    <s v="Kerala Express"/>
    <s v="SEGM"/>
    <x v="200"/>
    <n v="103"/>
    <n v="9.32"/>
    <n v="60.27"/>
    <n v="30.14"/>
    <n v="0.27"/>
    <d v="2025-09-27T18:47:07"/>
    <s v="https://etrain.info/train/Kerala-Express-12626/history?d=1y"/>
  </r>
  <r>
    <x v="45"/>
    <s v="Kerala Express"/>
    <s v="AGC"/>
    <x v="61"/>
    <n v="68"/>
    <n v="5.75"/>
    <n v="77.53"/>
    <n v="16.16"/>
    <n v="0.56000000000000005"/>
    <d v="2025-09-27T18:46:50"/>
    <s v="https://etrain.info/train/Kerala-Express-12626/history?d=1y"/>
  </r>
  <r>
    <x v="45"/>
    <s v="Kerala Express"/>
    <s v="AWY"/>
    <x v="283"/>
    <n v="121"/>
    <n v="5.75"/>
    <n v="60.55"/>
    <n v="33.700000000000003"/>
    <n v="0"/>
    <d v="2025-09-27T18:47:49"/>
    <s v="https://etrain.info/train/Kerala-Express-12626/history?d=1y"/>
  </r>
  <r>
    <x v="45"/>
    <s v="Kerala Express"/>
    <s v="CD"/>
    <x v="196"/>
    <n v="116"/>
    <n v="1.92"/>
    <n v="58.36"/>
    <n v="39.450000000000003"/>
    <n v="0.27"/>
    <d v="2025-09-27T18:47:09"/>
    <s v="https://etrain.info/train/Kerala-Express-12626/history?d=1y"/>
  </r>
  <r>
    <x v="45"/>
    <s v="Kerala Express"/>
    <s v="RDM"/>
    <x v="202"/>
    <n v="118"/>
    <n v="1.37"/>
    <n v="57.26"/>
    <n v="41.1"/>
    <n v="0.27"/>
    <d v="2025-09-27T18:47:13"/>
    <s v="https://etrain.info/train/Kerala-Express-12626/history?d=1y"/>
  </r>
  <r>
    <x v="45"/>
    <s v="Kerala Express"/>
    <s v="WL"/>
    <x v="210"/>
    <n v="128"/>
    <n v="1.37"/>
    <n v="47.12"/>
    <n v="51.23"/>
    <n v="0.28000000000000003"/>
    <d v="2025-09-27T18:47:14"/>
    <s v="https://etrain.info/train/Kerala-Express-12626/history?d=1y"/>
  </r>
  <r>
    <x v="46"/>
    <s v="Nellai Express"/>
    <s v="MS"/>
    <x v="285"/>
    <n v="3"/>
    <n v="99.45"/>
    <n v="0.27"/>
    <n v="0.27"/>
    <n v="0.01"/>
    <d v="2025-09-27T17:58:29"/>
    <s v="https://etrain.info/train/Nellai-Express-12631/history?d=1y"/>
  </r>
  <r>
    <x v="46"/>
    <s v="Nellai Express"/>
    <s v="TEN"/>
    <x v="286"/>
    <n v="0"/>
    <n v="98.63"/>
    <n v="0.82"/>
    <n v="0.55000000000000004"/>
    <n v="0"/>
    <d v="2025-09-27T17:59:22"/>
    <s v="https://etrain.info/train/Nellai-Express-12631/history?d=1y"/>
  </r>
  <r>
    <x v="46"/>
    <s v="Nellai Express"/>
    <s v="TBM"/>
    <x v="287"/>
    <n v="6"/>
    <n v="97.26"/>
    <n v="2.19"/>
    <n v="0.55000000000000004"/>
    <n v="0"/>
    <d v="2025-09-27T17:58:33"/>
    <s v="https://etrain.info/train/Nellai-Express-12631/history?d=1y"/>
  </r>
  <r>
    <x v="46"/>
    <s v="Nellai Express"/>
    <s v="CGL"/>
    <x v="288"/>
    <n v="7"/>
    <n v="96.16"/>
    <n v="3.29"/>
    <n v="0.55000000000000004"/>
    <n v="0"/>
    <d v="2025-09-27T17:58:37"/>
    <s v="https://etrain.info/train/Nellai-Express-12631/history?d=1y"/>
  </r>
  <r>
    <x v="46"/>
    <s v="Nellai Express"/>
    <s v="VM"/>
    <x v="289"/>
    <n v="10"/>
    <n v="82.74"/>
    <n v="16.71"/>
    <n v="0.55000000000000004"/>
    <n v="0"/>
    <d v="2025-09-27T17:58:49"/>
    <s v="https://etrain.info/train/Nellai-Express-12631/history?d=1y"/>
  </r>
  <r>
    <x v="46"/>
    <s v="Nellai Express"/>
    <s v="MLMR"/>
    <x v="290"/>
    <n v="11"/>
    <n v="82.47"/>
    <n v="16.989999999999998"/>
    <n v="0.55000000000000004"/>
    <n v="0"/>
    <d v="2025-09-27T17:58:41"/>
    <s v="https://etrain.info/train/Nellai-Express-12631/history?d=1y"/>
  </r>
  <r>
    <x v="46"/>
    <s v="Nellai Express"/>
    <s v="TPJ"/>
    <x v="291"/>
    <n v="11"/>
    <n v="78.36"/>
    <n v="20.55"/>
    <n v="1.1000000000000001"/>
    <n v="0"/>
    <d v="2025-09-27T17:58:57"/>
    <s v="https://etrain.info/train/Nellai-Express-12631/history?d=1y"/>
  </r>
  <r>
    <x v="46"/>
    <s v="Nellai Express"/>
    <s v="VRI"/>
    <x v="292"/>
    <n v="12"/>
    <n v="75.62"/>
    <n v="23.56"/>
    <n v="0.82"/>
    <n v="0"/>
    <d v="2025-09-27T17:58:53"/>
    <s v="https://etrain.info/train/Nellai-Express-12631/history?d=1y"/>
  </r>
  <r>
    <x v="46"/>
    <s v="Nellai Express"/>
    <s v="DG"/>
    <x v="293"/>
    <n v="13"/>
    <n v="72.05"/>
    <n v="26.58"/>
    <n v="1.37"/>
    <n v="0"/>
    <d v="2025-09-27T17:59:01"/>
    <s v="https://etrain.info/train/Nellai-Express-12631/history?d=1y"/>
  </r>
  <r>
    <x v="46"/>
    <s v="Nellai Express"/>
    <s v="MDU"/>
    <x v="294"/>
    <n v="13"/>
    <n v="68.22"/>
    <n v="30.68"/>
    <n v="1.1000000000000001"/>
    <n v="0"/>
    <d v="2025-09-27T17:59:09"/>
    <s v="https://etrain.info/train/Nellai-Express-12631/history?d=1y"/>
  </r>
  <r>
    <x v="46"/>
    <s v="Nellai Express"/>
    <s v="VPT"/>
    <x v="295"/>
    <n v="16"/>
    <n v="61.64"/>
    <n v="37.53"/>
    <n v="0.82"/>
    <n v="0.01"/>
    <d v="2025-09-27T17:59:10"/>
    <s v="https://etrain.info/train/Nellai-Express-12631/history?d=1y"/>
  </r>
  <r>
    <x v="46"/>
    <s v="Nellai Express"/>
    <s v="SRT"/>
    <x v="296"/>
    <n v="15"/>
    <n v="60.55"/>
    <n v="38.36"/>
    <n v="1.1000000000000001"/>
    <n v="0"/>
    <d v="2025-09-27T17:59:14"/>
    <s v="https://etrain.info/train/Nellai-Express-12631/history?d=1y"/>
  </r>
  <r>
    <x v="46"/>
    <s v="Nellai Express"/>
    <s v="TMV"/>
    <x v="297"/>
    <n v="17"/>
    <n v="59.45"/>
    <n v="40"/>
    <n v="0.55000000000000004"/>
    <n v="0"/>
    <d v="2025-09-27T17:58:45"/>
    <s v="https://etrain.info/train/Nellai-Express-12631/history?d=1y"/>
  </r>
  <r>
    <x v="46"/>
    <s v="Nellai Express"/>
    <s v="SDN"/>
    <x v="298"/>
    <n v="16"/>
    <n v="58.36"/>
    <n v="40.270000000000003"/>
    <n v="1.37"/>
    <n v="0"/>
    <d v="2025-09-27T17:59:05"/>
    <s v="https://etrain.info/train/Nellai-Express-12631/history?d=1y"/>
  </r>
  <r>
    <x v="46"/>
    <s v="Nellai Express"/>
    <s v="CVP"/>
    <x v="299"/>
    <n v="17"/>
    <n v="56.44"/>
    <n v="42.47"/>
    <n v="1.1000000000000001"/>
    <n v="0"/>
    <d v="2025-09-27T17:59:18"/>
    <s v="https://etrain.info/train/Nellai-Express-12631/history?d=1y"/>
  </r>
  <r>
    <x v="47"/>
    <s v="Nellai Express"/>
    <s v="TEN"/>
    <x v="286"/>
    <n v="3"/>
    <n v="99.18"/>
    <n v="0.82"/>
    <n v="0"/>
    <n v="0"/>
    <d v="2025-09-27T17:59:28"/>
    <s v="https://etrain.info/train/Nellai-Express-12632/history?d=1y"/>
  </r>
  <r>
    <x v="47"/>
    <s v="Nellai Express"/>
    <s v="CVP"/>
    <x v="299"/>
    <n v="8"/>
    <n v="96.16"/>
    <n v="3.84"/>
    <n v="0"/>
    <n v="0"/>
    <d v="2025-09-27T17:59:32"/>
    <s v="https://etrain.info/train/Nellai-Express-12632/history?d=1y"/>
  </r>
  <r>
    <x v="47"/>
    <s v="Nellai Express"/>
    <s v="VPT"/>
    <x v="295"/>
    <n v="7"/>
    <n v="96.16"/>
    <n v="3.84"/>
    <n v="0"/>
    <n v="0"/>
    <d v="2025-09-27T17:59:40"/>
    <s v="https://etrain.info/train/Nellai-Express-12632/history?d=1y"/>
  </r>
  <r>
    <x v="47"/>
    <s v="Nellai Express"/>
    <s v="MS"/>
    <x v="285"/>
    <n v="0"/>
    <n v="94.52"/>
    <n v="3.01"/>
    <n v="2.19"/>
    <n v="0.28000000000000003"/>
    <d v="2025-09-27T18:00:14"/>
    <s v="https://etrain.info/train/Nellai-Express-12632/history?d=1y"/>
  </r>
  <r>
    <x v="47"/>
    <s v="Nellai Express"/>
    <s v="TPJ"/>
    <x v="291"/>
    <n v="7"/>
    <n v="91.78"/>
    <n v="8.2200000000000006"/>
    <n v="0"/>
    <n v="0"/>
    <d v="2025-09-27T17:59:56"/>
    <s v="https://etrain.info/train/Nellai-Express-12632/history?d=1y"/>
  </r>
  <r>
    <x v="47"/>
    <s v="Nellai Express"/>
    <s v="SRT"/>
    <x v="296"/>
    <n v="9"/>
    <n v="90.96"/>
    <n v="9.0399999999999991"/>
    <n v="0"/>
    <n v="0"/>
    <d v="2025-09-27T17:59:36"/>
    <s v="https://etrain.info/train/Nellai-Express-12632/history?d=1y"/>
  </r>
  <r>
    <x v="47"/>
    <s v="Nellai Express"/>
    <s v="MBM"/>
    <x v="300"/>
    <n v="9"/>
    <n v="89.32"/>
    <n v="9.0399999999999991"/>
    <n v="1.1000000000000001"/>
    <n v="0.54"/>
    <d v="2025-09-27T18:00:12"/>
    <s v="https://etrain.info/train/Nellai-Express-12632/history?d=1y"/>
  </r>
  <r>
    <x v="47"/>
    <s v="Nellai Express"/>
    <s v="DG"/>
    <x v="293"/>
    <n v="9"/>
    <n v="85.21"/>
    <n v="14.79"/>
    <n v="0"/>
    <n v="0"/>
    <d v="2025-09-27T17:59:52"/>
    <s v="https://etrain.info/train/Nellai-Express-12632/history?d=1y"/>
  </r>
  <r>
    <x v="47"/>
    <s v="Nellai Express"/>
    <s v="MDU"/>
    <x v="294"/>
    <n v="11"/>
    <n v="78.900000000000006"/>
    <n v="21.1"/>
    <n v="0"/>
    <n v="0"/>
    <d v="2025-09-27T17:59:44"/>
    <s v="https://etrain.info/train/Nellai-Express-12632/history?d=1y"/>
  </r>
  <r>
    <x v="47"/>
    <s v="Nellai Express"/>
    <s v="SDN"/>
    <x v="298"/>
    <n v="13"/>
    <n v="71.23"/>
    <n v="28.77"/>
    <n v="0"/>
    <n v="0"/>
    <d v="2025-09-27T17:59:48"/>
    <s v="https://etrain.info/train/Nellai-Express-12632/history?d=1y"/>
  </r>
  <r>
    <x v="47"/>
    <s v="Nellai Express"/>
    <s v="VM"/>
    <x v="289"/>
    <n v="16"/>
    <n v="54.79"/>
    <n v="43.56"/>
    <n v="1.64"/>
    <n v="0.01"/>
    <d v="2025-09-27T18:00:02"/>
    <s v="https://etrain.info/train/Nellai-Express-12632/history?d=1y"/>
  </r>
  <r>
    <x v="47"/>
    <s v="Nellai Express"/>
    <s v="CGL"/>
    <x v="288"/>
    <n v="19"/>
    <n v="44.38"/>
    <n v="53.42"/>
    <n v="1.92"/>
    <n v="0.28000000000000003"/>
    <d v="2025-09-27T18:00:08"/>
    <s v="https://etrain.info/train/Nellai-Express-12632/history?d=1y"/>
  </r>
  <r>
    <x v="47"/>
    <s v="Nellai Express"/>
    <s v="TMV"/>
    <x v="297"/>
    <n v="19"/>
    <n v="39.18"/>
    <n v="58.9"/>
    <n v="1.64"/>
    <n v="0.28000000000000003"/>
    <d v="2025-09-27T18:00:05"/>
    <s v="https://etrain.info/train/Nellai-Express-12632/history?d=1y"/>
  </r>
  <r>
    <x v="47"/>
    <s v="Nellai Express"/>
    <s v="MLMR"/>
    <x v="290"/>
    <n v="20"/>
    <n v="37.53"/>
    <n v="60.55"/>
    <n v="1.64"/>
    <n v="0.28000000000000003"/>
    <d v="2025-09-27T18:00:06"/>
    <s v="https://etrain.info/train/Nellai-Express-12632/history?d=1y"/>
  </r>
  <r>
    <x v="47"/>
    <s v="Nellai Express"/>
    <s v="VRI"/>
    <x v="292"/>
    <n v="22"/>
    <n v="36.159999999999997"/>
    <n v="62.74"/>
    <n v="1.1000000000000001"/>
    <n v="0"/>
    <d v="2025-09-27T18:00:01"/>
    <s v="https://etrain.info/train/Nellai-Express-12632/history?d=1y"/>
  </r>
  <r>
    <x v="47"/>
    <s v="Nellai Express"/>
    <s v="TBM"/>
    <x v="287"/>
    <n v="24"/>
    <n v="27.12"/>
    <n v="69.59"/>
    <n v="2.74"/>
    <n v="0.55000000000000004"/>
    <d v="2025-09-27T18:00:10"/>
    <s v="https://etrain.info/train/Nellai-Express-12632/history?d=1y"/>
  </r>
  <r>
    <x v="48"/>
    <s v="Pandian Exp"/>
    <s v="MS"/>
    <x v="285"/>
    <n v="2"/>
    <n v="99.45"/>
    <n v="0.55000000000000004"/>
    <n v="0"/>
    <n v="0"/>
    <d v="2025-09-27T17:57:04"/>
    <s v="https://etrain.info/train/Pandian-Exp-12637/history?d=1y"/>
  </r>
  <r>
    <x v="48"/>
    <s v="Pandian Exp"/>
    <s v="TBM"/>
    <x v="287"/>
    <n v="4"/>
    <n v="99.18"/>
    <n v="0.82"/>
    <n v="0"/>
    <n v="0"/>
    <d v="2025-09-27T17:57:08"/>
    <s v="https://etrain.info/train/Pandian-Exp-12637/history?d=1y"/>
  </r>
  <r>
    <x v="48"/>
    <s v="Pandian Exp"/>
    <s v="CGL"/>
    <x v="288"/>
    <n v="0"/>
    <n v="98.9"/>
    <n v="1.1000000000000001"/>
    <n v="0"/>
    <n v="0"/>
    <d v="2025-09-27T17:57:12"/>
    <s v="https://etrain.info/train/Pandian-Exp-12637/history?d=1y"/>
  </r>
  <r>
    <x v="48"/>
    <s v="Pandian Exp"/>
    <s v="MDU"/>
    <x v="294"/>
    <n v="0"/>
    <n v="98.36"/>
    <n v="1.64"/>
    <n v="0"/>
    <n v="0"/>
    <d v="2025-09-27T17:57:45"/>
    <s v="https://etrain.info/train/Pandian-Exp-12637/history?d=1y"/>
  </r>
  <r>
    <x v="48"/>
    <s v="Pandian Exp"/>
    <s v="VRI"/>
    <x v="292"/>
    <n v="7"/>
    <n v="96.44"/>
    <n v="3.29"/>
    <n v="0.27"/>
    <n v="0"/>
    <d v="2025-09-27T17:57:23"/>
    <s v="https://etrain.info/train/Pandian-Exp-12637/history?d=1y"/>
  </r>
  <r>
    <x v="48"/>
    <s v="Pandian Exp"/>
    <s v="VM"/>
    <x v="289"/>
    <n v="6"/>
    <n v="95.07"/>
    <n v="4.66"/>
    <n v="0.27"/>
    <n v="0"/>
    <d v="2025-09-27T17:57:19"/>
    <s v="https://etrain.info/train/Pandian-Exp-12637/history?d=1y"/>
  </r>
  <r>
    <x v="48"/>
    <s v="Pandian Exp"/>
    <s v="TPJ"/>
    <x v="291"/>
    <n v="8"/>
    <n v="84.93"/>
    <n v="14.79"/>
    <n v="0.27"/>
    <n v="0.01"/>
    <d v="2025-09-27T17:57:25"/>
    <s v="https://etrain.info/train/Pandian-Exp-12637/history?d=1y"/>
  </r>
  <r>
    <x v="48"/>
    <s v="Pandian Exp"/>
    <s v="MPA"/>
    <x v="301"/>
    <n v="14"/>
    <n v="63.29"/>
    <n v="36.44"/>
    <n v="0.27"/>
    <n v="0"/>
    <d v="2025-09-27T17:57:29"/>
    <s v="https://etrain.info/train/Pandian-Exp-12637/history?d=1y"/>
  </r>
  <r>
    <x v="48"/>
    <s v="Pandian Exp"/>
    <s v="DG"/>
    <x v="293"/>
    <n v="17"/>
    <n v="55.62"/>
    <n v="43.56"/>
    <n v="0.82"/>
    <n v="0"/>
    <d v="2025-09-27T17:57:33"/>
    <s v="https://etrain.info/train/Pandian-Exp-12637/history?d=1y"/>
  </r>
  <r>
    <x v="48"/>
    <s v="Pandian Exp"/>
    <s v="ABI"/>
    <x v="302"/>
    <n v="19"/>
    <n v="44.66"/>
    <n v="54.52"/>
    <n v="0.82"/>
    <n v="0"/>
    <d v="2025-09-27T17:57:37"/>
    <s v="https://etrain.info/train/Pandian-Exp-12637/history?d=1y"/>
  </r>
  <r>
    <x v="48"/>
    <s v="Pandian Exp"/>
    <s v="KQN"/>
    <x v="303"/>
    <n v="21"/>
    <n v="33.700000000000003"/>
    <n v="65.209999999999994"/>
    <n v="1.1000000000000001"/>
    <n v="0"/>
    <d v="2025-09-27T17:57:41"/>
    <s v="https://etrain.info/train/Pandian-Exp-12637/history?d=1y"/>
  </r>
  <r>
    <x v="48"/>
    <s v="Pandian Exp"/>
    <s v="MLMR"/>
    <x v="290"/>
    <n v="0"/>
    <n v="16.16"/>
    <n v="0.27"/>
    <n v="0"/>
    <n v="83.56"/>
    <d v="2025-09-27T17:57:15"/>
    <s v="https://etrain.info/train/Pandian-Exp-12637/history?d=1y"/>
  </r>
  <r>
    <x v="49"/>
    <s v="Pandian Exp"/>
    <s v="MDU"/>
    <x v="294"/>
    <n v="1"/>
    <n v="100"/>
    <n v="0"/>
    <n v="0"/>
    <n v="0"/>
    <d v="2025-09-27T17:57:49"/>
    <s v="https://etrain.info/train/Pandian-Exp-12638/history?d=1y"/>
  </r>
  <r>
    <x v="49"/>
    <s v="Pandian Exp"/>
    <s v="DG"/>
    <x v="293"/>
    <n v="7"/>
    <n v="96.44"/>
    <n v="3.56"/>
    <n v="0"/>
    <n v="0"/>
    <d v="2025-09-27T17:58:01"/>
    <s v="https://etrain.info/train/Pandian-Exp-12638/history?d=1y"/>
  </r>
  <r>
    <x v="49"/>
    <s v="Pandian Exp"/>
    <s v="KQN"/>
    <x v="303"/>
    <n v="6"/>
    <n v="95.89"/>
    <n v="4.1100000000000003"/>
    <n v="0"/>
    <n v="0"/>
    <d v="2025-09-27T17:57:53"/>
    <s v="https://etrain.info/train/Pandian-Exp-12638/history?d=1y"/>
  </r>
  <r>
    <x v="49"/>
    <s v="Pandian Exp"/>
    <s v="TPJ"/>
    <x v="291"/>
    <n v="6"/>
    <n v="95.89"/>
    <n v="4.1100000000000003"/>
    <n v="0"/>
    <n v="0"/>
    <d v="2025-09-27T17:58:09"/>
    <s v="https://etrain.info/train/Pandian-Exp-12638/history?d=1y"/>
  </r>
  <r>
    <x v="49"/>
    <s v="Pandian Exp"/>
    <s v="MS"/>
    <x v="285"/>
    <n v="0"/>
    <n v="95.07"/>
    <n v="3.84"/>
    <n v="1.1000000000000001"/>
    <n v="0"/>
    <d v="2025-09-27T17:58:25"/>
    <s v="https://etrain.info/train/Pandian-Exp-12638/history?d=1y"/>
  </r>
  <r>
    <x v="49"/>
    <s v="Pandian Exp"/>
    <s v="MPA"/>
    <x v="301"/>
    <n v="8"/>
    <n v="93.7"/>
    <n v="6.3"/>
    <n v="0"/>
    <n v="0"/>
    <d v="2025-09-27T17:58:05"/>
    <s v="https://etrain.info/train/Pandian-Exp-12638/history?d=1y"/>
  </r>
  <r>
    <x v="49"/>
    <s v="Pandian Exp"/>
    <s v="MBM"/>
    <x v="300"/>
    <n v="7"/>
    <n v="93.15"/>
    <n v="5.75"/>
    <n v="0.82"/>
    <n v="0.28000000000000003"/>
    <d v="2025-09-27T17:58:22"/>
    <s v="https://etrain.info/train/Pandian-Exp-12638/history?d=1y"/>
  </r>
  <r>
    <x v="49"/>
    <s v="Pandian Exp"/>
    <s v="ABI"/>
    <x v="302"/>
    <n v="10"/>
    <n v="91.78"/>
    <n v="8.2200000000000006"/>
    <n v="0"/>
    <n v="0"/>
    <d v="2025-09-27T17:57:57"/>
    <s v="https://etrain.info/train/Pandian-Exp-12638/history?d=1y"/>
  </r>
  <r>
    <x v="49"/>
    <s v="Pandian Exp"/>
    <s v="VM"/>
    <x v="289"/>
    <n v="12"/>
    <n v="84.38"/>
    <n v="14.79"/>
    <n v="0.82"/>
    <n v="0.01"/>
    <d v="2025-09-27T17:58:15"/>
    <s v="https://etrain.info/train/Pandian-Exp-12638/history?d=1y"/>
  </r>
  <r>
    <x v="49"/>
    <s v="Pandian Exp"/>
    <s v="CGL"/>
    <x v="288"/>
    <n v="18"/>
    <n v="49.04"/>
    <n v="48.77"/>
    <n v="1.92"/>
    <n v="0.27"/>
    <d v="2025-09-27T17:58:19"/>
    <s v="https://etrain.info/train/Pandian-Exp-12638/history?d=1y"/>
  </r>
  <r>
    <x v="49"/>
    <s v="Pandian Exp"/>
    <s v="VRI"/>
    <x v="292"/>
    <n v="21"/>
    <n v="36.99"/>
    <n v="62.47"/>
    <n v="0.55000000000000004"/>
    <n v="0"/>
    <d v="2025-09-27T17:58:13"/>
    <s v="https://etrain.info/train/Pandian-Exp-12638/history?d=1y"/>
  </r>
  <r>
    <x v="49"/>
    <s v="Pandian Exp"/>
    <s v="TBM"/>
    <x v="287"/>
    <n v="23"/>
    <n v="32.33"/>
    <n v="64.930000000000007"/>
    <n v="2.4700000000000002"/>
    <n v="0.27"/>
    <d v="2025-09-27T17:58:20"/>
    <s v="https://etrain.info/train/Pandian-Exp-12638/history?d=1y"/>
  </r>
  <r>
    <x v="49"/>
    <s v="Pandian Exp"/>
    <s v="MLMR"/>
    <x v="290"/>
    <n v="16"/>
    <n v="10.41"/>
    <n v="5.75"/>
    <n v="0.55000000000000004"/>
    <n v="83.29"/>
    <d v="2025-09-27T17:58:17"/>
    <s v="https://etrain.info/train/Pandian-Exp-12638/history?d=1y"/>
  </r>
  <r>
    <x v="50"/>
    <s v="Cheran Express"/>
    <s v="MAS"/>
    <x v="125"/>
    <n v="2"/>
    <n v="98.9"/>
    <n v="0.27"/>
    <n v="0"/>
    <n v="0.83"/>
    <d v="2025-09-27T17:55:38"/>
    <s v="https://etrain.info/train/Cheran-Express-12673/history?d=1y"/>
  </r>
  <r>
    <x v="50"/>
    <s v="Cheran Express"/>
    <s v="CBE"/>
    <x v="0"/>
    <n v="0"/>
    <n v="96.16"/>
    <n v="3.56"/>
    <n v="0.27"/>
    <n v="0.01"/>
    <d v="2025-09-27T17:55:57"/>
    <s v="https://etrain.info/train/Cheran-Express-12673/history?d=1y"/>
  </r>
  <r>
    <x v="50"/>
    <s v="Cheran Express"/>
    <s v="JTJ"/>
    <x v="194"/>
    <n v="0"/>
    <n v="70.959999999999994"/>
    <n v="27.67"/>
    <n v="1.37"/>
    <n v="0"/>
    <d v="2025-09-27T17:55:45"/>
    <s v="https://etrain.info/train/Cheran-Express-12673/history?d=1y"/>
  </r>
  <r>
    <x v="50"/>
    <s v="Cheran Express"/>
    <s v="CBF"/>
    <x v="304"/>
    <n v="13"/>
    <n v="70.680000000000007"/>
    <n v="28.49"/>
    <n v="0.82"/>
    <n v="0.01"/>
    <d v="2025-09-27T17:55:55"/>
    <s v="https://etrain.info/train/Cheran-Express-12673/history?d=1y"/>
  </r>
  <r>
    <x v="50"/>
    <s v="Cheran Express"/>
    <s v="AJJ"/>
    <x v="135"/>
    <n v="16"/>
    <n v="55.34"/>
    <n v="44.38"/>
    <n v="0.27"/>
    <n v="0.01"/>
    <d v="2025-09-27T17:55:41"/>
    <s v="https://etrain.info/train/Cheran-Express-12673/history?d=1y"/>
  </r>
  <r>
    <x v="50"/>
    <s v="Cheran Express"/>
    <s v="KPD"/>
    <x v="190"/>
    <n v="17"/>
    <n v="48.49"/>
    <n v="49.86"/>
    <n v="1.64"/>
    <n v="0.01"/>
    <d v="2025-09-27T17:55:42"/>
    <s v="https://etrain.info/train/Cheran-Express-12673/history?d=1y"/>
  </r>
  <r>
    <x v="50"/>
    <s v="Cheran Express"/>
    <s v="SA"/>
    <x v="15"/>
    <n v="25"/>
    <n v="23.01"/>
    <n v="74.790000000000006"/>
    <n v="2.19"/>
    <n v="0.01"/>
    <d v="2025-09-27T17:55:46"/>
    <s v="https://etrain.info/train/Cheran-Express-12673/history?d=1y"/>
  </r>
  <r>
    <x v="50"/>
    <s v="Cheran Express"/>
    <s v="TUP"/>
    <x v="20"/>
    <n v="24"/>
    <n v="22.74"/>
    <n v="75.34"/>
    <n v="1.92"/>
    <n v="0"/>
    <d v="2025-09-27T17:55:54"/>
    <s v="https://etrain.info/train/Cheran-Express-12673/history?d=1y"/>
  </r>
  <r>
    <x v="50"/>
    <s v="Cheran Express"/>
    <s v="ED"/>
    <x v="16"/>
    <n v="25"/>
    <n v="21.37"/>
    <n v="76.44"/>
    <n v="2.19"/>
    <n v="0"/>
    <d v="2025-09-27T17:55:50"/>
    <s v="https://etrain.info/train/Cheran-Express-12673/history?d=1y"/>
  </r>
  <r>
    <x v="50"/>
    <s v="Cheran Express"/>
    <s v="AVD"/>
    <x v="305"/>
    <n v="0"/>
    <n v="0.27"/>
    <n v="0"/>
    <n v="0"/>
    <n v="99.73"/>
    <d v="2025-09-27T17:55:39"/>
    <s v="https://etrain.info/train/Cheran-Express-12673/history?d=1y"/>
  </r>
  <r>
    <x v="51"/>
    <s v="Cheran Express"/>
    <s v="CBE"/>
    <x v="0"/>
    <n v="5"/>
    <n v="97.26"/>
    <n v="2.4700000000000002"/>
    <n v="0.27"/>
    <n v="0"/>
    <d v="2025-09-27T17:56:02"/>
    <s v="https://etrain.info/train/Cheran-Express-12674/history?d=1y"/>
  </r>
  <r>
    <x v="51"/>
    <s v="Cheran Express"/>
    <s v="MAS"/>
    <x v="125"/>
    <n v="0"/>
    <n v="94.52"/>
    <n v="3.56"/>
    <n v="1.37"/>
    <n v="0.55000000000000004"/>
    <d v="2025-09-27T17:56:26"/>
    <s v="https://etrain.info/train/Cheran-Express-12674/history?d=1y"/>
  </r>
  <r>
    <x v="51"/>
    <s v="Cheran Express"/>
    <s v="JTJ"/>
    <x v="194"/>
    <n v="7"/>
    <n v="93.15"/>
    <n v="6.3"/>
    <n v="0.55000000000000004"/>
    <n v="0"/>
    <d v="2025-09-27T17:56:16"/>
    <s v="https://etrain.info/train/Cheran-Express-12674/history?d=1y"/>
  </r>
  <r>
    <x v="51"/>
    <s v="Cheran Express"/>
    <s v="TUP"/>
    <x v="20"/>
    <n v="0"/>
    <n v="81.92"/>
    <n v="17.53"/>
    <n v="0.55000000000000004"/>
    <n v="0"/>
    <d v="2025-09-27T17:56:05"/>
    <s v="https://etrain.info/train/Cheran-Express-12674/history?d=1y"/>
  </r>
  <r>
    <x v="51"/>
    <s v="Cheran Express"/>
    <s v="KPD"/>
    <x v="190"/>
    <n v="14"/>
    <n v="74.790000000000006"/>
    <n v="24.38"/>
    <n v="0.82"/>
    <n v="0.01"/>
    <d v="2025-09-27T17:56:17"/>
    <s v="https://etrain.info/train/Cheran-Express-12674/history?d=1y"/>
  </r>
  <r>
    <x v="51"/>
    <s v="Cheran Express"/>
    <s v="ED"/>
    <x v="16"/>
    <n v="21"/>
    <n v="35.340000000000003"/>
    <n v="64.11"/>
    <n v="0.55000000000000004"/>
    <n v="0"/>
    <d v="2025-09-27T17:56:08"/>
    <s v="https://etrain.info/train/Cheran-Express-12674/history?d=1y"/>
  </r>
  <r>
    <x v="51"/>
    <s v="Cheran Express"/>
    <s v="SA"/>
    <x v="15"/>
    <n v="24"/>
    <n v="27.67"/>
    <n v="71.510000000000005"/>
    <n v="0.82"/>
    <n v="0"/>
    <d v="2025-09-27T17:56:12"/>
    <s v="https://etrain.info/train/Cheran-Express-12674/history?d=1y"/>
  </r>
  <r>
    <x v="51"/>
    <s v="Cheran Express"/>
    <s v="AJJ"/>
    <x v="135"/>
    <n v="28"/>
    <n v="17.260000000000002"/>
    <n v="80.55"/>
    <n v="2.19"/>
    <n v="0"/>
    <d v="2025-09-27T17:56:21"/>
    <s v="https://etrain.info/train/Cheran-Express-12674/history?d=1y"/>
  </r>
  <r>
    <x v="51"/>
    <s v="Cheran Express"/>
    <s v="PER"/>
    <x v="136"/>
    <n v="32"/>
    <n v="9.86"/>
    <n v="86.58"/>
    <n v="3.01"/>
    <n v="0.55000000000000004"/>
    <d v="2025-09-27T17:56:23"/>
    <s v="https://etrain.info/train/Cheran-Express-12674/history?d=1y"/>
  </r>
  <r>
    <x v="52"/>
    <s v="Coimbatore Intercity"/>
    <s v="MAS"/>
    <x v="125"/>
    <n v="2"/>
    <n v="100"/>
    <n v="0"/>
    <n v="0"/>
    <n v="0"/>
    <d v="2025-09-27T19:01:10"/>
    <s v="https://etrain.info/train/Coimbatore-Intercity-12679/history?d=1y"/>
  </r>
  <r>
    <x v="52"/>
    <s v="Coimbatore Intercity"/>
    <s v="CBE"/>
    <x v="0"/>
    <n v="1"/>
    <n v="90"/>
    <n v="10"/>
    <n v="0"/>
    <n v="0"/>
    <d v="2025-09-27T19:01:39"/>
    <s v="https://etrain.info/train/Coimbatore-Intercity-12679/history?d=1y"/>
  </r>
  <r>
    <x v="52"/>
    <s v="Coimbatore Intercity"/>
    <s v="JTJ"/>
    <x v="194"/>
    <n v="15"/>
    <n v="63.33"/>
    <n v="36.67"/>
    <n v="0"/>
    <n v="0"/>
    <d v="2025-09-27T19:01:16"/>
    <s v="https://etrain.info/train/Coimbatore-Intercity-12679/history?d=1y"/>
  </r>
  <r>
    <x v="52"/>
    <s v="Coimbatore Intercity"/>
    <s v="AJJ"/>
    <x v="135"/>
    <n v="16"/>
    <n v="60"/>
    <n v="40"/>
    <n v="0"/>
    <n v="0"/>
    <d v="2025-09-27T19:01:12"/>
    <s v="https://etrain.info/train/Coimbatore-Intercity-12679/history?d=1y"/>
  </r>
  <r>
    <x v="52"/>
    <s v="Coimbatore Intercity"/>
    <s v="SA"/>
    <x v="15"/>
    <n v="22"/>
    <n v="36.67"/>
    <n v="56.67"/>
    <n v="6.67"/>
    <n v="0"/>
    <d v="2025-09-27T19:01:29"/>
    <s v="https://etrain.info/train/Coimbatore-Intercity-12679/history?d=1y"/>
  </r>
  <r>
    <x v="52"/>
    <s v="Coimbatore Intercity"/>
    <s v="SLY"/>
    <x v="306"/>
    <n v="24"/>
    <n v="33.33"/>
    <n v="63.33"/>
    <n v="3.33"/>
    <n v="0.01"/>
    <d v="2025-09-27T19:01:18"/>
    <s v="https://etrain.info/train/Coimbatore-Intercity-12679/history?d=1y"/>
  </r>
  <r>
    <x v="52"/>
    <s v="Coimbatore Intercity"/>
    <s v="ED"/>
    <x v="16"/>
    <n v="23"/>
    <n v="26.67"/>
    <n v="66.67"/>
    <n v="6.67"/>
    <n v="0"/>
    <d v="2025-09-27T19:01:32"/>
    <s v="https://etrain.info/train/Coimbatore-Intercity-12679/history?d=1y"/>
  </r>
  <r>
    <x v="52"/>
    <s v="Coimbatore Intercity"/>
    <s v="TUP"/>
    <x v="20"/>
    <n v="28"/>
    <n v="23.33"/>
    <n v="66.67"/>
    <n v="10"/>
    <n v="0"/>
    <d v="2025-09-27T19:01:34"/>
    <s v="https://etrain.info/train/Coimbatore-Intercity-12679/history?d=1y"/>
  </r>
  <r>
    <x v="52"/>
    <s v="Coimbatore Intercity"/>
    <s v="KPD"/>
    <x v="190"/>
    <n v="20"/>
    <n v="16.670000000000002"/>
    <n v="83.33"/>
    <n v="0"/>
    <n v="0"/>
    <d v="2025-09-27T19:01:13"/>
    <s v="https://etrain.info/train/Coimbatore-Intercity-12679/history?d=1y"/>
  </r>
  <r>
    <x v="52"/>
    <s v="Coimbatore Intercity"/>
    <s v="MAP"/>
    <x v="307"/>
    <n v="28"/>
    <n v="16.670000000000002"/>
    <n v="76.67"/>
    <n v="6.67"/>
    <n v="0"/>
    <d v="2025-09-27T19:01:21"/>
    <s v="https://etrain.info/train/Coimbatore-Intercity-12679/history?d=1y"/>
  </r>
  <r>
    <x v="52"/>
    <s v="Coimbatore Intercity"/>
    <s v="BQI"/>
    <x v="308"/>
    <n v="29"/>
    <n v="16.670000000000002"/>
    <n v="76.67"/>
    <n v="6.67"/>
    <n v="0"/>
    <d v="2025-09-27T19:01:25"/>
    <s v="https://etrain.info/train/Coimbatore-Intercity-12679/history?d=1y"/>
  </r>
  <r>
    <x v="52"/>
    <s v="Coimbatore Intercity"/>
    <s v="CBF"/>
    <x v="304"/>
    <n v="28"/>
    <n v="16.670000000000002"/>
    <n v="76.67"/>
    <n v="6.67"/>
    <n v="0"/>
    <d v="2025-09-27T19:01:37"/>
    <s v="https://etrain.info/train/Coimbatore-Intercity-12679/history?d=1y"/>
  </r>
  <r>
    <x v="52"/>
    <s v="Coimbatore Intercity"/>
    <s v="AB"/>
    <x v="309"/>
    <n v="26"/>
    <n v="6.67"/>
    <n v="93.33"/>
    <n v="0"/>
    <n v="0"/>
    <d v="2025-09-27T19:01:15"/>
    <s v="https://etrain.info/train/Coimbatore-Intercity-12679/history?d=1y"/>
  </r>
  <r>
    <x v="53"/>
    <s v="Coimbatore Intercity"/>
    <s v="CBE"/>
    <x v="0"/>
    <n v="1"/>
    <n v="100"/>
    <n v="0"/>
    <n v="0"/>
    <n v="0"/>
    <d v="2025-09-27T19:01:42"/>
    <s v="https://etrain.info/train/Coimbatore-Intercity-12680/history?d=1y"/>
  </r>
  <r>
    <x v="53"/>
    <s v="Coimbatore Intercity"/>
    <s v="TUP"/>
    <x v="20"/>
    <n v="3"/>
    <n v="100"/>
    <n v="0"/>
    <n v="0"/>
    <n v="0"/>
    <d v="2025-09-27T19:01:43"/>
    <s v="https://etrain.info/train/Coimbatore-Intercity-12680/history?d=1y"/>
  </r>
  <r>
    <x v="53"/>
    <s v="Coimbatore Intercity"/>
    <s v="MAS"/>
    <x v="125"/>
    <n v="2"/>
    <n v="100"/>
    <n v="0"/>
    <n v="0"/>
    <n v="0"/>
    <d v="2025-09-27T19:02:17"/>
    <s v="https://etrain.info/train/Coimbatore-Intercity-12680/history?d=1y"/>
  </r>
  <r>
    <x v="53"/>
    <s v="Coimbatore Intercity"/>
    <s v="ED"/>
    <x v="16"/>
    <n v="6"/>
    <n v="96.67"/>
    <n v="3.33"/>
    <n v="0"/>
    <n v="0"/>
    <d v="2025-09-27T19:01:47"/>
    <s v="https://etrain.info/train/Coimbatore-Intercity-12680/history?d=1y"/>
  </r>
  <r>
    <x v="53"/>
    <s v="Coimbatore Intercity"/>
    <s v="AJJ"/>
    <x v="135"/>
    <n v="6"/>
    <n v="96.67"/>
    <n v="3.33"/>
    <n v="0"/>
    <n v="0"/>
    <d v="2025-09-27T19:02:14"/>
    <s v="https://etrain.info/train/Coimbatore-Intercity-12680/history?d=1y"/>
  </r>
  <r>
    <x v="53"/>
    <s v="Coimbatore Intercity"/>
    <s v="BQI"/>
    <x v="308"/>
    <n v="5"/>
    <n v="93.33"/>
    <n v="6.67"/>
    <n v="0"/>
    <n v="0"/>
    <d v="2025-09-27T19:01:54"/>
    <s v="https://etrain.info/train/Coimbatore-Intercity-12680/history?d=1y"/>
  </r>
  <r>
    <x v="53"/>
    <s v="Coimbatore Intercity"/>
    <s v="MAP"/>
    <x v="307"/>
    <n v="4"/>
    <n v="93.33"/>
    <n v="6.67"/>
    <n v="0"/>
    <n v="0"/>
    <d v="2025-09-27T19:01:58"/>
    <s v="https://etrain.info/train/Coimbatore-Intercity-12680/history?d=1y"/>
  </r>
  <r>
    <x v="53"/>
    <s v="Coimbatore Intercity"/>
    <s v="SLY"/>
    <x v="306"/>
    <n v="6"/>
    <n v="93.33"/>
    <n v="6.67"/>
    <n v="0"/>
    <n v="0"/>
    <d v="2025-09-27T19:02:02"/>
    <s v="https://etrain.info/train/Coimbatore-Intercity-12680/history?d=1y"/>
  </r>
  <r>
    <x v="53"/>
    <s v="Coimbatore Intercity"/>
    <s v="JTJ"/>
    <x v="194"/>
    <n v="4"/>
    <n v="93.33"/>
    <n v="6.67"/>
    <n v="0"/>
    <n v="0"/>
    <d v="2025-09-27T19:02:05"/>
    <s v="https://etrain.info/train/Coimbatore-Intercity-12680/history?d=1y"/>
  </r>
  <r>
    <x v="53"/>
    <s v="Coimbatore Intercity"/>
    <s v="KPD"/>
    <x v="190"/>
    <n v="6"/>
    <n v="93.33"/>
    <n v="6.67"/>
    <n v="0"/>
    <n v="0"/>
    <d v="2025-09-27T19:02:10"/>
    <s v="https://etrain.info/train/Coimbatore-Intercity-12680/history?d=1y"/>
  </r>
  <r>
    <x v="53"/>
    <s v="Coimbatore Intercity"/>
    <s v="AB"/>
    <x v="309"/>
    <n v="7"/>
    <n v="90"/>
    <n v="10"/>
    <n v="0"/>
    <n v="0"/>
    <d v="2025-09-27T19:02:07"/>
    <s v="https://etrain.info/train/Coimbatore-Intercity-12680/history?d=1y"/>
  </r>
  <r>
    <x v="53"/>
    <s v="Coimbatore Intercity"/>
    <s v="SA"/>
    <x v="15"/>
    <n v="7"/>
    <n v="86.67"/>
    <n v="13.33"/>
    <n v="0"/>
    <n v="0"/>
    <d v="2025-09-27T19:01:50"/>
    <s v="https://etrain.info/train/Coimbatore-Intercity-12680/history?d=1y"/>
  </r>
  <r>
    <x v="53"/>
    <s v="Coimbatore Intercity"/>
    <s v="PER"/>
    <x v="136"/>
    <n v="12"/>
    <n v="76.67"/>
    <n v="23.33"/>
    <n v="0"/>
    <n v="0"/>
    <d v="2025-09-27T19:02:16"/>
    <s v="https://etrain.info/train/Coimbatore-Intercity-12680/history?d=1y"/>
  </r>
  <r>
    <x v="54"/>
    <s v="Kovai Express"/>
    <s v="MAS"/>
    <x v="125"/>
    <n v="4"/>
    <n v="100"/>
    <n v="0"/>
    <n v="0"/>
    <n v="0"/>
    <d v="2025-09-27T17:56:30"/>
    <s v="https://etrain.info/train/Kovai-Express-12681/history?d=1y"/>
  </r>
  <r>
    <x v="54"/>
    <s v="Kovai Express"/>
    <s v="SA"/>
    <x v="15"/>
    <n v="0"/>
    <n v="100"/>
    <n v="0"/>
    <n v="0"/>
    <n v="0"/>
    <d v="2025-09-27T17:56:35"/>
    <s v="https://etrain.info/train/Kovai-Express-12681/history?d=1y"/>
  </r>
  <r>
    <x v="54"/>
    <s v="Kovai Express"/>
    <s v="CBE"/>
    <x v="0"/>
    <n v="0"/>
    <n v="100"/>
    <n v="0"/>
    <n v="0"/>
    <n v="0"/>
    <d v="2025-09-27T17:56:41"/>
    <s v="https://etrain.info/train/Kovai-Express-12681/history?d=1y"/>
  </r>
  <r>
    <x v="54"/>
    <s v="Kovai Express"/>
    <s v="KPD"/>
    <x v="190"/>
    <n v="11"/>
    <n v="80"/>
    <n v="20"/>
    <n v="0"/>
    <n v="0"/>
    <d v="2025-09-27T17:56:33"/>
    <s v="https://etrain.info/train/Kovai-Express-12681/history?d=1y"/>
  </r>
  <r>
    <x v="54"/>
    <s v="Kovai Express"/>
    <s v="ED"/>
    <x v="16"/>
    <n v="0"/>
    <n v="80"/>
    <n v="20"/>
    <n v="0"/>
    <n v="0"/>
    <d v="2025-09-27T17:56:37"/>
    <s v="https://etrain.info/train/Kovai-Express-12681/history?d=1y"/>
  </r>
  <r>
    <x v="54"/>
    <s v="Kovai Express"/>
    <s v="TUP"/>
    <x v="20"/>
    <n v="8"/>
    <n v="80"/>
    <n v="20"/>
    <n v="0"/>
    <n v="0"/>
    <d v="2025-09-27T17:56:38"/>
    <s v="https://etrain.info/train/Kovai-Express-12681/history?d=1y"/>
  </r>
  <r>
    <x v="54"/>
    <s v="Kovai Express"/>
    <s v="CBF"/>
    <x v="304"/>
    <n v="7"/>
    <n v="80"/>
    <n v="20"/>
    <n v="0"/>
    <n v="0"/>
    <d v="2025-09-27T17:56:40"/>
    <s v="https://etrain.info/train/Kovai-Express-12681/history?d=1y"/>
  </r>
  <r>
    <x v="54"/>
    <s v="Kovai Express"/>
    <s v="AJJ"/>
    <x v="135"/>
    <n v="15"/>
    <n v="60"/>
    <n v="40"/>
    <n v="0"/>
    <n v="0"/>
    <d v="2025-09-27T17:56:31"/>
    <s v="https://etrain.info/train/Kovai-Express-12681/history?d=1y"/>
  </r>
  <r>
    <x v="55"/>
    <s v="Kovai Express"/>
    <s v="CBE"/>
    <x v="0"/>
    <n v="3"/>
    <n v="100"/>
    <n v="0"/>
    <n v="0"/>
    <n v="0"/>
    <d v="2025-09-27T17:56:45"/>
    <s v="https://etrain.info/train/Kovai-Express-12682/history?d=1y"/>
  </r>
  <r>
    <x v="55"/>
    <s v="Kovai Express"/>
    <s v="KPD"/>
    <x v="190"/>
    <n v="1"/>
    <n v="100"/>
    <n v="0"/>
    <n v="0"/>
    <n v="0"/>
    <d v="2025-09-27T17:56:52"/>
    <s v="https://etrain.info/train/Kovai-Express-12682/history?d=1y"/>
  </r>
  <r>
    <x v="55"/>
    <s v="Kovai Express"/>
    <s v="AJJ"/>
    <x v="135"/>
    <n v="0"/>
    <n v="100"/>
    <n v="0"/>
    <n v="0"/>
    <n v="0"/>
    <d v="2025-09-27T17:56:55"/>
    <s v="https://etrain.info/train/Kovai-Express-12682/history?d=1y"/>
  </r>
  <r>
    <x v="55"/>
    <s v="Kovai Express"/>
    <s v="MAS"/>
    <x v="125"/>
    <n v="9"/>
    <n v="100"/>
    <n v="0"/>
    <n v="0"/>
    <n v="0"/>
    <d v="2025-09-27T17:56:59"/>
    <s v="https://etrain.info/train/Kovai-Express-12682/history?d=1y"/>
  </r>
  <r>
    <x v="55"/>
    <s v="Kovai Express"/>
    <s v="PER"/>
    <x v="136"/>
    <n v="11"/>
    <n v="80"/>
    <n v="20"/>
    <n v="0"/>
    <n v="0"/>
    <d v="2025-09-27T17:56:57"/>
    <s v="https://etrain.info/train/Kovai-Express-12682/history?d=1y"/>
  </r>
  <r>
    <x v="55"/>
    <s v="Kovai Express"/>
    <s v="TUP"/>
    <x v="20"/>
    <n v="16"/>
    <n v="40"/>
    <n v="60"/>
    <n v="0"/>
    <n v="0"/>
    <d v="2025-09-27T17:56:47"/>
    <s v="https://etrain.info/train/Kovai-Express-12682/history?d=1y"/>
  </r>
  <r>
    <x v="55"/>
    <s v="Kovai Express"/>
    <s v="ED"/>
    <x v="16"/>
    <n v="43"/>
    <n v="0"/>
    <n v="100"/>
    <n v="0"/>
    <n v="0"/>
    <d v="2025-09-27T17:56:48"/>
    <s v="https://etrain.info/train/Kovai-Express-12682/history?d=1y"/>
  </r>
  <r>
    <x v="55"/>
    <s v="Kovai Express"/>
    <s v="SA"/>
    <x v="15"/>
    <n v="41"/>
    <n v="0"/>
    <n v="100"/>
    <n v="0"/>
    <n v="0"/>
    <d v="2025-09-27T17:56:50"/>
    <s v="https://etrain.info/train/Kovai-Express-12682/history?d=1y"/>
  </r>
  <r>
    <x v="56"/>
    <s v="Howrah Mail"/>
    <s v="MAS"/>
    <x v="125"/>
    <n v="73"/>
    <n v="40"/>
    <n v="13.33"/>
    <n v="46.67"/>
    <n v="0"/>
    <d v="2025-09-27T18:03:37"/>
    <s v="https://etrain.info/train/Howrah-Mail-12839/history?d=1y"/>
  </r>
  <r>
    <x v="56"/>
    <s v="Howrah Mail"/>
    <s v="HWH"/>
    <x v="75"/>
    <n v="45"/>
    <n v="36.67"/>
    <n v="46.67"/>
    <n v="16.670000000000002"/>
    <n v="0"/>
    <d v="2025-09-27T18:02:29"/>
    <s v="https://etrain.info/train/Howrah-Mail-12839/history?d=1y"/>
  </r>
  <r>
    <x v="56"/>
    <s v="Howrah Mail"/>
    <s v="GDR"/>
    <x v="203"/>
    <n v="90"/>
    <n v="30"/>
    <n v="26.67"/>
    <n v="43.33"/>
    <n v="0"/>
    <d v="2025-09-27T18:03:36"/>
    <s v="https://etrain.info/train/Howrah-Mail-12839/history?d=1y"/>
  </r>
  <r>
    <x v="56"/>
    <s v="Howrah Mail"/>
    <s v="BHC"/>
    <x v="261"/>
    <n v="81"/>
    <n v="16.670000000000002"/>
    <n v="40"/>
    <n v="43.33"/>
    <n v="0"/>
    <d v="2025-09-27T18:02:35"/>
    <s v="https://etrain.info/train/Howrah-Mail-12839/history?d=1y"/>
  </r>
  <r>
    <x v="56"/>
    <s v="Howrah Mail"/>
    <s v="VZM"/>
    <x v="173"/>
    <n v="98"/>
    <n v="16.670000000000002"/>
    <n v="30"/>
    <n v="53.33"/>
    <n v="0"/>
    <d v="2025-09-27T18:03:06"/>
    <s v="https://etrain.info/train/Howrah-Mail-12839/history?d=1y"/>
  </r>
  <r>
    <x v="56"/>
    <s v="Howrah Mail"/>
    <s v="VSKP"/>
    <x v="253"/>
    <n v="103"/>
    <n v="13.33"/>
    <n v="30"/>
    <n v="56.67"/>
    <n v="0"/>
    <d v="2025-09-27T18:03:07"/>
    <s v="https://etrain.info/train/Howrah-Mail-12839/history?d=1y"/>
  </r>
  <r>
    <x v="56"/>
    <s v="Howrah Mail"/>
    <s v="NLR"/>
    <x v="209"/>
    <n v="113"/>
    <n v="13.33"/>
    <n v="23.33"/>
    <n v="63.33"/>
    <n v="0.01"/>
    <d v="2025-09-27T18:03:33"/>
    <s v="https://etrain.info/train/Howrah-Mail-12839/history?d=1y"/>
  </r>
  <r>
    <x v="56"/>
    <s v="Howrah Mail"/>
    <s v="KGP"/>
    <x v="263"/>
    <n v="68"/>
    <n v="10"/>
    <n v="50"/>
    <n v="40"/>
    <n v="0"/>
    <d v="2025-09-27T18:02:31"/>
    <s v="https://etrain.info/train/Howrah-Mail-12839/history?d=1y"/>
  </r>
  <r>
    <x v="56"/>
    <s v="Howrah Mail"/>
    <s v="CHE"/>
    <x v="255"/>
    <n v="98"/>
    <n v="10"/>
    <n v="33.33"/>
    <n v="56.67"/>
    <n v="0"/>
    <d v="2025-09-27T18:03:00"/>
    <s v="https://etrain.info/train/Howrah-Mail-12839/history?d=1y"/>
  </r>
  <r>
    <x v="56"/>
    <s v="Howrah Mail"/>
    <s v="AKP"/>
    <x v="310"/>
    <n v="106"/>
    <n v="10"/>
    <n v="30"/>
    <n v="60"/>
    <n v="0"/>
    <d v="2025-09-27T18:03:09"/>
    <s v="https://etrain.info/train/Howrah-Mail-12839/history?d=1y"/>
  </r>
  <r>
    <x v="56"/>
    <s v="Howrah Mail"/>
    <s v="JJKR"/>
    <x v="260"/>
    <n v="90"/>
    <n v="6.67"/>
    <n v="36.67"/>
    <n v="56.67"/>
    <n v="0"/>
    <d v="2025-09-27T18:02:39"/>
    <s v="https://etrain.info/train/Howrah-Mail-12839/history?d=1y"/>
  </r>
  <r>
    <x v="56"/>
    <s v="Howrah Mail"/>
    <s v="PSA"/>
    <x v="256"/>
    <n v="104"/>
    <n v="6.67"/>
    <n v="33.33"/>
    <n v="60"/>
    <n v="0"/>
    <d v="2025-09-27T18:02:56"/>
    <s v="https://etrain.info/train/Howrah-Mail-12839/history?d=1y"/>
  </r>
  <r>
    <x v="56"/>
    <s v="Howrah Mail"/>
    <s v="NWP"/>
    <x v="311"/>
    <n v="99"/>
    <n v="6.67"/>
    <n v="33.33"/>
    <n v="60"/>
    <n v="0"/>
    <d v="2025-09-27T18:02:58"/>
    <s v="https://etrain.info/train/Howrah-Mail-12839/history?d=1y"/>
  </r>
  <r>
    <x v="56"/>
    <s v="Howrah Mail"/>
    <s v="CPP"/>
    <x v="312"/>
    <n v="106"/>
    <n v="6.67"/>
    <n v="26.67"/>
    <n v="66.67"/>
    <n v="0"/>
    <d v="2025-09-27T18:03:04"/>
    <s v="https://etrain.info/train/Howrah-Mail-12839/history?d=1y"/>
  </r>
  <r>
    <x v="56"/>
    <s v="Howrah Mail"/>
    <s v="KUR"/>
    <x v="257"/>
    <n v="104"/>
    <n v="3.33"/>
    <n v="23.33"/>
    <n v="73.33"/>
    <n v="0.01"/>
    <d v="2025-09-27T18:02:44"/>
    <s v="https://etrain.info/train/Howrah-Mail-12839/history?d=1y"/>
  </r>
  <r>
    <x v="56"/>
    <s v="Howrah Mail"/>
    <s v="TUNI"/>
    <x v="313"/>
    <n v="112"/>
    <n v="3.33"/>
    <n v="33.33"/>
    <n v="63.33"/>
    <n v="0.01"/>
    <d v="2025-09-27T18:03:11"/>
    <s v="https://etrain.info/train/Howrah-Mail-12839/history?d=1y"/>
  </r>
  <r>
    <x v="56"/>
    <s v="Howrah Mail"/>
    <s v="EE"/>
    <x v="314"/>
    <n v="147"/>
    <n v="3.33"/>
    <n v="10"/>
    <n v="86.67"/>
    <n v="0"/>
    <d v="2025-09-27T18:03:22"/>
    <s v="https://etrain.info/train/Howrah-Mail-12839/history?d=1y"/>
  </r>
  <r>
    <x v="56"/>
    <s v="Howrah Mail"/>
    <s v="BZA"/>
    <x v="174"/>
    <n v="106"/>
    <n v="3.33"/>
    <n v="43.33"/>
    <n v="53.33"/>
    <n v="0.01"/>
    <d v="2025-09-27T18:03:24"/>
    <s v="https://etrain.info/train/Howrah-Mail-12839/history?d=1y"/>
  </r>
  <r>
    <x v="56"/>
    <s v="Howrah Mail"/>
    <s v="BLS"/>
    <x v="262"/>
    <n v="87"/>
    <n v="0"/>
    <n v="46.67"/>
    <n v="53.33"/>
    <n v="0"/>
    <d v="2025-09-27T18:02:33"/>
    <s v="https://etrain.info/train/Howrah-Mail-12839/history?d=1y"/>
  </r>
  <r>
    <x v="56"/>
    <s v="Howrah Mail"/>
    <s v="CTC"/>
    <x v="252"/>
    <n v="104"/>
    <n v="0"/>
    <n v="26.67"/>
    <n v="73.33"/>
    <n v="0"/>
    <d v="2025-09-27T18:02:41"/>
    <s v="https://etrain.info/train/Howrah-Mail-12839/history?d=1y"/>
  </r>
  <r>
    <x v="56"/>
    <s v="Howrah Mail"/>
    <s v="BBS"/>
    <x v="175"/>
    <n v="111"/>
    <n v="0"/>
    <n v="26.67"/>
    <n v="73.33"/>
    <n v="0"/>
    <d v="2025-09-27T18:02:43"/>
    <s v="https://etrain.info/train/Howrah-Mail-12839/history?d=1y"/>
  </r>
  <r>
    <x v="56"/>
    <s v="Howrah Mail"/>
    <s v="BALU"/>
    <x v="259"/>
    <n v="115"/>
    <n v="0"/>
    <n v="16.670000000000002"/>
    <n v="83.33"/>
    <n v="0"/>
    <d v="2025-09-27T18:02:46"/>
    <s v="https://etrain.info/train/Howrah-Mail-12839/history?d=1y"/>
  </r>
  <r>
    <x v="56"/>
    <s v="Howrah Mail"/>
    <s v="CAP"/>
    <x v="315"/>
    <n v="119"/>
    <n v="0"/>
    <n v="20"/>
    <n v="80"/>
    <n v="0"/>
    <d v="2025-09-27T18:02:48"/>
    <s v="https://etrain.info/train/Howrah-Mail-12839/history?d=1y"/>
  </r>
  <r>
    <x v="56"/>
    <s v="Howrah Mail"/>
    <s v="BAM"/>
    <x v="258"/>
    <n v="139"/>
    <n v="0"/>
    <n v="10"/>
    <n v="90"/>
    <n v="0"/>
    <d v="2025-09-27T18:02:50"/>
    <s v="https://etrain.info/train/Howrah-Mail-12839/history?d=1y"/>
  </r>
  <r>
    <x v="56"/>
    <s v="Howrah Mail"/>
    <s v="IPM"/>
    <x v="316"/>
    <n v="135"/>
    <n v="0"/>
    <n v="13.33"/>
    <n v="86.67"/>
    <n v="0"/>
    <d v="2025-09-27T18:02:52"/>
    <s v="https://etrain.info/train/Howrah-Mail-12839/history?d=1y"/>
  </r>
  <r>
    <x v="56"/>
    <s v="Howrah Mail"/>
    <s v="SPT"/>
    <x v="317"/>
    <n v="135"/>
    <n v="0"/>
    <n v="13.33"/>
    <n v="86.67"/>
    <n v="0"/>
    <d v="2025-09-27T18:02:54"/>
    <s v="https://etrain.info/train/Howrah-Mail-12839/history?d=1y"/>
  </r>
  <r>
    <x v="56"/>
    <s v="Howrah Mail"/>
    <s v="ANV"/>
    <x v="318"/>
    <n v="114"/>
    <n v="0"/>
    <n v="33.33"/>
    <n v="66.67"/>
    <n v="0"/>
    <d v="2025-09-27T18:03:13"/>
    <s v="https://etrain.info/train/Howrah-Mail-12839/history?d=1y"/>
  </r>
  <r>
    <x v="56"/>
    <s v="Howrah Mail"/>
    <s v="SLO"/>
    <x v="319"/>
    <n v="132"/>
    <n v="0"/>
    <n v="13.33"/>
    <n v="86.67"/>
    <n v="0"/>
    <d v="2025-09-27T18:03:14"/>
    <s v="https://etrain.info/train/Howrah-Mail-12839/history?d=1y"/>
  </r>
  <r>
    <x v="56"/>
    <s v="Howrah Mail"/>
    <s v="RJY"/>
    <x v="254"/>
    <n v="140"/>
    <n v="0"/>
    <n v="13.33"/>
    <n v="86.67"/>
    <n v="0"/>
    <d v="2025-09-27T18:03:16"/>
    <s v="https://etrain.info/train/Howrah-Mail-12839/history?d=1y"/>
  </r>
  <r>
    <x v="56"/>
    <s v="Howrah Mail"/>
    <s v="NDD"/>
    <x v="320"/>
    <n v="145"/>
    <n v="0"/>
    <n v="13.33"/>
    <n v="86.67"/>
    <n v="0"/>
    <d v="2025-09-27T18:03:18"/>
    <s v="https://etrain.info/train/Howrah-Mail-12839/history?d=1y"/>
  </r>
  <r>
    <x v="56"/>
    <s v="Howrah Mail"/>
    <s v="TDD"/>
    <x v="321"/>
    <n v="144"/>
    <n v="0"/>
    <n v="13.33"/>
    <n v="86.67"/>
    <n v="0"/>
    <d v="2025-09-27T18:03:20"/>
    <s v="https://etrain.info/train/Howrah-Mail-12839/history?d=1y"/>
  </r>
  <r>
    <x v="56"/>
    <s v="Howrah Mail"/>
    <s v="TEL"/>
    <x v="322"/>
    <n v="127"/>
    <n v="0"/>
    <n v="26.67"/>
    <n v="73.33"/>
    <n v="0"/>
    <d v="2025-09-27T18:03:26"/>
    <s v="https://etrain.info/train/Howrah-Mail-12839/history?d=1y"/>
  </r>
  <r>
    <x v="56"/>
    <s v="Howrah Mail"/>
    <s v="BPP"/>
    <x v="323"/>
    <n v="133"/>
    <n v="0"/>
    <n v="20"/>
    <n v="80"/>
    <n v="0"/>
    <d v="2025-09-27T18:03:28"/>
    <s v="https://etrain.info/train/Howrah-Mail-12839/history?d=1y"/>
  </r>
  <r>
    <x v="56"/>
    <s v="Howrah Mail"/>
    <s v="CLX"/>
    <x v="324"/>
    <n v="133"/>
    <n v="0"/>
    <n v="20"/>
    <n v="80"/>
    <n v="0"/>
    <d v="2025-09-27T18:03:29"/>
    <s v="https://etrain.info/train/Howrah-Mail-12839/history?d=1y"/>
  </r>
  <r>
    <x v="56"/>
    <s v="Howrah Mail"/>
    <s v="OGL"/>
    <x v="207"/>
    <n v="0"/>
    <n v="0"/>
    <n v="26.67"/>
    <n v="73.33"/>
    <n v="0"/>
    <d v="2025-09-27T18:03:32"/>
    <s v="https://etrain.info/train/Howrah-Mail-12839/history?d=1y"/>
  </r>
  <r>
    <x v="57"/>
    <s v="Howrah Mail"/>
    <s v="MAS"/>
    <x v="125"/>
    <n v="56"/>
    <n v="61.92"/>
    <n v="11.51"/>
    <n v="26.3"/>
    <n v="0.27"/>
    <d v="2025-09-27T18:03:41"/>
    <s v="https://etrain.info/train/Howrah-Mail-12840/history?d=1y"/>
  </r>
  <r>
    <x v="57"/>
    <s v="Howrah Mail"/>
    <s v="PSA"/>
    <x v="256"/>
    <n v="77"/>
    <n v="47.4"/>
    <n v="17.260000000000002"/>
    <n v="35.07"/>
    <n v="0.27"/>
    <d v="2025-09-27T18:04:23"/>
    <s v="https://etrain.info/train/Howrah-Mail-12840/history?d=1y"/>
  </r>
  <r>
    <x v="57"/>
    <s v="Howrah Mail"/>
    <s v="SPT"/>
    <x v="317"/>
    <n v="83"/>
    <n v="41.64"/>
    <n v="21.37"/>
    <n v="36.71"/>
    <n v="0.28000000000000003"/>
    <d v="2025-09-27T18:04:25"/>
    <s v="https://etrain.info/train/Howrah-Mail-12840/history?d=1y"/>
  </r>
  <r>
    <x v="57"/>
    <s v="Howrah Mail"/>
    <s v="BHC"/>
    <x v="261"/>
    <n v="87"/>
    <n v="41.64"/>
    <n v="17.260000000000002"/>
    <n v="40.82"/>
    <n v="0.28000000000000003"/>
    <d v="2025-09-27T18:04:42"/>
    <s v="https://etrain.info/train/Howrah-Mail-12840/history?d=1y"/>
  </r>
  <r>
    <x v="57"/>
    <s v="Howrah Mail"/>
    <s v="VSKP"/>
    <x v="253"/>
    <n v="79"/>
    <n v="40.549999999999997"/>
    <n v="23.01"/>
    <n v="36.159999999999997"/>
    <n v="0.28000000000000003"/>
    <d v="2025-09-27T18:04:13"/>
    <s v="https://etrain.info/train/Howrah-Mail-12840/history?d=1y"/>
  </r>
  <r>
    <x v="57"/>
    <s v="Howrah Mail"/>
    <s v="GDR"/>
    <x v="203"/>
    <n v="73"/>
    <n v="33.97"/>
    <n v="33.97"/>
    <n v="31.78"/>
    <n v="0.28000000000000003"/>
    <d v="2025-09-27T18:03:43"/>
    <s v="https://etrain.info/train/Howrah-Mail-12840/history?d=1y"/>
  </r>
  <r>
    <x v="57"/>
    <s v="Howrah Mail"/>
    <s v="TEL"/>
    <x v="322"/>
    <n v="77"/>
    <n v="31.78"/>
    <n v="33.42"/>
    <n v="34.520000000000003"/>
    <n v="0.28000000000000003"/>
    <d v="2025-09-27T18:03:53"/>
    <s v="https://etrain.info/train/Howrah-Mail-12840/history?d=1y"/>
  </r>
  <r>
    <x v="57"/>
    <s v="Howrah Mail"/>
    <s v="IPM"/>
    <x v="316"/>
    <n v="88"/>
    <n v="31.23"/>
    <n v="30.68"/>
    <n v="37.81"/>
    <n v="0.28000000000000003"/>
    <d v="2025-09-27T18:04:27"/>
    <s v="https://etrain.info/train/Howrah-Mail-12840/history?d=1y"/>
  </r>
  <r>
    <x v="57"/>
    <s v="Howrah Mail"/>
    <s v="BZA"/>
    <x v="174"/>
    <n v="84"/>
    <n v="23.84"/>
    <n v="39.729999999999997"/>
    <n v="36.159999999999997"/>
    <n v="0.27"/>
    <d v="2025-09-27T18:03:55"/>
    <s v="https://etrain.info/train/Howrah-Mail-12840/history?d=1y"/>
  </r>
  <r>
    <x v="57"/>
    <s v="Howrah Mail"/>
    <s v="BLS"/>
    <x v="262"/>
    <n v="101"/>
    <n v="23.84"/>
    <n v="29.32"/>
    <n v="46.58"/>
    <n v="0.26"/>
    <d v="2025-09-27T18:04:43"/>
    <s v="https://etrain.info/train/Howrah-Mail-12840/history?d=1y"/>
  </r>
  <r>
    <x v="57"/>
    <s v="Howrah Mail"/>
    <s v="VZM"/>
    <x v="173"/>
    <n v="89"/>
    <n v="21.64"/>
    <n v="39.729999999999997"/>
    <n v="38.36"/>
    <n v="0.27"/>
    <d v="2025-09-27T18:04:16"/>
    <s v="https://etrain.info/train/Howrah-Mail-12840/history?d=1y"/>
  </r>
  <r>
    <x v="57"/>
    <s v="Howrah Mail"/>
    <s v="CHE"/>
    <x v="255"/>
    <n v="91"/>
    <n v="20.27"/>
    <n v="40.549999999999997"/>
    <n v="38.9"/>
    <n v="0.28000000000000003"/>
    <d v="2025-09-27T18:04:19"/>
    <s v="https://etrain.info/train/Howrah-Mail-12840/history?d=1y"/>
  </r>
  <r>
    <x v="57"/>
    <s v="Howrah Mail"/>
    <s v="HWH"/>
    <x v="75"/>
    <n v="129"/>
    <n v="18.63"/>
    <n v="10.68"/>
    <n v="69.59"/>
    <n v="1.1000000000000001"/>
    <d v="2025-09-27T18:04:48"/>
    <s v="https://etrain.info/train/Howrah-Mail-12840/history?d=1y"/>
  </r>
  <r>
    <x v="57"/>
    <s v="Howrah Mail"/>
    <s v="BPP"/>
    <x v="323"/>
    <n v="85"/>
    <n v="18.079999999999998"/>
    <n v="45.48"/>
    <n v="36.159999999999997"/>
    <n v="0.28000000000000003"/>
    <d v="2025-09-27T18:03:51"/>
    <s v="https://etrain.info/train/Howrah-Mail-12840/history?d=1y"/>
  </r>
  <r>
    <x v="57"/>
    <s v="Howrah Mail"/>
    <s v="CPP"/>
    <x v="312"/>
    <n v="91"/>
    <n v="17.809999999999999"/>
    <n v="42.47"/>
    <n v="39.450000000000003"/>
    <n v="0.27"/>
    <d v="2025-09-27T18:04:18"/>
    <s v="https://etrain.info/train/Howrah-Mail-12840/history?d=1y"/>
  </r>
  <r>
    <x v="57"/>
    <s v="Howrah Mail"/>
    <s v="OGL"/>
    <x v="207"/>
    <n v="82"/>
    <n v="17.53"/>
    <n v="48.22"/>
    <n v="33.97"/>
    <n v="0.28000000000000003"/>
    <d v="2025-09-27T18:03:47"/>
    <s v="https://etrain.info/train/Howrah-Mail-12840/history?d=1y"/>
  </r>
  <r>
    <x v="57"/>
    <s v="Howrah Mail"/>
    <s v="CLX"/>
    <x v="324"/>
    <n v="84"/>
    <n v="17.53"/>
    <n v="47.95"/>
    <n v="34.25"/>
    <n v="0.27"/>
    <d v="2025-09-27T18:03:49"/>
    <s v="https://etrain.info/train/Howrah-Mail-12840/history?d=1y"/>
  </r>
  <r>
    <x v="57"/>
    <s v="Howrah Mail"/>
    <s v="EE"/>
    <x v="314"/>
    <n v="94"/>
    <n v="16.440000000000001"/>
    <n v="38.36"/>
    <n v="44.93"/>
    <n v="0.27"/>
    <d v="2025-09-27T18:03:57"/>
    <s v="https://etrain.info/train/Howrah-Mail-12840/history?d=1y"/>
  </r>
  <r>
    <x v="57"/>
    <s v="Howrah Mail"/>
    <s v="SLO"/>
    <x v="319"/>
    <n v="121"/>
    <n v="16.440000000000001"/>
    <n v="10.14"/>
    <n v="73.150000000000006"/>
    <n v="0.27"/>
    <d v="2025-09-27T18:04:06"/>
    <s v="https://etrain.info/train/Howrah-Mail-12840/history?d=1y"/>
  </r>
  <r>
    <x v="57"/>
    <s v="Howrah Mail"/>
    <s v="NWP"/>
    <x v="311"/>
    <n v="96"/>
    <n v="15.62"/>
    <n v="42.74"/>
    <n v="41.37"/>
    <n v="0.27"/>
    <d v="2025-09-27T18:04:21"/>
    <s v="https://etrain.info/train/Howrah-Mail-12840/history?d=1y"/>
  </r>
  <r>
    <x v="57"/>
    <s v="Howrah Mail"/>
    <s v="NLR"/>
    <x v="209"/>
    <n v="81"/>
    <n v="14.79"/>
    <n v="52.05"/>
    <n v="32.880000000000003"/>
    <n v="0.28000000000000003"/>
    <d v="2025-09-27T18:03:45"/>
    <s v="https://etrain.info/train/Howrah-Mail-12840/history?d=1y"/>
  </r>
  <r>
    <x v="57"/>
    <s v="Howrah Mail"/>
    <s v="TDD"/>
    <x v="321"/>
    <n v="99"/>
    <n v="14.79"/>
    <n v="36.159999999999997"/>
    <n v="48.77"/>
    <n v="0.28000000000000003"/>
    <d v="2025-09-27T18:03:59"/>
    <s v="https://etrain.info/train/Howrah-Mail-12840/history?d=1y"/>
  </r>
  <r>
    <x v="57"/>
    <s v="Howrah Mail"/>
    <s v="TUNI"/>
    <x v="313"/>
    <n v="124"/>
    <n v="14.25"/>
    <n v="11.78"/>
    <n v="73.7"/>
    <n v="0.27"/>
    <d v="2025-09-27T18:04:10"/>
    <s v="https://etrain.info/train/Howrah-Mail-12840/history?d=1y"/>
  </r>
  <r>
    <x v="57"/>
    <s v="Howrah Mail"/>
    <s v="AKP"/>
    <x v="310"/>
    <n v="128"/>
    <n v="14.25"/>
    <n v="9.32"/>
    <n v="76.16"/>
    <n v="0.27"/>
    <d v="2025-09-27T18:04:11"/>
    <s v="https://etrain.info/train/Howrah-Mail-12840/history?d=1y"/>
  </r>
  <r>
    <x v="57"/>
    <s v="Howrah Mail"/>
    <s v="NDD"/>
    <x v="320"/>
    <n v="103"/>
    <n v="13.97"/>
    <n v="30.68"/>
    <n v="55.07"/>
    <n v="0.28000000000000003"/>
    <d v="2025-09-27T18:04:00"/>
    <s v="https://etrain.info/train/Howrah-Mail-12840/history?d=1y"/>
  </r>
  <r>
    <x v="57"/>
    <s v="Howrah Mail"/>
    <s v="ANV"/>
    <x v="318"/>
    <n v="124"/>
    <n v="13.97"/>
    <n v="12.05"/>
    <n v="73.7"/>
    <n v="0.28000000000000003"/>
    <d v="2025-09-27T18:04:07"/>
    <s v="https://etrain.info/train/Howrah-Mail-12840/history?d=1y"/>
  </r>
  <r>
    <x v="57"/>
    <s v="Howrah Mail"/>
    <s v="KGP"/>
    <x v="263"/>
    <n v="123"/>
    <n v="10.14"/>
    <n v="30.96"/>
    <n v="58.63"/>
    <n v="0.27"/>
    <d v="2025-09-27T18:04:45"/>
    <s v="https://etrain.info/train/Howrah-Mail-12840/history?d=1y"/>
  </r>
  <r>
    <x v="57"/>
    <s v="Howrah Mail"/>
    <s v="RJY"/>
    <x v="254"/>
    <n v="0"/>
    <n v="8.2200000000000006"/>
    <n v="20.82"/>
    <n v="70.680000000000007"/>
    <n v="0.27"/>
    <d v="2025-09-27T18:04:04"/>
    <s v="https://etrain.info/train/Howrah-Mail-12840/history?d=1y"/>
  </r>
  <r>
    <x v="57"/>
    <s v="Howrah Mail"/>
    <s v="BAM"/>
    <x v="258"/>
    <n v="99"/>
    <n v="7.12"/>
    <n v="52.6"/>
    <n v="40"/>
    <n v="0.28000000000000003"/>
    <d v="2025-09-27T18:04:29"/>
    <s v="https://etrain.info/train/Howrah-Mail-12840/history?d=1y"/>
  </r>
  <r>
    <x v="57"/>
    <s v="Howrah Mail"/>
    <s v="SRC"/>
    <x v="325"/>
    <n v="158"/>
    <n v="6.3"/>
    <n v="13.42"/>
    <n v="80"/>
    <n v="0.28000000000000003"/>
    <d v="2025-09-27T18:04:47"/>
    <s v="https://etrain.info/train/Howrah-Mail-12840/history?d=1y"/>
  </r>
  <r>
    <x v="57"/>
    <s v="Howrah Mail"/>
    <s v="CTC"/>
    <x v="252"/>
    <n v="124"/>
    <n v="4.93"/>
    <n v="36.99"/>
    <n v="57.26"/>
    <n v="0.82"/>
    <d v="2025-09-27T18:04:38"/>
    <s v="https://etrain.info/train/Howrah-Mail-12840/history?d=1y"/>
  </r>
  <r>
    <x v="57"/>
    <s v="Howrah Mail"/>
    <s v="KUR"/>
    <x v="257"/>
    <n v="117"/>
    <n v="4.66"/>
    <n v="43.01"/>
    <n v="52.05"/>
    <n v="0.28000000000000003"/>
    <d v="2025-09-27T18:04:34"/>
    <s v="https://etrain.info/train/Howrah-Mail-12840/history?d=1y"/>
  </r>
  <r>
    <x v="57"/>
    <s v="Howrah Mail"/>
    <s v="BBS"/>
    <x v="175"/>
    <n v="121"/>
    <n v="3.84"/>
    <n v="40.82"/>
    <n v="55.07"/>
    <n v="0.27"/>
    <d v="2025-09-27T18:04:36"/>
    <s v="https://etrain.info/train/Howrah-Mail-12840/history?d=1y"/>
  </r>
  <r>
    <x v="57"/>
    <s v="Howrah Mail"/>
    <s v="JJKR"/>
    <x v="260"/>
    <n v="127"/>
    <n v="3.84"/>
    <n v="37.26"/>
    <n v="58.63"/>
    <n v="0.27"/>
    <d v="2025-09-27T18:04:40"/>
    <s v="https://etrain.info/train/Howrah-Mail-12840/history?d=1y"/>
  </r>
  <r>
    <x v="57"/>
    <s v="Howrah Mail"/>
    <s v="CAP"/>
    <x v="315"/>
    <n v="103"/>
    <n v="2.4700000000000002"/>
    <n v="54.52"/>
    <n v="42.74"/>
    <n v="0.27"/>
    <d v="2025-09-27T18:04:31"/>
    <s v="https://etrain.info/train/Howrah-Mail-12840/history?d=1y"/>
  </r>
  <r>
    <x v="57"/>
    <s v="Howrah Mail"/>
    <s v="BALU"/>
    <x v="259"/>
    <n v="108"/>
    <n v="2.19"/>
    <n v="53.15"/>
    <n v="44.38"/>
    <n v="0.28000000000000003"/>
    <d v="2025-09-27T18:04:33"/>
    <s v="https://etrain.info/train/Howrah-Mail-12840/history?d=1y"/>
  </r>
  <r>
    <x v="58"/>
    <s v="Coromandel Express"/>
    <s v="MAS"/>
    <x v="125"/>
    <n v="21"/>
    <n v="66.67"/>
    <n v="10"/>
    <n v="23.33"/>
    <n v="0"/>
    <d v="2025-09-27T18:44:00"/>
    <s v="https://etrain.info/train/Coromandel-Express-12841/history?d=1y"/>
  </r>
  <r>
    <x v="58"/>
    <s v="Coromandel Express"/>
    <s v="SRC"/>
    <x v="325"/>
    <n v="20"/>
    <n v="63.33"/>
    <n v="26.67"/>
    <n v="10"/>
    <n v="0"/>
    <d v="2025-09-27T18:43:37"/>
    <s v="https://etrain.info/train/Coromandel-Express-12841/history?d=1y"/>
  </r>
  <r>
    <x v="58"/>
    <s v="Coromandel Express"/>
    <s v="HWH"/>
    <x v="75"/>
    <n v="18"/>
    <n v="53.33"/>
    <n v="30"/>
    <n v="6.67"/>
    <n v="10"/>
    <d v="2025-09-27T18:43:34"/>
    <s v="https://etrain.info/train/Coromandel-Express-12841/history?d=1y"/>
  </r>
  <r>
    <x v="58"/>
    <s v="Coromandel Express"/>
    <s v="VSKP"/>
    <x v="253"/>
    <n v="48"/>
    <n v="50"/>
    <n v="23.33"/>
    <n v="26.67"/>
    <n v="0"/>
    <d v="2025-09-27T18:43:52"/>
    <s v="https://etrain.info/train/Coromandel-Express-12841/history?d=1y"/>
  </r>
  <r>
    <x v="58"/>
    <s v="Coromandel Express"/>
    <s v="BHC"/>
    <x v="261"/>
    <n v="0"/>
    <n v="46.67"/>
    <n v="33.33"/>
    <n v="20"/>
    <n v="0"/>
    <d v="2025-09-27T18:43:42"/>
    <s v="https://etrain.info/train/Coromandel-Express-12841/history?d=1y"/>
  </r>
  <r>
    <x v="58"/>
    <s v="Coromandel Express"/>
    <s v="JJKR"/>
    <x v="260"/>
    <n v="36"/>
    <n v="46.67"/>
    <n v="33.33"/>
    <n v="20"/>
    <n v="0"/>
    <d v="2025-09-27T18:43:44"/>
    <s v="https://etrain.info/train/Coromandel-Express-12841/history?d=1y"/>
  </r>
  <r>
    <x v="58"/>
    <s v="Coromandel Express"/>
    <s v="BZA"/>
    <x v="174"/>
    <n v="45"/>
    <n v="40"/>
    <n v="33.33"/>
    <n v="26.67"/>
    <n v="0"/>
    <d v="2025-09-27T18:43:58"/>
    <s v="https://etrain.info/train/Coromandel-Express-12841/history?d=1y"/>
  </r>
  <r>
    <x v="58"/>
    <s v="Coromandel Express"/>
    <s v="KGP"/>
    <x v="263"/>
    <n v="34"/>
    <n v="23.33"/>
    <n v="60"/>
    <n v="16.670000000000002"/>
    <n v="0"/>
    <d v="2025-09-27T18:43:38"/>
    <s v="https://etrain.info/train/Coromandel-Express-12841/history?d=1y"/>
  </r>
  <r>
    <x v="58"/>
    <s v="Coromandel Express"/>
    <s v="BBS"/>
    <x v="175"/>
    <n v="49"/>
    <n v="23.33"/>
    <n v="50"/>
    <n v="26.67"/>
    <n v="0"/>
    <d v="2025-09-27T18:43:47"/>
    <s v="https://etrain.info/train/Coromandel-Express-12841/history?d=1y"/>
  </r>
  <r>
    <x v="58"/>
    <s v="Coromandel Express"/>
    <s v="CTC"/>
    <x v="252"/>
    <n v="48"/>
    <n v="20"/>
    <n v="50"/>
    <n v="30"/>
    <n v="0"/>
    <d v="2025-09-27T18:43:45"/>
    <s v="https://etrain.info/train/Coromandel-Express-12841/history?d=1y"/>
  </r>
  <r>
    <x v="58"/>
    <s v="Coromandel Express"/>
    <s v="SHM"/>
    <x v="326"/>
    <n v="0"/>
    <n v="10"/>
    <n v="0"/>
    <n v="0"/>
    <n v="90"/>
    <d v="2025-09-27T18:43:35"/>
    <s v="https://etrain.info/train/Coromandel-Express-12841/history?d=1y"/>
  </r>
  <r>
    <x v="58"/>
    <s v="Coromandel Express"/>
    <s v="BLS"/>
    <x v="262"/>
    <n v="53"/>
    <n v="10"/>
    <n v="60"/>
    <n v="30"/>
    <n v="0"/>
    <d v="2025-09-27T18:43:40"/>
    <s v="https://etrain.info/train/Coromandel-Express-12841/history?d=1y"/>
  </r>
  <r>
    <x v="58"/>
    <s v="Coromandel Express"/>
    <s v="BAM"/>
    <x v="258"/>
    <n v="63"/>
    <n v="6.67"/>
    <n v="50"/>
    <n v="43.33"/>
    <n v="0"/>
    <d v="2025-09-27T18:43:50"/>
    <s v="https://etrain.info/train/Coromandel-Express-12841/history?d=1y"/>
  </r>
  <r>
    <x v="58"/>
    <s v="Coromandel Express"/>
    <s v="TDD"/>
    <x v="321"/>
    <n v="71"/>
    <n v="6.67"/>
    <n v="60"/>
    <n v="33.33"/>
    <n v="0"/>
    <d v="2025-09-27T18:43:55"/>
    <s v="https://etrain.info/train/Coromandel-Express-12841/history?d=1y"/>
  </r>
  <r>
    <x v="58"/>
    <s v="Coromandel Express"/>
    <s v="KUR"/>
    <x v="257"/>
    <n v="71"/>
    <n v="3.33"/>
    <n v="50"/>
    <n v="46.67"/>
    <n v="0"/>
    <d v="2025-09-27T18:43:49"/>
    <s v="https://etrain.info/train/Coromandel-Express-12841/history?d=1y"/>
  </r>
  <r>
    <x v="58"/>
    <s v="Coromandel Express"/>
    <s v="EE"/>
    <x v="314"/>
    <n v="71"/>
    <n v="3.33"/>
    <n v="63.33"/>
    <n v="33.33"/>
    <n v="0.01"/>
    <d v="2025-09-27T18:43:57"/>
    <s v="https://etrain.info/train/Coromandel-Express-12841/history?d=1y"/>
  </r>
  <r>
    <x v="58"/>
    <s v="Coromandel Express"/>
    <s v="RJY"/>
    <x v="254"/>
    <n v="0"/>
    <n v="0"/>
    <n v="63.33"/>
    <n v="36.67"/>
    <n v="0"/>
    <d v="2025-09-27T18:43:54"/>
    <s v="https://etrain.info/train/Coromandel-Express-12841/history?d=1y"/>
  </r>
  <r>
    <x v="59"/>
    <s v="Coromandel Express"/>
    <s v="MAS"/>
    <x v="125"/>
    <n v="31"/>
    <n v="76.67"/>
    <n v="10"/>
    <n v="13.33"/>
    <n v="0"/>
    <d v="2025-09-27T18:44:05"/>
    <s v="https://etrain.info/train/Coromandel-Express-12842/history?d=1y"/>
  </r>
  <r>
    <x v="59"/>
    <s v="Coromandel Express"/>
    <s v="VSKP"/>
    <x v="253"/>
    <n v="35"/>
    <n v="60"/>
    <n v="23.33"/>
    <n v="16.670000000000002"/>
    <n v="0"/>
    <d v="2025-09-27T18:44:15"/>
    <s v="https://etrain.info/train/Coromandel-Express-12842/history?d=1y"/>
  </r>
  <r>
    <x v="59"/>
    <s v="Coromandel Express"/>
    <s v="HWH"/>
    <x v="75"/>
    <n v="63"/>
    <n v="53.33"/>
    <n v="10"/>
    <n v="26.67"/>
    <n v="10"/>
    <d v="2025-09-27T18:44:31"/>
    <s v="https://etrain.info/train/Coromandel-Express-12842/history?d=1y"/>
  </r>
  <r>
    <x v="59"/>
    <s v="Coromandel Express"/>
    <s v="BHC"/>
    <x v="261"/>
    <n v="45"/>
    <n v="40"/>
    <n v="36.67"/>
    <n v="23.33"/>
    <n v="0"/>
    <d v="2025-09-27T18:44:24"/>
    <s v="https://etrain.info/train/Coromandel-Express-12842/history?d=1y"/>
  </r>
  <r>
    <x v="59"/>
    <s v="Coromandel Express"/>
    <s v="OGL"/>
    <x v="207"/>
    <n v="50"/>
    <n v="36.67"/>
    <n v="43.33"/>
    <n v="20"/>
    <n v="0"/>
    <d v="2025-09-27T18:44:07"/>
    <s v="https://etrain.info/train/Coromandel-Express-12842/history?d=1y"/>
  </r>
  <r>
    <x v="59"/>
    <s v="Coromandel Express"/>
    <s v="SRC"/>
    <x v="325"/>
    <n v="51"/>
    <n v="36.67"/>
    <n v="33.33"/>
    <n v="30"/>
    <n v="0"/>
    <d v="2025-09-27T18:44:29"/>
    <s v="https://etrain.info/train/Coromandel-Express-12842/history?d=1y"/>
  </r>
  <r>
    <x v="59"/>
    <s v="Coromandel Express"/>
    <s v="BAM"/>
    <x v="258"/>
    <n v="0"/>
    <n v="20"/>
    <n v="53.33"/>
    <n v="26.67"/>
    <n v="0"/>
    <d v="2025-09-27T18:44:17"/>
    <s v="https://etrain.info/train/Coromandel-Express-12842/history?d=1y"/>
  </r>
  <r>
    <x v="59"/>
    <s v="Coromandel Express"/>
    <s v="BZA"/>
    <x v="174"/>
    <n v="56"/>
    <n v="16.670000000000002"/>
    <n v="60"/>
    <n v="23.33"/>
    <n v="0"/>
    <d v="2025-09-27T18:44:09"/>
    <s v="https://etrain.info/train/Coromandel-Express-12842/history?d=1y"/>
  </r>
  <r>
    <x v="59"/>
    <s v="Coromandel Express"/>
    <s v="BLS"/>
    <x v="262"/>
    <n v="58"/>
    <n v="13.33"/>
    <n v="63.33"/>
    <n v="23.33"/>
    <n v="0.01"/>
    <d v="2025-09-27T18:44:26"/>
    <s v="https://etrain.info/train/Coromandel-Express-12842/history?d=1y"/>
  </r>
  <r>
    <x v="59"/>
    <s v="Coromandel Express"/>
    <s v="EE"/>
    <x v="314"/>
    <n v="68"/>
    <n v="3.33"/>
    <n v="70"/>
    <n v="26.67"/>
    <n v="0"/>
    <d v="2025-09-27T18:44:10"/>
    <s v="https://etrain.info/train/Coromandel-Express-12842/history?d=1y"/>
  </r>
  <r>
    <x v="59"/>
    <s v="Coromandel Express"/>
    <s v="TDD"/>
    <x v="321"/>
    <n v="75"/>
    <n v="3.33"/>
    <n v="56.67"/>
    <n v="40"/>
    <n v="0"/>
    <d v="2025-09-27T18:44:12"/>
    <s v="https://etrain.info/train/Coromandel-Express-12842/history?d=1y"/>
  </r>
  <r>
    <x v="59"/>
    <s v="Coromandel Express"/>
    <s v="SHM"/>
    <x v="326"/>
    <n v="53"/>
    <n v="3.33"/>
    <n v="0"/>
    <n v="6.67"/>
    <n v="90"/>
    <d v="2025-09-27T18:44:32"/>
    <s v="https://etrain.info/train/Coromandel-Express-12842/history?d=1y"/>
  </r>
  <r>
    <x v="59"/>
    <s v="Coromandel Express"/>
    <s v="RJY"/>
    <x v="254"/>
    <n v="100"/>
    <n v="0"/>
    <n v="16.670000000000002"/>
    <n v="83.33"/>
    <n v="0"/>
    <d v="2025-09-27T18:44:13"/>
    <s v="https://etrain.info/train/Coromandel-Express-12842/history?d=1y"/>
  </r>
  <r>
    <x v="59"/>
    <s v="Coromandel Express"/>
    <s v="KUR"/>
    <x v="257"/>
    <n v="79"/>
    <n v="0"/>
    <n v="60"/>
    <n v="40"/>
    <n v="0"/>
    <d v="2025-09-27T18:44:18"/>
    <s v="https://etrain.info/train/Coromandel-Express-12842/history?d=1y"/>
  </r>
  <r>
    <x v="59"/>
    <s v="Coromandel Express"/>
    <s v="BBS"/>
    <x v="175"/>
    <n v="77"/>
    <n v="0"/>
    <n v="56.67"/>
    <n v="43.33"/>
    <n v="0"/>
    <d v="2025-09-27T18:44:20"/>
    <s v="https://etrain.info/train/Coromandel-Express-12842/history?d=1y"/>
  </r>
  <r>
    <x v="59"/>
    <s v="Coromandel Express"/>
    <s v="CTC"/>
    <x v="252"/>
    <n v="80"/>
    <n v="0"/>
    <n v="53.33"/>
    <n v="46.67"/>
    <n v="0"/>
    <d v="2025-09-27T18:44:21"/>
    <s v="https://etrain.info/train/Coromandel-Express-12842/history?d=1y"/>
  </r>
  <r>
    <x v="59"/>
    <s v="Coromandel Express"/>
    <s v="JJKR"/>
    <x v="260"/>
    <n v="104"/>
    <n v="0"/>
    <n v="13.33"/>
    <n v="86.67"/>
    <n v="0"/>
    <d v="2025-09-27T18:44:23"/>
    <s v="https://etrain.info/train/Coromandel-Express-12842/history?d=1y"/>
  </r>
  <r>
    <x v="59"/>
    <s v="Coromandel Express"/>
    <s v="KGP"/>
    <x v="263"/>
    <n v="89"/>
    <n v="0"/>
    <n v="56.67"/>
    <n v="43.33"/>
    <n v="0"/>
    <d v="2025-09-27T18:44:27"/>
    <s v="https://etrain.info/train/Coromandel-Express-12842/history?d=1y"/>
  </r>
  <r>
    <x v="60"/>
    <s v="Golden Temple Mail"/>
    <s v="BDTS"/>
    <x v="327"/>
    <n v="0"/>
    <n v="100"/>
    <n v="0"/>
    <n v="0"/>
    <n v="0"/>
    <d v="2025-09-27T18:50:46"/>
    <s v="https://etrain.info/train/Golden-Temple-Mail-12903/history?d=1y"/>
  </r>
  <r>
    <x v="60"/>
    <s v="Golden Temple Mail"/>
    <s v="BVI"/>
    <x v="72"/>
    <n v="0"/>
    <n v="86.67"/>
    <n v="13.33"/>
    <n v="0"/>
    <n v="0"/>
    <d v="2025-09-27T18:50:48"/>
    <s v="https://etrain.info/train/Golden-Temple-Mail-12903/history?d=1y"/>
  </r>
  <r>
    <x v="60"/>
    <s v="Golden Temple Mail"/>
    <s v="RTM"/>
    <x v="328"/>
    <n v="25"/>
    <n v="86.67"/>
    <n v="0"/>
    <n v="13.33"/>
    <n v="0"/>
    <d v="2025-09-27T18:51:04"/>
    <s v="https://etrain.info/train/Golden-Temple-Mail-12903/history?d=1y"/>
  </r>
  <r>
    <x v="60"/>
    <s v="Golden Temple Mail"/>
    <s v="NAD"/>
    <x v="329"/>
    <n v="20"/>
    <n v="86.67"/>
    <n v="0"/>
    <n v="13.33"/>
    <n v="0"/>
    <d v="2025-09-27T18:51:08"/>
    <s v="https://etrain.info/train/Golden-Temple-Mail-12903/history?d=1y"/>
  </r>
  <r>
    <x v="60"/>
    <s v="Golden Temple Mail"/>
    <s v="BRC"/>
    <x v="67"/>
    <n v="30"/>
    <n v="80"/>
    <n v="6.67"/>
    <n v="13.33"/>
    <n v="0"/>
    <d v="2025-09-27T18:50:53"/>
    <s v="https://etrain.info/train/Golden-Temple-Mail-12903/history?d=1y"/>
  </r>
  <r>
    <x v="60"/>
    <s v="Golden Temple Mail"/>
    <s v="FDB"/>
    <x v="89"/>
    <n v="37"/>
    <n v="80"/>
    <n v="0"/>
    <n v="20"/>
    <n v="0"/>
    <d v="2025-09-27T18:51:34"/>
    <s v="https://etrain.info/train/Golden-Temple-Mail-12903/history?d=1y"/>
  </r>
  <r>
    <x v="60"/>
    <s v="Golden Temple Mail"/>
    <s v="GDA"/>
    <x v="330"/>
    <n v="28"/>
    <n v="76.67"/>
    <n v="10"/>
    <n v="13.33"/>
    <n v="0"/>
    <d v="2025-09-27T18:50:57"/>
    <s v="https://etrain.info/train/Golden-Temple-Mail-12903/history?d=1y"/>
  </r>
  <r>
    <x v="60"/>
    <s v="Golden Temple Mail"/>
    <s v="BWM"/>
    <x v="331"/>
    <n v="26"/>
    <n v="76.67"/>
    <n v="6.67"/>
    <n v="16.670000000000002"/>
    <n v="0"/>
    <d v="2025-09-27T18:51:15"/>
    <s v="https://etrain.info/train/Golden-Temple-Mail-12903/history?d=1y"/>
  </r>
  <r>
    <x v="60"/>
    <s v="Golden Temple Mail"/>
    <s v="RMA"/>
    <x v="332"/>
    <n v="30"/>
    <n v="76.67"/>
    <n v="6.67"/>
    <n v="16.670000000000002"/>
    <n v="0"/>
    <d v="2025-09-27T18:51:19"/>
    <s v="https://etrain.info/train/Golden-Temple-Mail-12903/history?d=1y"/>
  </r>
  <r>
    <x v="60"/>
    <s v="Golden Temple Mail"/>
    <s v="MTJ"/>
    <x v="62"/>
    <n v="37"/>
    <n v="76.67"/>
    <n v="3.33"/>
    <n v="20"/>
    <n v="0"/>
    <d v="2025-09-27T18:51:33"/>
    <s v="https://etrain.info/train/Golden-Temple-Mail-12903/history?d=1y"/>
  </r>
  <r>
    <x v="60"/>
    <s v="Golden Temple Mail"/>
    <s v="ST"/>
    <x v="71"/>
    <n v="25"/>
    <n v="70"/>
    <n v="23.33"/>
    <n v="6.67"/>
    <n v="0"/>
    <d v="2025-09-27T18:50:52"/>
    <s v="https://etrain.info/train/Golden-Temple-Mail-12903/history?d=1y"/>
  </r>
  <r>
    <x v="60"/>
    <s v="Golden Temple Mail"/>
    <s v="SGZ"/>
    <x v="333"/>
    <n v="24"/>
    <n v="70"/>
    <n v="16.670000000000002"/>
    <n v="13.33"/>
    <n v="0"/>
    <d v="2025-09-27T18:51:12"/>
    <s v="https://etrain.info/train/Golden-Temple-Mail-12903/history?d=1y"/>
  </r>
  <r>
    <x v="60"/>
    <s v="Golden Temple Mail"/>
    <s v="NZM"/>
    <x v="84"/>
    <n v="0"/>
    <n v="70"/>
    <n v="10"/>
    <n v="20"/>
    <n v="0"/>
    <d v="2025-09-27T18:51:36"/>
    <s v="https://etrain.info/train/Golden-Temple-Mail-12903/history?d=1y"/>
  </r>
  <r>
    <x v="60"/>
    <s v="Golden Temple Mail"/>
    <s v="SRE"/>
    <x v="334"/>
    <n v="43"/>
    <n v="70"/>
    <n v="10"/>
    <n v="20"/>
    <n v="0"/>
    <d v="2025-09-27T18:51:45"/>
    <s v="https://etrain.info/train/Golden-Temple-Mail-12903/history?d=1y"/>
  </r>
  <r>
    <x v="60"/>
    <s v="Golden Temple Mail"/>
    <s v="YJUD"/>
    <x v="335"/>
    <n v="44"/>
    <n v="70"/>
    <n v="10"/>
    <n v="20"/>
    <n v="0"/>
    <d v="2025-09-27T18:51:47"/>
    <s v="https://etrain.info/train/Golden-Temple-Mail-12903/history?d=1y"/>
  </r>
  <r>
    <x v="60"/>
    <s v="Golden Temple Mail"/>
    <s v="BEAS"/>
    <x v="336"/>
    <n v="45"/>
    <n v="70"/>
    <n v="6.67"/>
    <n v="23.33"/>
    <n v="0"/>
    <d v="2025-09-27T18:51:54"/>
    <s v="https://etrain.info/train/Golden-Temple-Mail-12903/history?d=1y"/>
  </r>
  <r>
    <x v="60"/>
    <s v="Golden Temple Mail"/>
    <s v="KOTA"/>
    <x v="337"/>
    <n v="34"/>
    <n v="66.67"/>
    <n v="16.670000000000002"/>
    <n v="16.670000000000002"/>
    <n v="0"/>
    <d v="2025-09-27T18:51:23"/>
    <s v="https://etrain.info/train/Golden-Temple-Mail-12903/history?d=1y"/>
  </r>
  <r>
    <x v="60"/>
    <s v="Golden Temple Mail"/>
    <s v="JUC"/>
    <x v="338"/>
    <n v="44"/>
    <n v="66.67"/>
    <n v="13.33"/>
    <n v="20"/>
    <n v="0"/>
    <d v="2025-09-27T18:51:52"/>
    <s v="https://etrain.info/train/Golden-Temple-Mail-12903/history?d=1y"/>
  </r>
  <r>
    <x v="60"/>
    <s v="Golden Temple Mail"/>
    <s v="GZB"/>
    <x v="339"/>
    <n v="53"/>
    <n v="63.33"/>
    <n v="13.33"/>
    <n v="23.33"/>
    <n v="0.01"/>
    <d v="2025-09-27T18:51:37"/>
    <s v="https://etrain.info/train/Golden-Temple-Mail-12903/history?d=1y"/>
  </r>
  <r>
    <x v="60"/>
    <s v="Golden Temple Mail"/>
    <s v="ASR"/>
    <x v="340"/>
    <n v="39"/>
    <n v="63.33"/>
    <n v="16.670000000000002"/>
    <n v="20"/>
    <n v="0"/>
    <d v="2025-09-27T18:51:55"/>
    <s v="https://etrain.info/train/Golden-Temple-Mail-12903/history?d=1y"/>
  </r>
  <r>
    <x v="60"/>
    <s v="Golden Temple Mail"/>
    <s v="UMB"/>
    <x v="341"/>
    <n v="49"/>
    <n v="60"/>
    <n v="20"/>
    <n v="20"/>
    <n v="0"/>
    <d v="2025-09-27T18:51:49"/>
    <s v="https://etrain.info/train/Golden-Temple-Mail-12903/history?d=1y"/>
  </r>
  <r>
    <x v="60"/>
    <s v="Golden Temple Mail"/>
    <s v="SWM"/>
    <x v="342"/>
    <n v="42"/>
    <n v="56.67"/>
    <n v="23.33"/>
    <n v="20"/>
    <n v="0"/>
    <d v="2025-09-27T18:51:24"/>
    <s v="https://etrain.info/train/Golden-Temple-Mail-12903/history?d=1y"/>
  </r>
  <r>
    <x v="60"/>
    <s v="Golden Temple Mail"/>
    <s v="DHD"/>
    <x v="343"/>
    <n v="33"/>
    <n v="53.33"/>
    <n v="33.33"/>
    <n v="13.33"/>
    <n v="0.01"/>
    <d v="2025-09-27T18:50:59"/>
    <s v="https://etrain.info/train/Golden-Temple-Mail-12903/history?d=1y"/>
  </r>
  <r>
    <x v="60"/>
    <s v="Golden Temple Mail"/>
    <s v="MGN"/>
    <x v="344"/>
    <n v="34"/>
    <n v="53.33"/>
    <n v="33.33"/>
    <n v="13.33"/>
    <n v="0.01"/>
    <d v="2025-09-27T18:51:00"/>
    <s v="https://etrain.info/train/Golden-Temple-Mail-12903/history?d=1y"/>
  </r>
  <r>
    <x v="60"/>
    <s v="Golden Temple Mail"/>
    <s v="BXN"/>
    <x v="345"/>
    <n v="46"/>
    <n v="53.33"/>
    <n v="26.67"/>
    <n v="20"/>
    <n v="0"/>
    <d v="2025-09-27T18:51:30"/>
    <s v="https://etrain.info/train/Golden-Temple-Mail-12903/history?d=1y"/>
  </r>
  <r>
    <x v="60"/>
    <s v="Golden Temple Mail"/>
    <s v="MTC"/>
    <x v="346"/>
    <n v="57"/>
    <n v="50"/>
    <n v="30"/>
    <n v="20"/>
    <n v="0"/>
    <d v="2025-09-27T18:51:39"/>
    <s v="https://etrain.info/train/Golden-Temple-Mail-12903/history?d=1y"/>
  </r>
  <r>
    <x v="60"/>
    <s v="Golden Temple Mail"/>
    <s v="MUT"/>
    <x v="347"/>
    <n v="60"/>
    <n v="50"/>
    <n v="26.67"/>
    <n v="23.33"/>
    <n v="0"/>
    <d v="2025-09-27T18:51:41"/>
    <s v="https://etrain.info/train/Golden-Temple-Mail-12903/history?d=1y"/>
  </r>
  <r>
    <x v="60"/>
    <s v="Golden Temple Mail"/>
    <s v="SKF"/>
    <x v="348"/>
    <n v="61"/>
    <n v="50"/>
    <n v="26.67"/>
    <n v="23.33"/>
    <n v="0"/>
    <d v="2025-09-27T18:51:42"/>
    <s v="https://etrain.info/train/Golden-Temple-Mail-12903/history?d=1y"/>
  </r>
  <r>
    <x v="60"/>
    <s v="Golden Temple Mail"/>
    <s v="GGC"/>
    <x v="349"/>
    <n v="49"/>
    <n v="43.33"/>
    <n v="36.67"/>
    <n v="20"/>
    <n v="0"/>
    <d v="2025-09-27T18:51:25"/>
    <s v="https://etrain.info/train/Golden-Temple-Mail-12903/history?d=1y"/>
  </r>
  <r>
    <x v="60"/>
    <s v="Golden Temple Mail"/>
    <s v="HAN"/>
    <x v="350"/>
    <n v="48"/>
    <n v="43.33"/>
    <n v="36.67"/>
    <n v="20"/>
    <n v="0"/>
    <d v="2025-09-27T18:51:28"/>
    <s v="https://etrain.info/train/Golden-Temple-Mail-12903/history?d=1y"/>
  </r>
  <r>
    <x v="60"/>
    <s v="Golden Temple Mail"/>
    <s v="BTE"/>
    <x v="351"/>
    <n v="50"/>
    <n v="43.33"/>
    <n v="36.67"/>
    <n v="20"/>
    <n v="0"/>
    <d v="2025-09-27T18:51:31"/>
    <s v="https://etrain.info/train/Golden-Temple-Mail-12903/history?d=1y"/>
  </r>
  <r>
    <x v="60"/>
    <s v="Golden Temple Mail"/>
    <s v="LDH"/>
    <x v="352"/>
    <n v="51"/>
    <n v="43.33"/>
    <n v="36.67"/>
    <n v="20"/>
    <n v="0"/>
    <d v="2025-09-27T18:51:50"/>
    <s v="https://etrain.info/train/Golden-Temple-Mail-12903/history?d=1y"/>
  </r>
  <r>
    <x v="60"/>
    <s v="Golden Temple Mail"/>
    <s v="MOZ"/>
    <x v="353"/>
    <n v="63"/>
    <n v="40"/>
    <n v="36.67"/>
    <n v="23.33"/>
    <n v="0"/>
    <d v="2025-09-27T18:51:44"/>
    <s v="https://etrain.info/train/Golden-Temple-Mail-12903/history?d=1y"/>
  </r>
  <r>
    <x v="60"/>
    <s v="Golden Temple Mail"/>
    <s v="SMVJ"/>
    <x v="354"/>
    <n v="51"/>
    <n v="33.33"/>
    <n v="46.67"/>
    <n v="20"/>
    <n v="0"/>
    <d v="2025-09-27T18:51:27"/>
    <s v="https://etrain.info/train/Golden-Temple-Mail-12903/history?d=1y"/>
  </r>
  <r>
    <x v="61"/>
    <s v="Golden Temple Mail"/>
    <s v="ASR"/>
    <x v="340"/>
    <n v="2"/>
    <n v="100"/>
    <n v="0"/>
    <n v="0"/>
    <n v="0"/>
    <d v="2025-09-27T18:51:59"/>
    <s v="https://etrain.info/train/Golden-Temple-Mail-12904/history?d=1y"/>
  </r>
  <r>
    <x v="61"/>
    <s v="Golden Temple Mail"/>
    <s v="BDTS"/>
    <x v="327"/>
    <n v="0"/>
    <n v="86.67"/>
    <n v="3.33"/>
    <n v="10"/>
    <n v="0"/>
    <d v="2025-09-27T18:53:15"/>
    <s v="https://etrain.info/train/Golden-Temple-Mail-12904/history?d=1y"/>
  </r>
  <r>
    <x v="61"/>
    <s v="Golden Temple Mail"/>
    <s v="MOZ"/>
    <x v="353"/>
    <n v="9"/>
    <n v="83.33"/>
    <n v="10"/>
    <n v="6.67"/>
    <n v="0"/>
    <d v="2025-09-27T18:52:14"/>
    <s v="https://etrain.info/train/Golden-Temple-Mail-12904/history?d=1y"/>
  </r>
  <r>
    <x v="61"/>
    <s v="Golden Temple Mail"/>
    <s v="BEAS"/>
    <x v="336"/>
    <n v="13"/>
    <n v="80"/>
    <n v="20"/>
    <n v="0"/>
    <n v="0"/>
    <d v="2025-09-27T18:52:00"/>
    <s v="https://etrain.info/train/Golden-Temple-Mail-12904/history?d=1y"/>
  </r>
  <r>
    <x v="61"/>
    <s v="Golden Temple Mail"/>
    <s v="SRE"/>
    <x v="334"/>
    <n v="9"/>
    <n v="80"/>
    <n v="16.670000000000002"/>
    <n v="3.33"/>
    <n v="0"/>
    <d v="2025-09-27T18:52:10"/>
    <s v="https://etrain.info/train/Golden-Temple-Mail-12904/history?d=1y"/>
  </r>
  <r>
    <x v="61"/>
    <s v="Golden Temple Mail"/>
    <s v="SKF"/>
    <x v="348"/>
    <n v="0"/>
    <n v="80"/>
    <n v="13.33"/>
    <n v="6.67"/>
    <n v="0"/>
    <d v="2025-09-27T18:52:15"/>
    <s v="https://etrain.info/train/Golden-Temple-Mail-12904/history?d=1y"/>
  </r>
  <r>
    <x v="61"/>
    <s v="Golden Temple Mail"/>
    <s v="NZM"/>
    <x v="84"/>
    <n v="17"/>
    <n v="80"/>
    <n v="3.33"/>
    <n v="16.670000000000002"/>
    <n v="0"/>
    <d v="2025-09-27T18:52:26"/>
    <s v="https://etrain.info/train/Golden-Temple-Mail-12904/history?d=1y"/>
  </r>
  <r>
    <x v="61"/>
    <s v="Golden Temple Mail"/>
    <s v="JUC"/>
    <x v="338"/>
    <n v="9"/>
    <n v="76.67"/>
    <n v="23.33"/>
    <n v="0"/>
    <n v="0"/>
    <d v="2025-09-27T18:52:02"/>
    <s v="https://etrain.info/train/Golden-Temple-Mail-12904/history?d=1y"/>
  </r>
  <r>
    <x v="61"/>
    <s v="Golden Temple Mail"/>
    <s v="UMB"/>
    <x v="341"/>
    <n v="9"/>
    <n v="76.67"/>
    <n v="23.33"/>
    <n v="0"/>
    <n v="0"/>
    <d v="2025-09-27T18:52:04"/>
    <s v="https://etrain.info/train/Golden-Temple-Mail-12904/history?d=1y"/>
  </r>
  <r>
    <x v="61"/>
    <s v="Golden Temple Mail"/>
    <s v="MUT"/>
    <x v="347"/>
    <n v="13"/>
    <n v="76.67"/>
    <n v="16.670000000000002"/>
    <n v="6.67"/>
    <n v="0"/>
    <d v="2025-09-27T18:52:19"/>
    <s v="https://etrain.info/train/Golden-Temple-Mail-12904/history?d=1y"/>
  </r>
  <r>
    <x v="61"/>
    <s v="Golden Temple Mail"/>
    <s v="MTC"/>
    <x v="346"/>
    <n v="16"/>
    <n v="73.33"/>
    <n v="16.670000000000002"/>
    <n v="10"/>
    <n v="0"/>
    <d v="2025-09-27T18:52:21"/>
    <s v="https://etrain.info/train/Golden-Temple-Mail-12904/history?d=1y"/>
  </r>
  <r>
    <x v="61"/>
    <s v="Golden Temple Mail"/>
    <s v="FDB"/>
    <x v="89"/>
    <n v="31"/>
    <n v="73.33"/>
    <n v="10"/>
    <n v="16.670000000000002"/>
    <n v="0"/>
    <d v="2025-09-27T18:52:28"/>
    <s v="https://etrain.info/train/Golden-Temple-Mail-12904/history?d=1y"/>
  </r>
  <r>
    <x v="61"/>
    <s v="Golden Temple Mail"/>
    <s v="MTJ"/>
    <x v="62"/>
    <n v="27"/>
    <n v="73.33"/>
    <n v="10"/>
    <n v="16.670000000000002"/>
    <n v="0"/>
    <d v="2025-09-27T18:52:29"/>
    <s v="https://etrain.info/train/Golden-Temple-Mail-12904/history?d=1y"/>
  </r>
  <r>
    <x v="61"/>
    <s v="Golden Temple Mail"/>
    <s v="NAD"/>
    <x v="329"/>
    <n v="0"/>
    <n v="73.33"/>
    <n v="13.33"/>
    <n v="13.33"/>
    <n v="0"/>
    <d v="2025-09-27T18:52:55"/>
    <s v="https://etrain.info/train/Golden-Temple-Mail-12904/history?d=1y"/>
  </r>
  <r>
    <x v="61"/>
    <s v="Golden Temple Mail"/>
    <s v="ST"/>
    <x v="71"/>
    <n v="22"/>
    <n v="73.33"/>
    <n v="10"/>
    <n v="16.670000000000002"/>
    <n v="0"/>
    <d v="2025-09-27T18:53:07"/>
    <s v="https://etrain.info/train/Golden-Temple-Mail-12904/history?d=1y"/>
  </r>
  <r>
    <x v="61"/>
    <s v="Golden Temple Mail"/>
    <s v="LDH"/>
    <x v="352"/>
    <n v="13"/>
    <n v="70"/>
    <n v="30"/>
    <n v="0"/>
    <n v="0"/>
    <d v="2025-09-27T18:52:03"/>
    <s v="https://etrain.info/train/Golden-Temple-Mail-12904/history?d=1y"/>
  </r>
  <r>
    <x v="61"/>
    <s v="Golden Temple Mail"/>
    <s v="BTE"/>
    <x v="351"/>
    <n v="28"/>
    <n v="70"/>
    <n v="13.33"/>
    <n v="16.670000000000002"/>
    <n v="0"/>
    <d v="2025-09-27T18:52:31"/>
    <s v="https://etrain.info/train/Golden-Temple-Mail-12904/history?d=1y"/>
  </r>
  <r>
    <x v="61"/>
    <s v="Golden Temple Mail"/>
    <s v="GDA"/>
    <x v="330"/>
    <n v="0"/>
    <n v="70"/>
    <n v="13.33"/>
    <n v="16.670000000000002"/>
    <n v="0"/>
    <d v="2025-09-27T18:53:02"/>
    <s v="https://etrain.info/train/Golden-Temple-Mail-12904/history?d=1y"/>
  </r>
  <r>
    <x v="61"/>
    <s v="Golden Temple Mail"/>
    <s v="YJUD"/>
    <x v="335"/>
    <n v="14"/>
    <n v="66.67"/>
    <n v="33.33"/>
    <n v="0"/>
    <n v="0"/>
    <d v="2025-09-27T18:52:06"/>
    <s v="https://etrain.info/train/Golden-Temple-Mail-12904/history?d=1y"/>
  </r>
  <r>
    <x v="61"/>
    <s v="Golden Temple Mail"/>
    <s v="BRC"/>
    <x v="67"/>
    <n v="23"/>
    <n v="66.67"/>
    <n v="16.670000000000002"/>
    <n v="16.670000000000002"/>
    <n v="0"/>
    <d v="2025-09-27T18:53:06"/>
    <s v="https://etrain.info/train/Golden-Temple-Mail-12904/history?d=1y"/>
  </r>
  <r>
    <x v="61"/>
    <s v="Golden Temple Mail"/>
    <s v="RMA"/>
    <x v="332"/>
    <n v="35"/>
    <n v="60"/>
    <n v="23.33"/>
    <n v="16.670000000000002"/>
    <n v="0"/>
    <d v="2025-09-27T18:52:50"/>
    <s v="https://etrain.info/train/Golden-Temple-Mail-12904/history?d=1y"/>
  </r>
  <r>
    <x v="61"/>
    <s v="Golden Temple Mail"/>
    <s v="GZB"/>
    <x v="339"/>
    <n v="22"/>
    <n v="56.67"/>
    <n v="30"/>
    <n v="13.33"/>
    <n v="0"/>
    <d v="2025-09-27T18:52:25"/>
    <s v="https://etrain.info/train/Golden-Temple-Mail-12904/history?d=1y"/>
  </r>
  <r>
    <x v="61"/>
    <s v="Golden Temple Mail"/>
    <s v="GGC"/>
    <x v="349"/>
    <n v="34"/>
    <n v="56.67"/>
    <n v="26.67"/>
    <n v="16.670000000000002"/>
    <n v="0"/>
    <d v="2025-09-27T18:52:41"/>
    <s v="https://etrain.info/train/Golden-Temple-Mail-12904/history?d=1y"/>
  </r>
  <r>
    <x v="61"/>
    <s v="Golden Temple Mail"/>
    <s v="SWM"/>
    <x v="342"/>
    <n v="35"/>
    <n v="56.67"/>
    <n v="26.67"/>
    <n v="16.670000000000002"/>
    <n v="0"/>
    <d v="2025-09-27T18:52:44"/>
    <s v="https://etrain.info/train/Golden-Temple-Mail-12904/history?d=1y"/>
  </r>
  <r>
    <x v="61"/>
    <s v="Golden Temple Mail"/>
    <s v="KOTA"/>
    <x v="337"/>
    <n v="32"/>
    <n v="56.67"/>
    <n v="26.67"/>
    <n v="16.670000000000002"/>
    <n v="0"/>
    <d v="2025-09-27T18:52:48"/>
    <s v="https://etrain.info/train/Golden-Temple-Mail-12904/history?d=1y"/>
  </r>
  <r>
    <x v="61"/>
    <s v="Golden Temple Mail"/>
    <s v="BWM"/>
    <x v="331"/>
    <n v="38"/>
    <n v="56.67"/>
    <n v="23.33"/>
    <n v="20"/>
    <n v="0"/>
    <d v="2025-09-27T18:52:51"/>
    <s v="https://etrain.info/train/Golden-Temple-Mail-12904/history?d=1y"/>
  </r>
  <r>
    <x v="61"/>
    <s v="Golden Temple Mail"/>
    <s v="RTM"/>
    <x v="328"/>
    <n v="0"/>
    <n v="56.67"/>
    <n v="23.33"/>
    <n v="20"/>
    <n v="0"/>
    <d v="2025-09-27T18:52:57"/>
    <s v="https://etrain.info/train/Golden-Temple-Mail-12904/history?d=1y"/>
  </r>
  <r>
    <x v="61"/>
    <s v="Golden Temple Mail"/>
    <s v="BXN"/>
    <x v="345"/>
    <n v="35"/>
    <n v="53.33"/>
    <n v="30"/>
    <n v="16.670000000000002"/>
    <n v="0"/>
    <d v="2025-09-27T18:52:32"/>
    <s v="https://etrain.info/train/Golden-Temple-Mail-12904/history?d=1y"/>
  </r>
  <r>
    <x v="61"/>
    <s v="Golden Temple Mail"/>
    <s v="HAN"/>
    <x v="350"/>
    <n v="35"/>
    <n v="50"/>
    <n v="33.33"/>
    <n v="16.670000000000002"/>
    <n v="0"/>
    <d v="2025-09-27T18:52:34"/>
    <s v="https://etrain.info/train/Golden-Temple-Mail-12904/history?d=1y"/>
  </r>
  <r>
    <x v="61"/>
    <s v="Golden Temple Mail"/>
    <s v="SMVJ"/>
    <x v="354"/>
    <n v="36"/>
    <n v="46.67"/>
    <n v="36.67"/>
    <n v="16.670000000000002"/>
    <n v="0"/>
    <d v="2025-09-27T18:52:37"/>
    <s v="https://etrain.info/train/Golden-Temple-Mail-12904/history?d=1y"/>
  </r>
  <r>
    <x v="61"/>
    <s v="Golden Temple Mail"/>
    <s v="BVI"/>
    <x v="72"/>
    <n v="27"/>
    <n v="40"/>
    <n v="46.67"/>
    <n v="13.33"/>
    <n v="0"/>
    <d v="2025-09-27T18:53:11"/>
    <s v="https://etrain.info/train/Golden-Temple-Mail-12904/history?d=1y"/>
  </r>
  <r>
    <x v="61"/>
    <s v="Golden Temple Mail"/>
    <s v="SGZ"/>
    <x v="333"/>
    <n v="44"/>
    <n v="30"/>
    <n v="50"/>
    <n v="20"/>
    <n v="0"/>
    <d v="2025-09-27T18:52:53"/>
    <s v="https://etrain.info/train/Golden-Temple-Mail-12904/history?d=1y"/>
  </r>
  <r>
    <x v="61"/>
    <s v="Golden Temple Mail"/>
    <s v="DHD"/>
    <x v="343"/>
    <n v="39"/>
    <n v="30"/>
    <n v="50"/>
    <n v="20"/>
    <n v="0"/>
    <d v="2025-09-27T18:53:00"/>
    <s v="https://etrain.info/train/Golden-Temple-Mail-12904/history?d=1y"/>
  </r>
  <r>
    <x v="61"/>
    <s v="Golden Temple Mail"/>
    <s v="MGN"/>
    <x v="344"/>
    <n v="37"/>
    <n v="26.67"/>
    <n v="53.33"/>
    <n v="20"/>
    <n v="0"/>
    <d v="2025-09-27T18:52:58"/>
    <s v="https://etrain.info/train/Golden-Temple-Mail-12904/history?d=1y"/>
  </r>
  <r>
    <x v="62"/>
    <s v="Paschim Express"/>
    <s v="NAD"/>
    <x v="329"/>
    <n v="7"/>
    <n v="96.99"/>
    <n v="1.64"/>
    <n v="1.37"/>
    <n v="0"/>
    <d v="2025-09-28T01:27:19"/>
    <s v="https://etrain.info/train/Paschim-Express-12925/history?d=1y"/>
  </r>
  <r>
    <x v="62"/>
    <s v="Paschim Express"/>
    <s v="GDA"/>
    <x v="330"/>
    <n v="0"/>
    <n v="95.07"/>
    <n v="3.56"/>
    <n v="1.37"/>
    <n v="0"/>
    <d v="2025-09-28T01:27:02"/>
    <s v="https://etrain.info/train/Paschim-Express-12925/history?d=1y"/>
  </r>
  <r>
    <x v="62"/>
    <s v="Paschim Express"/>
    <s v="SGZ"/>
    <x v="333"/>
    <n v="0"/>
    <n v="93.42"/>
    <n v="4.93"/>
    <n v="1.64"/>
    <n v="0"/>
    <d v="2025-09-28T01:27:23"/>
    <s v="https://etrain.info/train/Paschim-Express-12925/history?d=1y"/>
  </r>
  <r>
    <x v="62"/>
    <s v="Paschim Express"/>
    <s v="RMA"/>
    <x v="332"/>
    <n v="10"/>
    <n v="92.05"/>
    <n v="6.03"/>
    <n v="1.92"/>
    <n v="0"/>
    <d v="2025-09-28T01:27:27"/>
    <s v="https://etrain.info/train/Paschim-Express-12925/history?d=1y"/>
  </r>
  <r>
    <x v="62"/>
    <s v="Paschim Express"/>
    <s v="MTJ"/>
    <x v="62"/>
    <n v="10"/>
    <n v="90.96"/>
    <n v="7.67"/>
    <n v="1.37"/>
    <n v="0"/>
    <d v="2025-09-28T01:27:54"/>
    <s v="https://etrain.info/train/Paschim-Express-12925/history?d=1y"/>
  </r>
  <r>
    <x v="62"/>
    <s v="Paschim Express"/>
    <s v="ST"/>
    <x v="71"/>
    <n v="10"/>
    <n v="89.04"/>
    <n v="9.59"/>
    <n v="1.37"/>
    <n v="0"/>
    <d v="2025-09-28T01:26:53"/>
    <s v="https://etrain.info/train/Paschim-Express-12925/history?d=1y"/>
  </r>
  <r>
    <x v="62"/>
    <s v="Paschim Express"/>
    <s v="BRC"/>
    <x v="67"/>
    <n v="0"/>
    <n v="88.49"/>
    <n v="9.59"/>
    <n v="1.92"/>
    <n v="0"/>
    <d v="2025-09-28T01:26:59"/>
    <s v="https://etrain.info/train/Paschim-Express-12925/history?d=1y"/>
  </r>
  <r>
    <x v="62"/>
    <s v="Paschim Express"/>
    <s v="KOTA"/>
    <x v="337"/>
    <n v="11"/>
    <n v="85.48"/>
    <n v="12.05"/>
    <n v="2.4700000000000002"/>
    <n v="0"/>
    <d v="2025-09-28T01:27:30"/>
    <s v="https://etrain.info/train/Paschim-Express-12925/history?d=1y"/>
  </r>
  <r>
    <x v="62"/>
    <s v="Paschim Express"/>
    <s v="FDB"/>
    <x v="89"/>
    <n v="0"/>
    <n v="85.48"/>
    <n v="11.78"/>
    <n v="2.74"/>
    <n v="0"/>
    <d v="2025-09-28T01:27:57"/>
    <s v="https://etrain.info/train/Paschim-Express-12925/history?d=1y"/>
  </r>
  <r>
    <x v="62"/>
    <s v="Paschim Express"/>
    <s v="LDH"/>
    <x v="352"/>
    <n v="14"/>
    <n v="84.66"/>
    <n v="11.23"/>
    <n v="4.1100000000000003"/>
    <n v="0"/>
    <d v="2025-09-28T01:28:36"/>
    <s v="https://etrain.info/train/Paschim-Express-12925/history?d=1y"/>
  </r>
  <r>
    <x v="62"/>
    <s v="Paschim Express"/>
    <s v="UMB"/>
    <x v="341"/>
    <n v="13"/>
    <n v="83.56"/>
    <n v="13.15"/>
    <n v="3.29"/>
    <n v="0"/>
    <d v="2025-09-28T01:28:25"/>
    <s v="https://etrain.info/train/Paschim-Express-12925/history?d=1y"/>
  </r>
  <r>
    <x v="62"/>
    <s v="Paschim Express"/>
    <s v="DHD"/>
    <x v="343"/>
    <n v="0"/>
    <n v="81.64"/>
    <n v="16.71"/>
    <n v="1.64"/>
    <n v="0"/>
    <d v="2025-09-28T01:27:05"/>
    <s v="https://etrain.info/train/Paschim-Express-12925/history?d=1y"/>
  </r>
  <r>
    <x v="62"/>
    <s v="Paschim Express"/>
    <s v="GGC"/>
    <x v="349"/>
    <n v="13"/>
    <n v="81.64"/>
    <n v="14.79"/>
    <n v="3.56"/>
    <n v="0.01"/>
    <d v="2025-09-28T01:27:36"/>
    <s v="https://etrain.info/train/Paschim-Express-12925/history?d=1y"/>
  </r>
  <r>
    <x v="62"/>
    <s v="Paschim Express"/>
    <s v="MGN"/>
    <x v="344"/>
    <n v="12"/>
    <n v="80.55"/>
    <n v="17.53"/>
    <n v="1.92"/>
    <n v="0"/>
    <d v="2025-09-28T01:27:09"/>
    <s v="https://etrain.info/train/Paschim-Express-12925/history?d=1y"/>
  </r>
  <r>
    <x v="62"/>
    <s v="Paschim Express"/>
    <s v="RTM"/>
    <x v="328"/>
    <n v="13"/>
    <n v="80.27"/>
    <n v="17.809999999999999"/>
    <n v="1.92"/>
    <n v="0"/>
    <d v="2025-09-28T01:27:13"/>
    <s v="https://etrain.info/train/Paschim-Express-12925/history?d=1y"/>
  </r>
  <r>
    <x v="62"/>
    <s v="Paschim Express"/>
    <s v="NDLS"/>
    <x v="58"/>
    <n v="13"/>
    <n v="80"/>
    <n v="16.989999999999998"/>
    <n v="3.01"/>
    <n v="0"/>
    <d v="2025-09-28T01:28:04"/>
    <s v="https://etrain.info/train/Paschim-Express-12925/history?d=1y"/>
  </r>
  <r>
    <x v="62"/>
    <s v="Paschim Express"/>
    <s v="ASR"/>
    <x v="340"/>
    <n v="16"/>
    <n v="78.900000000000006"/>
    <n v="13.42"/>
    <n v="7.67"/>
    <n v="0.01"/>
    <d v="2025-09-28T01:28:51"/>
    <s v="https://etrain.info/train/Paschim-Express-12925/history?d=1y"/>
  </r>
  <r>
    <x v="62"/>
    <s v="Paschim Express"/>
    <s v="CDG"/>
    <x v="355"/>
    <n v="15"/>
    <n v="75.069999999999993"/>
    <n v="21.37"/>
    <n v="3.56"/>
    <n v="0"/>
    <d v="2025-09-28T01:28:29"/>
    <s v="https://etrain.info/train/Paschim-Express-12925/history?d=1y"/>
  </r>
  <r>
    <x v="62"/>
    <s v="Paschim Express"/>
    <s v="MMCT"/>
    <x v="66"/>
    <n v="4"/>
    <n v="74.790000000000006"/>
    <n v="2.4700000000000002"/>
    <n v="0"/>
    <n v="22.74"/>
    <d v="2025-09-28T01:26:34"/>
    <s v="https://etrain.info/train/Paschim-Express-12925/history?d=1y"/>
  </r>
  <r>
    <x v="62"/>
    <s v="Paschim Express"/>
    <s v="KUH"/>
    <x v="356"/>
    <n v="13"/>
    <n v="73.97"/>
    <n v="24.38"/>
    <n v="1.37"/>
    <n v="0.28000000000000003"/>
    <d v="2025-09-28T01:27:15"/>
    <s v="https://etrain.info/train/Paschim-Express-12925/history?d=1y"/>
  </r>
  <r>
    <x v="62"/>
    <s v="Paschim Express"/>
    <s v="PGW"/>
    <x v="357"/>
    <n v="19"/>
    <n v="71.23"/>
    <n v="21.92"/>
    <n v="6.85"/>
    <n v="0"/>
    <d v="2025-09-28T01:28:40"/>
    <s v="https://etrain.info/train/Paschim-Express-12925/history?d=1y"/>
  </r>
  <r>
    <x v="62"/>
    <s v="Paschim Express"/>
    <s v="BEAS"/>
    <x v="336"/>
    <n v="19"/>
    <n v="70.680000000000007"/>
    <n v="21.64"/>
    <n v="7.67"/>
    <n v="0.01"/>
    <d v="2025-09-28T01:28:49"/>
    <s v="https://etrain.info/train/Paschim-Express-12925/history?d=1y"/>
  </r>
  <r>
    <x v="62"/>
    <s v="Paschim Express"/>
    <s v="HAN"/>
    <x v="350"/>
    <n v="17"/>
    <n v="70.41"/>
    <n v="25.48"/>
    <n v="4.1100000000000003"/>
    <n v="0"/>
    <d v="2025-09-28T01:27:43"/>
    <s v="https://etrain.info/train/Paschim-Express-12925/history?d=1y"/>
  </r>
  <r>
    <x v="62"/>
    <s v="Paschim Express"/>
    <s v="BXN"/>
    <x v="345"/>
    <n v="18"/>
    <n v="68.489999999999995"/>
    <n v="27.4"/>
    <n v="4.1100000000000003"/>
    <n v="0"/>
    <d v="2025-09-28T01:27:46"/>
    <s v="https://etrain.info/train/Paschim-Express-12925/history?d=1y"/>
  </r>
  <r>
    <x v="62"/>
    <s v="Paschim Express"/>
    <s v="JUC"/>
    <x v="338"/>
    <n v="19"/>
    <n v="68.489999999999995"/>
    <n v="25.21"/>
    <n v="6.3"/>
    <n v="0"/>
    <d v="2025-09-28T01:28:48"/>
    <s v="https://etrain.info/train/Paschim-Express-12925/history?d=1y"/>
  </r>
  <r>
    <x v="62"/>
    <s v="Paschim Express"/>
    <s v="BH"/>
    <x v="73"/>
    <n v="15"/>
    <n v="68.22"/>
    <n v="29.59"/>
    <n v="2.19"/>
    <n v="0"/>
    <d v="2025-09-28T01:26:56"/>
    <s v="https://etrain.info/train/Paschim-Express-12925/history?d=1y"/>
  </r>
  <r>
    <x v="62"/>
    <s v="Paschim Express"/>
    <s v="SZM"/>
    <x v="358"/>
    <n v="0"/>
    <n v="67.12"/>
    <n v="29.86"/>
    <n v="3.01"/>
    <n v="0"/>
    <d v="2025-09-28T01:28:07"/>
    <s v="https://etrain.info/train/Paschim-Express-12925/history?d=1y"/>
  </r>
  <r>
    <x v="62"/>
    <s v="Paschim Express"/>
    <s v="JRC"/>
    <x v="359"/>
    <n v="20"/>
    <n v="65.209999999999994"/>
    <n v="27.95"/>
    <n v="6.85"/>
    <n v="0"/>
    <d v="2025-09-28T01:28:44"/>
    <s v="https://etrain.info/train/Paschim-Express-12925/history?d=1y"/>
  </r>
  <r>
    <x v="62"/>
    <s v="Paschim Express"/>
    <s v="NZM"/>
    <x v="84"/>
    <n v="17"/>
    <n v="64.38"/>
    <n v="32.880000000000003"/>
    <n v="2.74"/>
    <n v="0"/>
    <d v="2025-09-28T01:28:00"/>
    <s v="https://etrain.info/train/Paschim-Express-12925/history?d=1y"/>
  </r>
  <r>
    <x v="62"/>
    <s v="Paschim Express"/>
    <s v="BVI"/>
    <x v="72"/>
    <n v="16"/>
    <n v="56.99"/>
    <n v="43.01"/>
    <n v="0"/>
    <n v="0"/>
    <d v="2025-09-28T01:26:35"/>
    <s v="https://etrain.info/train/Paschim-Express-12925/history?d=1y"/>
  </r>
  <r>
    <x v="62"/>
    <s v="Paschim Express"/>
    <s v="BTE"/>
    <x v="351"/>
    <n v="19"/>
    <n v="55.89"/>
    <n v="41.37"/>
    <n v="2.74"/>
    <n v="0"/>
    <d v="2025-09-28T01:27:50"/>
    <s v="https://etrain.info/train/Paschim-Express-12925/history?d=1y"/>
  </r>
  <r>
    <x v="62"/>
    <s v="Paschim Express"/>
    <s v="SNP"/>
    <x v="360"/>
    <n v="21"/>
    <n v="53.97"/>
    <n v="43.01"/>
    <n v="3.01"/>
    <n v="0.01"/>
    <d v="2025-09-28T01:28:08"/>
    <s v="https://etrain.info/train/Paschim-Express-12925/history?d=1y"/>
  </r>
  <r>
    <x v="62"/>
    <s v="Paschim Express"/>
    <s v="SWM"/>
    <x v="342"/>
    <n v="22"/>
    <n v="50.96"/>
    <n v="44.38"/>
    <n v="4.66"/>
    <n v="0"/>
    <d v="2025-09-28T01:27:34"/>
    <s v="https://etrain.info/train/Paschim-Express-12925/history?d=1y"/>
  </r>
  <r>
    <x v="62"/>
    <s v="Paschim Express"/>
    <s v="SASN"/>
    <x v="361"/>
    <n v="22"/>
    <n v="49.59"/>
    <n v="46.3"/>
    <n v="4.1100000000000003"/>
    <n v="0"/>
    <d v="2025-09-28T01:28:32"/>
    <s v="https://etrain.info/train/Paschim-Express-12925/history?d=1y"/>
  </r>
  <r>
    <x v="62"/>
    <s v="Paschim Express"/>
    <s v="DRD"/>
    <x v="362"/>
    <n v="19"/>
    <n v="44.11"/>
    <n v="55.07"/>
    <n v="0.82"/>
    <n v="0"/>
    <d v="2025-09-28T01:26:39"/>
    <s v="https://etrain.info/train/Paschim-Express-12925/history?d=1y"/>
  </r>
  <r>
    <x v="62"/>
    <s v="Paschim Express"/>
    <s v="PNP"/>
    <x v="363"/>
    <n v="27"/>
    <n v="39.450000000000003"/>
    <n v="55.34"/>
    <n v="5.21"/>
    <n v="0"/>
    <d v="2025-09-28T01:28:14"/>
    <s v="https://etrain.info/train/Paschim-Express-12925/history?d=1y"/>
  </r>
  <r>
    <x v="62"/>
    <s v="Paschim Express"/>
    <s v="VAPI"/>
    <x v="74"/>
    <n v="24"/>
    <n v="29.59"/>
    <n v="68.77"/>
    <n v="1.64"/>
    <n v="0"/>
    <d v="2025-09-28T01:26:42"/>
    <s v="https://etrain.info/train/Paschim-Express-12925/history?d=1y"/>
  </r>
  <r>
    <x v="62"/>
    <s v="Paschim Express"/>
    <s v="KUN"/>
    <x v="364"/>
    <n v="33"/>
    <n v="24.66"/>
    <n v="67.400000000000006"/>
    <n v="7.95"/>
    <n v="0"/>
    <d v="2025-09-28T01:28:17"/>
    <s v="https://etrain.info/train/Paschim-Express-12925/history?d=1y"/>
  </r>
  <r>
    <x v="62"/>
    <s v="Paschim Express"/>
    <s v="BDTS"/>
    <x v="327"/>
    <n v="1"/>
    <n v="22.74"/>
    <n v="0"/>
    <n v="0"/>
    <n v="77.260000000000005"/>
    <d v="2025-09-28T01:26:32"/>
    <s v="https://etrain.info/train/Paschim-Express-12925/history?d=1y"/>
  </r>
  <r>
    <x v="62"/>
    <s v="Paschim Express"/>
    <s v="NVS"/>
    <x v="365"/>
    <n v="0"/>
    <n v="14.79"/>
    <n v="82.74"/>
    <n v="2.4700000000000002"/>
    <n v="0"/>
    <d v="2025-09-28T01:26:49"/>
    <s v="https://etrain.info/train/Paschim-Express-12925/history?d=1y"/>
  </r>
  <r>
    <x v="62"/>
    <s v="Paschim Express"/>
    <s v="BL"/>
    <x v="366"/>
    <n v="30"/>
    <n v="14.52"/>
    <n v="82.19"/>
    <n v="3.29"/>
    <n v="0"/>
    <d v="2025-09-28T01:26:46"/>
    <s v="https://etrain.info/train/Paschim-Express-12925/history?d=1y"/>
  </r>
  <r>
    <x v="62"/>
    <s v="Paschim Express"/>
    <s v="KKDE"/>
    <x v="367"/>
    <n v="38"/>
    <n v="10.96"/>
    <n v="79.45"/>
    <n v="9.59"/>
    <n v="0"/>
    <d v="2025-09-28T01:28:21"/>
    <s v="https://etrain.info/train/Paschim-Express-12925/history?d=1y"/>
  </r>
  <r>
    <x v="62"/>
    <s v="Paschim Express"/>
    <s v="BDMJ"/>
    <x v="368"/>
    <n v="35"/>
    <n v="2.19"/>
    <n v="6.03"/>
    <n v="0.55000000000000004"/>
    <n v="91.23"/>
    <d v="2025-09-28T01:28:10"/>
    <s v="https://etrain.info/train/Paschim-Express-12925/history?d=1y"/>
  </r>
  <r>
    <x v="62"/>
    <s v="Paschim Express"/>
    <s v="SMVJ"/>
    <x v="354"/>
    <n v="0"/>
    <n v="1.64"/>
    <n v="0.55000000000000004"/>
    <n v="0"/>
    <n v="97.81"/>
    <d v="2025-09-28T01:27:39"/>
    <s v="https://etrain.info/train/Paschim-Express-12925/history?d=1y"/>
  </r>
  <r>
    <x v="63"/>
    <s v="Paschim Express"/>
    <s v="ASR"/>
    <x v="340"/>
    <n v="9"/>
    <n v="94.79"/>
    <n v="3.29"/>
    <n v="1.92"/>
    <n v="0"/>
    <d v="2025-09-28T01:29:05"/>
    <s v="https://etrain.info/train/Paschim-Express-12926/history?d=1y"/>
  </r>
  <r>
    <x v="63"/>
    <s v="Paschim Express"/>
    <s v="CDG"/>
    <x v="355"/>
    <n v="11"/>
    <n v="94.79"/>
    <n v="2.19"/>
    <n v="3.01"/>
    <n v="0.01"/>
    <d v="2025-09-28T01:29:27"/>
    <s v="https://etrain.info/train/Paschim-Express-12926/history?d=1y"/>
  </r>
  <r>
    <x v="63"/>
    <s v="Paschim Express"/>
    <s v="NAD"/>
    <x v="329"/>
    <n v="13"/>
    <n v="93.7"/>
    <n v="2.74"/>
    <n v="3.56"/>
    <n v="0"/>
    <d v="2025-09-28T01:30:25"/>
    <s v="https://etrain.info/train/Paschim-Express-12926/history?d=1y"/>
  </r>
  <r>
    <x v="63"/>
    <s v="Paschim Express"/>
    <s v="GDA"/>
    <x v="330"/>
    <n v="14"/>
    <n v="93.42"/>
    <n v="3.29"/>
    <n v="3.29"/>
    <n v="0"/>
    <d v="2025-09-28T01:30:44"/>
    <s v="https://etrain.info/train/Paschim-Express-12926/history?d=1y"/>
  </r>
  <r>
    <x v="63"/>
    <s v="Paschim Express"/>
    <s v="UMB"/>
    <x v="341"/>
    <n v="11"/>
    <n v="92.33"/>
    <n v="4.38"/>
    <n v="3.29"/>
    <n v="0"/>
    <d v="2025-09-28T01:29:30"/>
    <s v="https://etrain.info/train/Paschim-Express-12926/history?d=1y"/>
  </r>
  <r>
    <x v="63"/>
    <s v="Paschim Express"/>
    <s v="SASN"/>
    <x v="361"/>
    <n v="12"/>
    <n v="91.78"/>
    <n v="5.75"/>
    <n v="2.4700000000000002"/>
    <n v="0"/>
    <d v="2025-09-28T01:29:25"/>
    <s v="https://etrain.info/train/Paschim-Express-12926/history?d=1y"/>
  </r>
  <r>
    <x v="63"/>
    <s v="Paschim Express"/>
    <s v="KUH"/>
    <x v="356"/>
    <n v="17"/>
    <n v="89.04"/>
    <n v="7.4"/>
    <n v="3.56"/>
    <n v="0"/>
    <d v="2025-09-28T01:30:29"/>
    <s v="https://etrain.info/train/Paschim-Express-12926/history?d=1y"/>
  </r>
  <r>
    <x v="63"/>
    <s v="Paschim Express"/>
    <s v="RTM"/>
    <x v="328"/>
    <n v="15"/>
    <n v="88.77"/>
    <n v="7.4"/>
    <n v="3.84"/>
    <n v="0"/>
    <d v="2025-09-28T01:30:33"/>
    <s v="https://etrain.info/train/Paschim-Express-12926/history?d=1y"/>
  </r>
  <r>
    <x v="63"/>
    <s v="Paschim Express"/>
    <s v="BRC"/>
    <x v="67"/>
    <n v="0"/>
    <n v="87.67"/>
    <n v="8.77"/>
    <n v="3.56"/>
    <n v="0"/>
    <d v="2025-09-28T01:30:47"/>
    <s v="https://etrain.info/train/Paschim-Express-12926/history?d=1y"/>
  </r>
  <r>
    <x v="63"/>
    <s v="Paschim Express"/>
    <s v="ST"/>
    <x v="71"/>
    <n v="15"/>
    <n v="86.58"/>
    <n v="9.32"/>
    <n v="4.1100000000000003"/>
    <n v="0"/>
    <d v="2025-09-28T01:30:54"/>
    <s v="https://etrain.info/train/Paschim-Express-12926/history?d=1y"/>
  </r>
  <r>
    <x v="63"/>
    <s v="Paschim Express"/>
    <s v="MTJ"/>
    <x v="62"/>
    <n v="18"/>
    <n v="84.11"/>
    <n v="10.68"/>
    <n v="5.21"/>
    <n v="0"/>
    <d v="2025-09-28T01:29:58"/>
    <s v="https://etrain.info/train/Paschim-Express-12926/history?d=1y"/>
  </r>
  <r>
    <x v="63"/>
    <s v="Paschim Express"/>
    <s v="MGN"/>
    <x v="344"/>
    <n v="18"/>
    <n v="83.84"/>
    <n v="12.05"/>
    <n v="4.1100000000000003"/>
    <n v="0"/>
    <d v="2025-09-28T01:30:37"/>
    <s v="https://etrain.info/train/Paschim-Express-12926/history?d=1y"/>
  </r>
  <r>
    <x v="63"/>
    <s v="Paschim Express"/>
    <s v="BXN"/>
    <x v="345"/>
    <n v="18"/>
    <n v="83.29"/>
    <n v="11.23"/>
    <n v="5.48"/>
    <n v="0"/>
    <d v="2025-09-28T01:30:05"/>
    <s v="https://etrain.info/train/Paschim-Express-12926/history?d=1y"/>
  </r>
  <r>
    <x v="63"/>
    <s v="Paschim Express"/>
    <s v="BH"/>
    <x v="73"/>
    <n v="18"/>
    <n v="82.19"/>
    <n v="14.25"/>
    <n v="3.56"/>
    <n v="0"/>
    <d v="2025-09-28T01:30:50"/>
    <s v="https://etrain.info/train/Paschim-Express-12926/history?d=1y"/>
  </r>
  <r>
    <x v="63"/>
    <s v="Paschim Express"/>
    <s v="NVS"/>
    <x v="365"/>
    <n v="17"/>
    <n v="81.64"/>
    <n v="13.7"/>
    <n v="4.66"/>
    <n v="0"/>
    <d v="2025-09-28T01:30:56"/>
    <s v="https://etrain.info/train/Paschim-Express-12926/history?d=1y"/>
  </r>
  <r>
    <x v="63"/>
    <s v="Paschim Express"/>
    <s v="DHD"/>
    <x v="343"/>
    <n v="18"/>
    <n v="81.37"/>
    <n v="14.52"/>
    <n v="4.1100000000000003"/>
    <n v="0"/>
    <d v="2025-09-28T01:30:40"/>
    <s v="https://etrain.info/train/Paschim-Express-12926/history?d=1y"/>
  </r>
  <r>
    <x v="63"/>
    <s v="Paschim Express"/>
    <s v="BTE"/>
    <x v="351"/>
    <n v="0"/>
    <n v="79.45"/>
    <n v="15.07"/>
    <n v="5.48"/>
    <n v="0"/>
    <d v="2025-09-28T01:30:00"/>
    <s v="https://etrain.info/train/Paschim-Express-12926/history?d=1y"/>
  </r>
  <r>
    <x v="63"/>
    <s v="Paschim Express"/>
    <s v="HAN"/>
    <x v="350"/>
    <n v="0"/>
    <n v="78.63"/>
    <n v="15.34"/>
    <n v="6.03"/>
    <n v="0"/>
    <d v="2025-09-28T01:30:08"/>
    <s v="https://etrain.info/train/Paschim-Express-12926/history?d=1y"/>
  </r>
  <r>
    <x v="63"/>
    <s v="Paschim Express"/>
    <s v="GGC"/>
    <x v="349"/>
    <n v="22"/>
    <n v="72.05"/>
    <n v="21.64"/>
    <n v="6.3"/>
    <n v="0.01"/>
    <d v="2025-09-28T01:30:11"/>
    <s v="https://etrain.info/train/Paschim-Express-12926/history?d=1y"/>
  </r>
  <r>
    <x v="63"/>
    <s v="Paschim Express"/>
    <s v="KKDE"/>
    <x v="367"/>
    <n v="20"/>
    <n v="71.78"/>
    <n v="24.38"/>
    <n v="3.84"/>
    <n v="0"/>
    <d v="2025-09-28T01:29:32"/>
    <s v="https://etrain.info/train/Paschim-Express-12926/history?d=1y"/>
  </r>
  <r>
    <x v="63"/>
    <s v="Paschim Express"/>
    <s v="JUC"/>
    <x v="338"/>
    <n v="17"/>
    <n v="71.23"/>
    <n v="26.03"/>
    <n v="2.74"/>
    <n v="0"/>
    <d v="2025-09-28T01:29:13"/>
    <s v="https://etrain.info/train/Paschim-Express-12926/history?d=1y"/>
  </r>
  <r>
    <x v="63"/>
    <s v="Paschim Express"/>
    <s v="NDLS"/>
    <x v="58"/>
    <n v="21"/>
    <n v="66.58"/>
    <n v="28.49"/>
    <n v="4.93"/>
    <n v="0"/>
    <d v="2025-09-28T01:29:50"/>
    <s v="https://etrain.info/train/Paschim-Express-12926/history?d=1y"/>
  </r>
  <r>
    <x v="63"/>
    <s v="Paschim Express"/>
    <s v="MMCT"/>
    <x v="66"/>
    <n v="16"/>
    <n v="63.56"/>
    <n v="7.12"/>
    <n v="6.03"/>
    <n v="23.29"/>
    <d v="2025-09-28T01:31:12"/>
    <s v="https://etrain.info/train/Paschim-Express-12926/history?d=1y"/>
  </r>
  <r>
    <x v="63"/>
    <s v="Paschim Express"/>
    <s v="SWM"/>
    <x v="342"/>
    <n v="24"/>
    <n v="61.64"/>
    <n v="31.51"/>
    <n v="6.85"/>
    <n v="0"/>
    <d v="2025-09-28T01:30:15"/>
    <s v="https://etrain.info/train/Paschim-Express-12926/history?d=1y"/>
  </r>
  <r>
    <x v="63"/>
    <s v="Paschim Express"/>
    <s v="KUN"/>
    <x v="364"/>
    <n v="22"/>
    <n v="60.82"/>
    <n v="35.340000000000003"/>
    <n v="3.56"/>
    <n v="0.28000000000000003"/>
    <d v="2025-09-28T01:29:34"/>
    <s v="https://etrain.info/train/Paschim-Express-12926/history?d=1y"/>
  </r>
  <r>
    <x v="63"/>
    <s v="Paschim Express"/>
    <s v="JRC"/>
    <x v="359"/>
    <n v="20"/>
    <n v="60.27"/>
    <n v="36.71"/>
    <n v="3.01"/>
    <n v="0.01"/>
    <d v="2025-09-28T01:29:15"/>
    <s v="https://etrain.info/train/Paschim-Express-12926/history?d=1y"/>
  </r>
  <r>
    <x v="63"/>
    <s v="Paschim Express"/>
    <s v="VAPI"/>
    <x v="74"/>
    <n v="24"/>
    <n v="58.36"/>
    <n v="34.520000000000003"/>
    <n v="7.12"/>
    <n v="0"/>
    <d v="2025-09-28T01:31:01"/>
    <s v="https://etrain.info/train/Paschim-Express-12926/history?d=1y"/>
  </r>
  <r>
    <x v="63"/>
    <s v="Paschim Express"/>
    <s v="SGZ"/>
    <x v="333"/>
    <n v="26"/>
    <n v="56.71"/>
    <n v="36.159999999999997"/>
    <n v="7.12"/>
    <n v="0.01"/>
    <d v="2025-09-28T01:30:21"/>
    <s v="https://etrain.info/train/Paschim-Express-12926/history?d=1y"/>
  </r>
  <r>
    <x v="63"/>
    <s v="Paschim Express"/>
    <s v="LDH"/>
    <x v="352"/>
    <n v="22"/>
    <n v="55.89"/>
    <n v="39.729999999999997"/>
    <n v="4.38"/>
    <n v="0"/>
    <d v="2025-09-28T01:29:21"/>
    <s v="https://etrain.info/train/Paschim-Express-12926/history?d=1y"/>
  </r>
  <r>
    <x v="63"/>
    <s v="Paschim Express"/>
    <s v="KOTA"/>
    <x v="337"/>
    <n v="29"/>
    <n v="53.7"/>
    <n v="36.71"/>
    <n v="9.59"/>
    <n v="0"/>
    <d v="2025-09-28T01:30:19"/>
    <s v="https://etrain.info/train/Paschim-Express-12926/history?d=1y"/>
  </r>
  <r>
    <x v="63"/>
    <s v="Paschim Express"/>
    <s v="BEAS"/>
    <x v="336"/>
    <n v="22"/>
    <n v="51.78"/>
    <n v="46.3"/>
    <n v="1.92"/>
    <n v="0"/>
    <d v="2025-09-28T01:29:09"/>
    <s v="https://etrain.info/train/Paschim-Express-12926/history?d=1y"/>
  </r>
  <r>
    <x v="63"/>
    <s v="Paschim Express"/>
    <s v="RMA"/>
    <x v="332"/>
    <n v="29"/>
    <n v="51.51"/>
    <n v="39.450000000000003"/>
    <n v="9.0399999999999991"/>
    <n v="0"/>
    <d v="2025-09-28T01:30:20"/>
    <s v="https://etrain.info/train/Paschim-Express-12926/history?d=1y"/>
  </r>
  <r>
    <x v="63"/>
    <s v="Paschim Express"/>
    <s v="PNP"/>
    <x v="363"/>
    <n v="25"/>
    <n v="50.41"/>
    <n v="45.48"/>
    <n v="4.1100000000000003"/>
    <n v="0"/>
    <d v="2025-09-28T01:29:38"/>
    <s v="https://etrain.info/train/Paschim-Express-12926/history?d=1y"/>
  </r>
  <r>
    <x v="63"/>
    <s v="Paschim Express"/>
    <s v="BL"/>
    <x v="366"/>
    <n v="25"/>
    <n v="49.59"/>
    <n v="44.66"/>
    <n v="5.75"/>
    <n v="0"/>
    <d v="2025-09-28T01:30:58"/>
    <s v="https://etrain.info/train/Paschim-Express-12926/history?d=1y"/>
  </r>
  <r>
    <x v="63"/>
    <s v="Paschim Express"/>
    <s v="DRD"/>
    <x v="362"/>
    <n v="28"/>
    <n v="47.95"/>
    <n v="43.84"/>
    <n v="8.2200000000000006"/>
    <n v="0"/>
    <d v="2025-09-28T01:31:05"/>
    <s v="https://etrain.info/train/Paschim-Express-12926/history?d=1y"/>
  </r>
  <r>
    <x v="63"/>
    <s v="Paschim Express"/>
    <s v="PGW"/>
    <x v="357"/>
    <n v="0"/>
    <n v="46.85"/>
    <n v="49.86"/>
    <n v="3.29"/>
    <n v="0"/>
    <d v="2025-09-28T01:29:17"/>
    <s v="https://etrain.info/train/Paschim-Express-12926/history?d=1y"/>
  </r>
  <r>
    <x v="63"/>
    <s v="Paschim Express"/>
    <s v="SNP"/>
    <x v="360"/>
    <n v="28"/>
    <n v="41.92"/>
    <n v="53.42"/>
    <n v="4.66"/>
    <n v="0"/>
    <d v="2025-09-28T01:29:43"/>
    <s v="https://etrain.info/train/Paschim-Express-12926/history?d=1y"/>
  </r>
  <r>
    <x v="63"/>
    <s v="Paschim Express"/>
    <s v="BVI"/>
    <x v="72"/>
    <n v="29"/>
    <n v="40.549999999999997"/>
    <n v="51.23"/>
    <n v="8.2200000000000006"/>
    <n v="0"/>
    <d v="2025-09-28T01:31:09"/>
    <s v="https://etrain.info/train/Paschim-Express-12926/history?d=1y"/>
  </r>
  <r>
    <x v="63"/>
    <s v="Paschim Express"/>
    <s v="SZM"/>
    <x v="358"/>
    <n v="34"/>
    <n v="23.01"/>
    <n v="70.959999999999994"/>
    <n v="6.03"/>
    <n v="0"/>
    <d v="2025-09-28T01:29:46"/>
    <s v="https://etrain.info/train/Paschim-Express-12926/history?d=1y"/>
  </r>
  <r>
    <x v="63"/>
    <s v="Paschim Express"/>
    <s v="BDTS"/>
    <x v="327"/>
    <n v="5"/>
    <n v="20.55"/>
    <n v="0.55000000000000004"/>
    <n v="1.1000000000000001"/>
    <n v="77.8"/>
    <d v="2025-09-28T01:31:10"/>
    <s v="https://etrain.info/train/Paschim-Express-12926/history?d=1y"/>
  </r>
  <r>
    <x v="63"/>
    <s v="Paschim Express"/>
    <s v="FDB"/>
    <x v="89"/>
    <n v="48"/>
    <n v="6.85"/>
    <n v="84.38"/>
    <n v="8.77"/>
    <n v="0"/>
    <d v="2025-09-28T01:29:54"/>
    <s v="https://etrain.info/train/Paschim-Express-12926/history?d=1y"/>
  </r>
  <r>
    <x v="63"/>
    <s v="Paschim Express"/>
    <s v="BDMJ"/>
    <x v="368"/>
    <n v="19"/>
    <n v="4.1100000000000003"/>
    <n v="4.38"/>
    <n v="0.27"/>
    <n v="91.24"/>
    <d v="2025-09-28T01:29:39"/>
    <s v="https://etrain.info/train/Paschim-Express-12926/history?d=1y"/>
  </r>
  <r>
    <x v="63"/>
    <s v="Paschim Express"/>
    <s v="SMVJ"/>
    <x v="354"/>
    <n v="14"/>
    <n v="1.64"/>
    <n v="0.55000000000000004"/>
    <n v="0"/>
    <n v="97.81"/>
    <d v="2025-09-28T01:30:09"/>
    <s v="https://etrain.info/train/Paschim-Express-12926/history?d=1y"/>
  </r>
  <r>
    <x v="64"/>
    <s v="Mumbai Rajdhani"/>
    <s v="MMCT"/>
    <x v="66"/>
    <n v="7"/>
    <n v="98.63"/>
    <n v="0.27"/>
    <n v="1.1000000000000001"/>
    <n v="0"/>
    <d v="2025-09-27T18:48:26"/>
    <s v="https://etrain.info/train/Mumbai-Rajdhani-12951/history?d=1y"/>
  </r>
  <r>
    <x v="64"/>
    <s v="Mumbai Rajdhani"/>
    <s v="BVI"/>
    <x v="72"/>
    <n v="15"/>
    <n v="93.7"/>
    <n v="5.21"/>
    <n v="1.1000000000000001"/>
    <n v="0"/>
    <d v="2025-09-27T18:48:30"/>
    <s v="https://etrain.info/train/Mumbai-Rajdhani-12951/history?d=1y"/>
  </r>
  <r>
    <x v="64"/>
    <s v="Mumbai Rajdhani"/>
    <s v="NAD"/>
    <x v="329"/>
    <n v="11"/>
    <n v="92.05"/>
    <n v="6.3"/>
    <n v="1.64"/>
    <n v="0.01"/>
    <d v="2025-09-27T18:48:43"/>
    <s v="https://etrain.info/train/Mumbai-Rajdhani-12951/history?d=1y"/>
  </r>
  <r>
    <x v="64"/>
    <s v="Mumbai Rajdhani"/>
    <s v="RTM"/>
    <x v="328"/>
    <n v="15"/>
    <n v="83.56"/>
    <n v="14.25"/>
    <n v="2.19"/>
    <n v="0"/>
    <d v="2025-09-27T18:48:41"/>
    <s v="https://etrain.info/train/Mumbai-Rajdhani-12951/history?d=1y"/>
  </r>
  <r>
    <x v="64"/>
    <s v="Mumbai Rajdhani"/>
    <s v="NDLS"/>
    <x v="58"/>
    <n v="27"/>
    <n v="82.47"/>
    <n v="11.51"/>
    <n v="6.03"/>
    <n v="0"/>
    <d v="2025-09-27T18:48:51"/>
    <s v="https://etrain.info/train/Mumbai-Rajdhani-12951/history?d=1y"/>
  </r>
  <r>
    <x v="64"/>
    <s v="Mumbai Rajdhani"/>
    <s v="ST"/>
    <x v="71"/>
    <n v="16"/>
    <n v="81.92"/>
    <n v="16.16"/>
    <n v="1.92"/>
    <n v="0"/>
    <d v="2025-09-27T18:48:34"/>
    <s v="https://etrain.info/train/Mumbai-Rajdhani-12951/history?d=1y"/>
  </r>
  <r>
    <x v="64"/>
    <s v="Mumbai Rajdhani"/>
    <s v="KOTA"/>
    <x v="337"/>
    <n v="16"/>
    <n v="80.27"/>
    <n v="17.809999999999999"/>
    <n v="1.92"/>
    <n v="0"/>
    <d v="2025-09-27T18:48:47"/>
    <s v="https://etrain.info/train/Mumbai-Rajdhani-12951/history?d=1y"/>
  </r>
  <r>
    <x v="64"/>
    <s v="Mumbai Rajdhani"/>
    <s v="BRC"/>
    <x v="67"/>
    <n v="17"/>
    <n v="74.52"/>
    <n v="23.84"/>
    <n v="1.64"/>
    <n v="0"/>
    <d v="2025-09-27T18:48:37"/>
    <s v="https://etrain.info/train/Mumbai-Rajdhani-12951/history?d=1y"/>
  </r>
  <r>
    <x v="65"/>
    <s v="Mumbai Rajdhani"/>
    <s v="NDLS"/>
    <x v="58"/>
    <n v="8"/>
    <n v="97.26"/>
    <n v="0.55000000000000004"/>
    <n v="2.19"/>
    <n v="0"/>
    <d v="2025-09-27T18:48:57"/>
    <s v="https://etrain.info/train/Mumbai-Rajdhani-12952/history?d=1y"/>
  </r>
  <r>
    <x v="65"/>
    <s v="Mumbai Rajdhani"/>
    <s v="MMCT"/>
    <x v="66"/>
    <n v="13"/>
    <n v="88.22"/>
    <n v="7.4"/>
    <n v="4.38"/>
    <n v="0"/>
    <d v="2025-09-27T18:49:17"/>
    <s v="https://etrain.info/train/Mumbai-Rajdhani-12952/history?d=1y"/>
  </r>
  <r>
    <x v="65"/>
    <s v="Mumbai Rajdhani"/>
    <s v="BRC"/>
    <x v="67"/>
    <n v="13"/>
    <n v="87.12"/>
    <n v="9.86"/>
    <n v="3.01"/>
    <n v="0.01"/>
    <d v="2025-09-27T18:49:09"/>
    <s v="https://etrain.info/train/Mumbai-Rajdhani-12952/history?d=1y"/>
  </r>
  <r>
    <x v="65"/>
    <s v="Mumbai Rajdhani"/>
    <s v="ST"/>
    <x v="71"/>
    <n v="15"/>
    <n v="85.48"/>
    <n v="11.51"/>
    <n v="3.01"/>
    <n v="0"/>
    <d v="2025-09-27T18:49:12"/>
    <s v="https://etrain.info/train/Mumbai-Rajdhani-12952/history?d=1y"/>
  </r>
  <r>
    <x v="65"/>
    <s v="Mumbai Rajdhani"/>
    <s v="NAD"/>
    <x v="329"/>
    <n v="15"/>
    <n v="76.709999999999994"/>
    <n v="20"/>
    <n v="3.29"/>
    <n v="0"/>
    <d v="2025-09-27T18:49:04"/>
    <s v="https://etrain.info/train/Mumbai-Rajdhani-12952/history?d=1y"/>
  </r>
  <r>
    <x v="65"/>
    <s v="Mumbai Rajdhani"/>
    <s v="RTM"/>
    <x v="328"/>
    <n v="20"/>
    <n v="64.930000000000007"/>
    <n v="31.51"/>
    <n v="3.56"/>
    <n v="0"/>
    <d v="2025-09-27T18:49:08"/>
    <s v="https://etrain.info/train/Mumbai-Rajdhani-12952/history?d=1y"/>
  </r>
  <r>
    <x v="65"/>
    <s v="Mumbai Rajdhani"/>
    <s v="KOTA"/>
    <x v="337"/>
    <n v="20"/>
    <n v="57.81"/>
    <n v="38.9"/>
    <n v="3.29"/>
    <n v="0"/>
    <d v="2025-09-27T18:49:00"/>
    <s v="https://etrain.info/train/Mumbai-Rajdhani-12952/history?d=1y"/>
  </r>
  <r>
    <x v="65"/>
    <s v="Mumbai Rajdhani"/>
    <s v="BVI"/>
    <x v="72"/>
    <n v="28"/>
    <n v="24.38"/>
    <n v="70.680000000000007"/>
    <n v="4.93"/>
    <n v="0.01"/>
    <d v="2025-09-27T18:49:14"/>
    <s v="https://etrain.info/train/Mumbai-Rajdhani-12952/history?d=1y"/>
  </r>
  <r>
    <x v="66"/>
    <s v="August Kranti Rajdhani"/>
    <s v="MMCT"/>
    <x v="66"/>
    <n v="1"/>
    <n v="100"/>
    <n v="0"/>
    <n v="0"/>
    <n v="0"/>
    <d v="2025-09-28T01:58:48"/>
    <s v="https://etrain.info/train/August-Kranti-Rajdhani-12953/history?d=1y"/>
  </r>
  <r>
    <x v="66"/>
    <s v="August Kranti Rajdhani"/>
    <s v="MTJ"/>
    <x v="62"/>
    <n v="8"/>
    <n v="96.67"/>
    <n v="0"/>
    <n v="3.33"/>
    <n v="0"/>
    <d v="2025-09-28T01:59:15"/>
    <s v="https://etrain.info/train/August-Kranti-Rajdhani-12953/history?d=1y"/>
  </r>
  <r>
    <x v="66"/>
    <s v="August Kranti Rajdhani"/>
    <s v="ST"/>
    <x v="71"/>
    <n v="7"/>
    <n v="93.33"/>
    <n v="6.67"/>
    <n v="0"/>
    <n v="0"/>
    <d v="2025-09-28T01:58:59"/>
    <s v="https://etrain.info/train/August-Kranti-Rajdhani-12953/history?d=1y"/>
  </r>
  <r>
    <x v="66"/>
    <s v="August Kranti Rajdhani"/>
    <s v="NZM"/>
    <x v="84"/>
    <n v="7"/>
    <n v="90"/>
    <n v="6.67"/>
    <n v="3.33"/>
    <n v="0"/>
    <d v="2025-09-28T01:59:16"/>
    <s v="https://etrain.info/train/August-Kranti-Rajdhani-12953/history?d=1y"/>
  </r>
  <r>
    <x v="66"/>
    <s v="August Kranti Rajdhani"/>
    <s v="BVI"/>
    <x v="72"/>
    <n v="9"/>
    <n v="86.67"/>
    <n v="13.33"/>
    <n v="0"/>
    <n v="0"/>
    <d v="2025-09-28T01:58:52"/>
    <s v="https://etrain.info/train/August-Kranti-Rajdhani-12953/history?d=1y"/>
  </r>
  <r>
    <x v="66"/>
    <s v="August Kranti Rajdhani"/>
    <s v="BRC"/>
    <x v="67"/>
    <n v="10"/>
    <n v="83.33"/>
    <n v="16.670000000000002"/>
    <n v="0"/>
    <n v="0"/>
    <d v="2025-09-28T01:59:03"/>
    <s v="https://etrain.info/train/August-Kranti-Rajdhani-12953/history?d=1y"/>
  </r>
  <r>
    <x v="66"/>
    <s v="August Kranti Rajdhani"/>
    <s v="BL"/>
    <x v="366"/>
    <n v="11"/>
    <n v="80"/>
    <n v="20"/>
    <n v="0"/>
    <n v="0"/>
    <d v="2025-09-28T01:58:56"/>
    <s v="https://etrain.info/train/August-Kranti-Rajdhani-12953/history?d=1y"/>
  </r>
  <r>
    <x v="66"/>
    <s v="August Kranti Rajdhani"/>
    <s v="BH"/>
    <x v="73"/>
    <n v="0"/>
    <n v="80"/>
    <n v="20"/>
    <n v="0"/>
    <n v="0"/>
    <d v="2025-09-28T01:59:01"/>
    <s v="https://etrain.info/train/August-Kranti-Rajdhani-12953/history?d=1y"/>
  </r>
  <r>
    <x v="66"/>
    <s v="August Kranti Rajdhani"/>
    <s v="RTM"/>
    <x v="328"/>
    <n v="10"/>
    <n v="80"/>
    <n v="20"/>
    <n v="0"/>
    <n v="0"/>
    <d v="2025-09-28T01:59:06"/>
    <s v="https://etrain.info/train/August-Kranti-Rajdhani-12953/history?d=1y"/>
  </r>
  <r>
    <x v="66"/>
    <s v="August Kranti Rajdhani"/>
    <s v="KOTA"/>
    <x v="337"/>
    <n v="9"/>
    <n v="73.33"/>
    <n v="23.33"/>
    <n v="3.33"/>
    <n v="0.01"/>
    <d v="2025-09-28T01:59:07"/>
    <s v="https://etrain.info/train/August-Kranti-Rajdhani-12953/history?d=1y"/>
  </r>
  <r>
    <x v="66"/>
    <s v="August Kranti Rajdhani"/>
    <s v="SWM"/>
    <x v="342"/>
    <n v="15"/>
    <n v="66.67"/>
    <n v="30"/>
    <n v="3.33"/>
    <n v="0"/>
    <d v="2025-09-28T01:59:11"/>
    <s v="https://etrain.info/train/August-Kranti-Rajdhani-12953/history?d=1y"/>
  </r>
  <r>
    <x v="66"/>
    <s v="August Kranti Rajdhani"/>
    <s v="VAPI"/>
    <x v="74"/>
    <n v="14"/>
    <n v="63.33"/>
    <n v="36.67"/>
    <n v="0"/>
    <n v="0"/>
    <d v="2025-09-28T01:58:54"/>
    <s v="https://etrain.info/train/August-Kranti-Rajdhani-12953/history?d=1y"/>
  </r>
  <r>
    <x v="66"/>
    <s v="August Kranti Rajdhani"/>
    <s v="DHD"/>
    <x v="343"/>
    <n v="13"/>
    <n v="63.33"/>
    <n v="36.67"/>
    <n v="0"/>
    <n v="0"/>
    <d v="2025-09-28T01:59:04"/>
    <s v="https://etrain.info/train/August-Kranti-Rajdhani-12953/history?d=1y"/>
  </r>
  <r>
    <x v="67"/>
    <s v="August Kranti Rajdhani"/>
    <s v="NZM"/>
    <x v="84"/>
    <n v="0"/>
    <n v="100"/>
    <n v="0"/>
    <n v="0"/>
    <n v="0"/>
    <d v="2025-09-28T01:59:23"/>
    <s v="https://etrain.info/train/August-Kranti-Rajdhani-12954/history?d=1y"/>
  </r>
  <r>
    <x v="67"/>
    <s v="August Kranti Rajdhani"/>
    <s v="MTJ"/>
    <x v="62"/>
    <n v="6"/>
    <n v="96.67"/>
    <n v="3.33"/>
    <n v="0"/>
    <n v="0"/>
    <d v="2025-09-28T01:59:27"/>
    <s v="https://etrain.info/train/August-Kranti-Rajdhani-12954/history?d=1y"/>
  </r>
  <r>
    <x v="67"/>
    <s v="August Kranti Rajdhani"/>
    <s v="ST"/>
    <x v="71"/>
    <n v="14"/>
    <n v="90"/>
    <n v="3.33"/>
    <n v="6.67"/>
    <n v="0"/>
    <d v="2025-09-28T01:59:48"/>
    <s v="https://etrain.info/train/August-Kranti-Rajdhani-12954/history?d=1y"/>
  </r>
  <r>
    <x v="67"/>
    <s v="August Kranti Rajdhani"/>
    <s v="BH"/>
    <x v="73"/>
    <n v="15"/>
    <n v="86.67"/>
    <n v="6.67"/>
    <n v="6.67"/>
    <n v="0"/>
    <d v="2025-09-28T01:59:46"/>
    <s v="https://etrain.info/train/August-Kranti-Rajdhani-12954/history?d=1y"/>
  </r>
  <r>
    <x v="67"/>
    <s v="August Kranti Rajdhani"/>
    <s v="BL"/>
    <x v="366"/>
    <n v="14"/>
    <n v="86.67"/>
    <n v="6.67"/>
    <n v="6.67"/>
    <n v="0"/>
    <d v="2025-09-28T01:59:52"/>
    <s v="https://etrain.info/train/August-Kranti-Rajdhani-12954/history?d=1y"/>
  </r>
  <r>
    <x v="67"/>
    <s v="August Kranti Rajdhani"/>
    <s v="MMCT"/>
    <x v="66"/>
    <n v="16"/>
    <n v="86.67"/>
    <n v="6.67"/>
    <n v="6.67"/>
    <n v="0"/>
    <d v="2025-09-28T02:00:01"/>
    <s v="https://etrain.info/train/August-Kranti-Rajdhani-12954/history?d=1y"/>
  </r>
  <r>
    <x v="67"/>
    <s v="August Kranti Rajdhani"/>
    <s v="BRC"/>
    <x v="67"/>
    <n v="0"/>
    <n v="83.33"/>
    <n v="10"/>
    <n v="6.67"/>
    <n v="0"/>
    <d v="2025-09-28T01:59:42"/>
    <s v="https://etrain.info/train/August-Kranti-Rajdhani-12954/history?d=1y"/>
  </r>
  <r>
    <x v="67"/>
    <s v="August Kranti Rajdhani"/>
    <s v="VAPI"/>
    <x v="74"/>
    <n v="23"/>
    <n v="83.33"/>
    <n v="10"/>
    <n v="6.67"/>
    <n v="0"/>
    <d v="2025-09-28T01:59:56"/>
    <s v="https://etrain.info/train/August-Kranti-Rajdhani-12954/history?d=1y"/>
  </r>
  <r>
    <x v="67"/>
    <s v="August Kranti Rajdhani"/>
    <s v="SWM"/>
    <x v="342"/>
    <n v="13"/>
    <n v="76.67"/>
    <n v="20"/>
    <n v="3.33"/>
    <n v="0"/>
    <d v="2025-09-28T01:59:30"/>
    <s v="https://etrain.info/train/August-Kranti-Rajdhani-12954/history?d=1y"/>
  </r>
  <r>
    <x v="67"/>
    <s v="August Kranti Rajdhani"/>
    <s v="RTM"/>
    <x v="328"/>
    <n v="20"/>
    <n v="66.67"/>
    <n v="26.67"/>
    <n v="6.67"/>
    <n v="0"/>
    <d v="2025-09-28T01:59:38"/>
    <s v="https://etrain.info/train/August-Kranti-Rajdhani-12954/history?d=1y"/>
  </r>
  <r>
    <x v="67"/>
    <s v="August Kranti Rajdhani"/>
    <s v="DHD"/>
    <x v="343"/>
    <n v="0"/>
    <n v="60"/>
    <n v="30"/>
    <n v="10"/>
    <n v="0"/>
    <d v="2025-09-28T01:59:40"/>
    <s v="https://etrain.info/train/August-Kranti-Rajdhani-12954/history?d=1y"/>
  </r>
  <r>
    <x v="67"/>
    <s v="August Kranti Rajdhani"/>
    <s v="KOTA"/>
    <x v="337"/>
    <n v="23"/>
    <n v="43.33"/>
    <n v="50"/>
    <n v="6.67"/>
    <n v="0"/>
    <d v="2025-09-28T01:59:34"/>
    <s v="https://etrain.info/train/August-Kranti-Rajdhani-12954/history?d=1y"/>
  </r>
  <r>
    <x v="67"/>
    <s v="August Kranti Rajdhani"/>
    <s v="BVI"/>
    <x v="72"/>
    <n v="29"/>
    <n v="36.67"/>
    <n v="53.33"/>
    <n v="10"/>
    <n v="0"/>
    <d v="2025-09-28T01:59:58"/>
    <s v="https://etrain.info/train/August-Kranti-Rajdhani-12954/history?d=1y"/>
  </r>
  <r>
    <x v="68"/>
    <s v="Swarna Jayanti Rajdhani"/>
    <s v="SBIB"/>
    <x v="369"/>
    <n v="7"/>
    <n v="96.67"/>
    <n v="0"/>
    <n v="3.33"/>
    <n v="0"/>
    <d v="2025-09-28T02:00:12"/>
    <s v="https://etrain.info/train/Swarna-Jayanti-Rajdhani-12957/history?d=1y"/>
  </r>
  <r>
    <x v="68"/>
    <s v="Swarna Jayanti Rajdhani"/>
    <s v="PNU"/>
    <x v="370"/>
    <n v="0"/>
    <n v="96.67"/>
    <n v="0"/>
    <n v="3.33"/>
    <n v="0"/>
    <d v="2025-09-28T02:00:15"/>
    <s v="https://etrain.info/train/Swarna-Jayanti-Rajdhani-12957/history?d=1y"/>
  </r>
  <r>
    <x v="68"/>
    <s v="Swarna Jayanti Rajdhani"/>
    <s v="ABR"/>
    <x v="371"/>
    <n v="8"/>
    <n v="96.67"/>
    <n v="0"/>
    <n v="3.33"/>
    <n v="0"/>
    <d v="2025-09-28T02:00:19"/>
    <s v="https://etrain.info/train/Swarna-Jayanti-Rajdhani-12957/history?d=1y"/>
  </r>
  <r>
    <x v="68"/>
    <s v="Swarna Jayanti Rajdhani"/>
    <s v="FA"/>
    <x v="372"/>
    <n v="6"/>
    <n v="96.67"/>
    <n v="0"/>
    <n v="3.33"/>
    <n v="0"/>
    <d v="2025-09-28T02:00:22"/>
    <s v="https://etrain.info/train/Swarna-Jayanti-Rajdhani-12957/history?d=1y"/>
  </r>
  <r>
    <x v="68"/>
    <s v="Swarna Jayanti Rajdhani"/>
    <s v="AII"/>
    <x v="373"/>
    <n v="6"/>
    <n v="96.67"/>
    <n v="0"/>
    <n v="3.33"/>
    <n v="0"/>
    <d v="2025-09-28T02:00:26"/>
    <s v="https://etrain.info/train/Swarna-Jayanti-Rajdhani-12957/history?d=1y"/>
  </r>
  <r>
    <x v="68"/>
    <s v="Swarna Jayanti Rajdhani"/>
    <s v="JP"/>
    <x v="374"/>
    <n v="7"/>
    <n v="96.67"/>
    <n v="0"/>
    <n v="3.33"/>
    <n v="0"/>
    <d v="2025-09-28T02:00:30"/>
    <s v="https://etrain.info/train/Swarna-Jayanti-Rajdhani-12957/history?d=1y"/>
  </r>
  <r>
    <x v="68"/>
    <s v="Swarna Jayanti Rajdhani"/>
    <s v="GGN"/>
    <x v="375"/>
    <n v="14"/>
    <n v="96.67"/>
    <n v="0"/>
    <n v="3.33"/>
    <n v="0"/>
    <d v="2025-09-28T02:00:33"/>
    <s v="https://etrain.info/train/Swarna-Jayanti-Rajdhani-12957/history?d=1y"/>
  </r>
  <r>
    <x v="68"/>
    <s v="Swarna Jayanti Rajdhani"/>
    <s v="DEC"/>
    <x v="376"/>
    <n v="15"/>
    <n v="96.67"/>
    <n v="0"/>
    <n v="3.33"/>
    <n v="0"/>
    <d v="2025-09-28T02:00:37"/>
    <s v="https://etrain.info/train/Swarna-Jayanti-Rajdhani-12957/history?d=1y"/>
  </r>
  <r>
    <x v="68"/>
    <s v="Swarna Jayanti Rajdhani"/>
    <s v="NDLS"/>
    <x v="58"/>
    <n v="0"/>
    <n v="96.67"/>
    <n v="0"/>
    <n v="3.33"/>
    <n v="0"/>
    <d v="2025-09-28T02:00:39"/>
    <s v="https://etrain.info/train/Swarna-Jayanti-Rajdhani-12957/history?d=1y"/>
  </r>
  <r>
    <x v="68"/>
    <s v="Swarna Jayanti Rajdhani"/>
    <s v="MSH"/>
    <x v="377"/>
    <n v="8"/>
    <n v="93.33"/>
    <n v="3.33"/>
    <n v="3.33"/>
    <n v="0.01"/>
    <d v="2025-09-28T02:00:13"/>
    <s v="https://etrain.info/train/Swarna-Jayanti-Rajdhani-12957/history?d=1y"/>
  </r>
  <r>
    <x v="69"/>
    <s v="Swarna Jayanti Rajdhani"/>
    <s v="NDLS"/>
    <x v="58"/>
    <n v="0"/>
    <n v="100"/>
    <n v="0"/>
    <n v="0"/>
    <n v="0"/>
    <d v="2025-09-28T02:00:46"/>
    <s v="https://etrain.info/train/Swarna-Jayanti-Rajdhani-12958/history?d=1y"/>
  </r>
  <r>
    <x v="69"/>
    <s v="Swarna Jayanti Rajdhani"/>
    <s v="DEC"/>
    <x v="376"/>
    <n v="4"/>
    <n v="100"/>
    <n v="0"/>
    <n v="0"/>
    <n v="0"/>
    <d v="2025-09-28T02:00:47"/>
    <s v="https://etrain.info/train/Swarna-Jayanti-Rajdhani-12958/history?d=1y"/>
  </r>
  <r>
    <x v="69"/>
    <s v="Swarna Jayanti Rajdhani"/>
    <s v="SBIB"/>
    <x v="369"/>
    <n v="0"/>
    <n v="100"/>
    <n v="0"/>
    <n v="0"/>
    <n v="0"/>
    <d v="2025-09-28T02:01:06"/>
    <s v="https://etrain.info/train/Swarna-Jayanti-Rajdhani-12958/history?d=1y"/>
  </r>
  <r>
    <x v="69"/>
    <s v="Swarna Jayanti Rajdhani"/>
    <s v="GGN"/>
    <x v="375"/>
    <n v="7"/>
    <n v="93.33"/>
    <n v="6.67"/>
    <n v="0"/>
    <n v="0"/>
    <d v="2025-09-28T02:00:51"/>
    <s v="https://etrain.info/train/Swarna-Jayanti-Rajdhani-12958/history?d=1y"/>
  </r>
  <r>
    <x v="69"/>
    <s v="Swarna Jayanti Rajdhani"/>
    <s v="PNU"/>
    <x v="370"/>
    <n v="4"/>
    <n v="90"/>
    <n v="10"/>
    <n v="0"/>
    <n v="0"/>
    <d v="2025-09-28T02:01:00"/>
    <s v="https://etrain.info/train/Swarna-Jayanti-Rajdhani-12958/history?d=1y"/>
  </r>
  <r>
    <x v="69"/>
    <s v="Swarna Jayanti Rajdhani"/>
    <s v="MSH"/>
    <x v="377"/>
    <n v="6"/>
    <n v="86.67"/>
    <n v="13.33"/>
    <n v="0"/>
    <n v="0"/>
    <d v="2025-09-28T02:01:04"/>
    <s v="https://etrain.info/train/Swarna-Jayanti-Rajdhani-12958/history?d=1y"/>
  </r>
  <r>
    <x v="69"/>
    <s v="Swarna Jayanti Rajdhani"/>
    <s v="ABR"/>
    <x v="371"/>
    <n v="10"/>
    <n v="73.33"/>
    <n v="26.67"/>
    <n v="0"/>
    <n v="0"/>
    <d v="2025-09-28T02:00:58"/>
    <s v="https://etrain.info/train/Swarna-Jayanti-Rajdhani-12958/history?d=1y"/>
  </r>
  <r>
    <x v="69"/>
    <s v="Swarna Jayanti Rajdhani"/>
    <s v="AII"/>
    <x v="373"/>
    <n v="16"/>
    <n v="63.33"/>
    <n v="36.67"/>
    <n v="0"/>
    <n v="0"/>
    <d v="2025-09-28T02:00:55"/>
    <s v="https://etrain.info/train/Swarna-Jayanti-Rajdhani-12958/history?d=1y"/>
  </r>
  <r>
    <x v="69"/>
    <s v="Swarna Jayanti Rajdhani"/>
    <s v="FA"/>
    <x v="372"/>
    <n v="16"/>
    <n v="53.33"/>
    <n v="46.67"/>
    <n v="0"/>
    <n v="0"/>
    <d v="2025-09-28T02:00:57"/>
    <s v="https://etrain.info/train/Swarna-Jayanti-Rajdhani-12958/history?d=1y"/>
  </r>
  <r>
    <x v="69"/>
    <s v="Swarna Jayanti Rajdhani"/>
    <s v="JP"/>
    <x v="374"/>
    <n v="0"/>
    <n v="46.67"/>
    <n v="53.33"/>
    <n v="0"/>
    <n v="0"/>
    <d v="2025-09-28T02:00:53"/>
    <s v="https://etrain.info/train/Swarna-Jayanti-Rajdhani-12958/history?d=1y"/>
  </r>
  <r>
    <x v="70"/>
    <s v="Kamrup Express"/>
    <s v="HWH"/>
    <x v="75"/>
    <n v="0"/>
    <n v="97.32"/>
    <n v="2.68"/>
    <n v="0"/>
    <n v="0"/>
    <d v="2025-09-28T02:09:26"/>
    <s v="https://etrain.info/train/Kamrup-Express-15959/history?d=1y"/>
  </r>
  <r>
    <x v="70"/>
    <s v="Kamrup Express"/>
    <s v="MLDT"/>
    <x v="268"/>
    <n v="8"/>
    <n v="95.02"/>
    <n v="3.07"/>
    <n v="1.92"/>
    <n v="0"/>
    <d v="2025-09-28T02:10:02"/>
    <s v="https://etrain.info/train/Kamrup-Express-15959/history?d=1y"/>
  </r>
  <r>
    <x v="70"/>
    <s v="Kamrup Express"/>
    <s v="BDC"/>
    <x v="378"/>
    <n v="8"/>
    <n v="90.8"/>
    <n v="8.81"/>
    <n v="0.38"/>
    <n v="0.01"/>
    <d v="2025-09-28T02:09:27"/>
    <s v="https://etrain.info/train/Kamrup-Express-15959/history?d=1y"/>
  </r>
  <r>
    <x v="70"/>
    <s v="Kamrup Express"/>
    <s v="NFK"/>
    <x v="267"/>
    <n v="9"/>
    <n v="90.04"/>
    <n v="8.0500000000000007"/>
    <n v="1.92"/>
    <n v="0"/>
    <d v="2025-09-28T02:09:58"/>
    <s v="https://etrain.info/train/Kamrup-Express-15959/history?d=1y"/>
  </r>
  <r>
    <x v="70"/>
    <s v="Kamrup Express"/>
    <s v="JRLE"/>
    <x v="379"/>
    <n v="8"/>
    <n v="88.12"/>
    <n v="10.73"/>
    <n v="1.1499999999999999"/>
    <n v="0"/>
    <d v="2025-09-28T02:09:49"/>
    <s v="https://etrain.info/train/Kamrup-Express-15959/history?d=1y"/>
  </r>
  <r>
    <x v="70"/>
    <s v="Kamrup Express"/>
    <s v="SM"/>
    <x v="380"/>
    <n v="10"/>
    <n v="86.21"/>
    <n v="11.49"/>
    <n v="2.2999999999999998"/>
    <n v="0"/>
    <d v="2025-09-28T02:10:06"/>
    <s v="https://etrain.info/train/Kamrup-Express-15959/history?d=1y"/>
  </r>
  <r>
    <x v="70"/>
    <s v="Kamrup Express"/>
    <s v="AZ"/>
    <x v="381"/>
    <n v="9"/>
    <n v="85.82"/>
    <n v="13.03"/>
    <n v="1.1499999999999999"/>
    <n v="0"/>
    <d v="2025-09-28T02:09:45"/>
    <s v="https://etrain.info/train/Kamrup-Express-15959/history?d=1y"/>
  </r>
  <r>
    <x v="70"/>
    <s v="Kamrup Express"/>
    <s v="NCB"/>
    <x v="249"/>
    <n v="13"/>
    <n v="82.76"/>
    <n v="13.03"/>
    <n v="4.21"/>
    <n v="0"/>
    <d v="2025-09-28T02:10:32"/>
    <s v="https://etrain.info/train/Kamrup-Express-15959/history?d=1y"/>
  </r>
  <r>
    <x v="70"/>
    <s v="Kamrup Express"/>
    <s v="NOQ"/>
    <x v="272"/>
    <n v="12"/>
    <n v="82.76"/>
    <n v="13.41"/>
    <n v="3.45"/>
    <n v="0.38"/>
    <d v="2025-09-28T02:10:34"/>
    <s v="https://etrain.info/train/Kamrup-Express-15959/history?d=1y"/>
  </r>
  <r>
    <x v="70"/>
    <s v="Kamrup Express"/>
    <s v="HCR"/>
    <x v="382"/>
    <n v="11"/>
    <n v="80.08"/>
    <n v="17.62"/>
    <n v="2.2999999999999998"/>
    <n v="0"/>
    <d v="2025-09-28T02:10:10"/>
    <s v="https://etrain.info/train/Kamrup-Express-15959/history?d=1y"/>
  </r>
  <r>
    <x v="70"/>
    <s v="Kamrup Express"/>
    <s v="KWAE"/>
    <x v="383"/>
    <n v="10"/>
    <n v="79.69"/>
    <n v="19.920000000000002"/>
    <n v="0.38"/>
    <n v="0.01"/>
    <d v="2025-09-28T02:09:36"/>
    <s v="https://etrain.info/train/Kamrup-Express-15959/history?d=1y"/>
  </r>
  <r>
    <x v="70"/>
    <s v="Kamrup Express"/>
    <s v="NILE"/>
    <x v="384"/>
    <n v="12"/>
    <n v="78.16"/>
    <n v="20.69"/>
    <n v="1.1499999999999999"/>
    <n v="0"/>
    <d v="2025-09-28T02:09:53"/>
    <s v="https://etrain.info/train/Kamrup-Express-15959/history?d=1y"/>
  </r>
  <r>
    <x v="70"/>
    <s v="Kamrup Express"/>
    <s v="DGLE"/>
    <x v="385"/>
    <n v="13"/>
    <n v="77.39"/>
    <n v="21.07"/>
    <n v="1.53"/>
    <n v="0.01"/>
    <d v="2025-09-28T02:09:55"/>
    <s v="https://etrain.info/train/Kamrup-Express-15959/history?d=1y"/>
  </r>
  <r>
    <x v="70"/>
    <s v="Kamrup Express"/>
    <s v="FLK"/>
    <x v="386"/>
    <n v="13"/>
    <n v="77.39"/>
    <n v="18.77"/>
    <n v="3.83"/>
    <n v="0.01"/>
    <d v="2025-09-28T02:10:29"/>
    <s v="https://etrain.info/train/Kamrup-Express-15959/history?d=1y"/>
  </r>
  <r>
    <x v="70"/>
    <s v="Kamrup Express"/>
    <s v="FKG"/>
    <x v="387"/>
    <n v="21"/>
    <n v="76.63"/>
    <n v="13.41"/>
    <n v="9.9600000000000009"/>
    <n v="0"/>
    <d v="2025-09-28T02:11:36"/>
    <s v="https://etrain.info/train/Kamrup-Express-15959/history?d=1y"/>
  </r>
  <r>
    <x v="70"/>
    <s v="Kamrup Express"/>
    <s v="KAMG"/>
    <x v="388"/>
    <n v="18"/>
    <n v="74.33"/>
    <n v="21.46"/>
    <n v="3.83"/>
    <n v="0.38"/>
    <d v="2025-09-28T02:10:36"/>
    <s v="https://etrain.info/train/Kamrup-Express-15959/history?d=1y"/>
  </r>
  <r>
    <x v="70"/>
    <s v="Kamrup Express"/>
    <s v="NBQ"/>
    <x v="238"/>
    <n v="17"/>
    <n v="72.8"/>
    <n v="21.46"/>
    <n v="5.75"/>
    <n v="0"/>
    <d v="2025-09-28T02:10:49"/>
    <s v="https://etrain.info/train/Kamrup-Express-15959/history?d=1y"/>
  </r>
  <r>
    <x v="70"/>
    <s v="Kamrup Express"/>
    <s v="ABKA"/>
    <x v="389"/>
    <n v="13"/>
    <n v="71.650000000000006"/>
    <n v="27.97"/>
    <n v="0.38"/>
    <n v="0"/>
    <d v="2025-09-28T02:09:31"/>
    <s v="https://etrain.info/train/Kamrup-Express-15959/history?d=1y"/>
  </r>
  <r>
    <x v="70"/>
    <s v="Kamrup Express"/>
    <s v="DBRG"/>
    <x v="233"/>
    <n v="17"/>
    <n v="71.260000000000005"/>
    <n v="16.09"/>
    <n v="12.64"/>
    <n v="0.01"/>
    <d v="2025-09-28T02:12:04"/>
    <s v="https://etrain.info/train/Kamrup-Express-15959/history?d=1y"/>
  </r>
  <r>
    <x v="70"/>
    <s v="Kamrup Express"/>
    <s v="NJP"/>
    <x v="241"/>
    <n v="17"/>
    <n v="68.97"/>
    <n v="26.05"/>
    <n v="4.9800000000000004"/>
    <n v="0"/>
    <d v="2025-09-28T02:10:19"/>
    <s v="https://etrain.info/train/Kamrup-Express-15959/history?d=1y"/>
  </r>
  <r>
    <x v="70"/>
    <s v="Kamrup Express"/>
    <s v="JPE"/>
    <x v="270"/>
    <n v="13"/>
    <n v="68.2"/>
    <n v="26.82"/>
    <n v="4.9800000000000004"/>
    <n v="0"/>
    <d v="2025-09-28T02:10:23"/>
    <s v="https://etrain.info/train/Kamrup-Express-15959/history?d=1y"/>
  </r>
  <r>
    <x v="70"/>
    <s v="Kamrup Express"/>
    <s v="BNGN"/>
    <x v="390"/>
    <n v="20"/>
    <n v="65.52"/>
    <n v="26.05"/>
    <n v="6.13"/>
    <n v="2.2999999999999998"/>
    <d v="2025-09-28T02:10:51"/>
    <s v="https://etrain.info/train/Kamrup-Express-15959/history?d=1y"/>
  </r>
  <r>
    <x v="70"/>
    <s v="Kamrup Express"/>
    <s v="NDAE"/>
    <x v="391"/>
    <n v="0"/>
    <n v="65.13"/>
    <n v="34.479999999999997"/>
    <n v="0.38"/>
    <n v="0"/>
    <d v="2025-09-28T02:09:35"/>
    <s v="https://etrain.info/train/Kamrup-Express-15959/history?d=1y"/>
  </r>
  <r>
    <x v="70"/>
    <s v="Kamrup Express"/>
    <s v="DQG"/>
    <x v="271"/>
    <n v="19"/>
    <n v="65.13"/>
    <n v="29.5"/>
    <n v="5.36"/>
    <n v="0.01"/>
    <d v="2025-09-28T02:10:27"/>
    <s v="https://etrain.info/train/Kamrup-Express-15959/history?d=1y"/>
  </r>
  <r>
    <x v="70"/>
    <s v="Kamrup Express"/>
    <s v="KYQ"/>
    <x v="274"/>
    <n v="23"/>
    <n v="63.6"/>
    <n v="28.35"/>
    <n v="8.0500000000000007"/>
    <n v="0"/>
    <d v="2025-09-28T02:11:05"/>
    <s v="https://etrain.info/train/Kamrup-Express-15959/history?d=1y"/>
  </r>
  <r>
    <x v="70"/>
    <s v="Kamrup Express"/>
    <s v="SALE"/>
    <x v="392"/>
    <n v="14"/>
    <n v="62.45"/>
    <n v="37.159999999999997"/>
    <n v="0.38"/>
    <n v="0.01"/>
    <d v="2025-09-28T02:09:38"/>
    <s v="https://etrain.info/train/Kamrup-Express-15959/history?d=1y"/>
  </r>
  <r>
    <x v="70"/>
    <s v="Kamrup Express"/>
    <s v="SBE"/>
    <x v="393"/>
    <n v="23"/>
    <n v="59.39"/>
    <n v="30.27"/>
    <n v="8.0500000000000007"/>
    <n v="2.29"/>
    <d v="2025-09-28T02:10:53"/>
    <s v="https://etrain.info/train/Kamrup-Express-15959/history?d=1y"/>
  </r>
  <r>
    <x v="70"/>
    <s v="Kamrup Express"/>
    <s v="NMX"/>
    <x v="394"/>
    <n v="21"/>
    <n v="58.62"/>
    <n v="35.630000000000003"/>
    <n v="5.75"/>
    <n v="0"/>
    <d v="2025-09-28T02:10:25"/>
    <s v="https://etrain.info/train/Kamrup-Express-15959/history?d=1y"/>
  </r>
  <r>
    <x v="70"/>
    <s v="Kamrup Express"/>
    <s v="BPRD"/>
    <x v="273"/>
    <n v="24"/>
    <n v="55.17"/>
    <n v="34.479999999999997"/>
    <n v="8.0500000000000007"/>
    <n v="2.2999999999999998"/>
    <d v="2025-09-28T02:10:54"/>
    <s v="https://etrain.info/train/Kamrup-Express-15959/history?d=1y"/>
  </r>
  <r>
    <x v="70"/>
    <s v="Kamrup Express"/>
    <s v="RNY"/>
    <x v="243"/>
    <n v="26"/>
    <n v="55.17"/>
    <n v="34.1"/>
    <n v="8.43"/>
    <n v="2.2999999999999998"/>
    <d v="2025-09-28T02:11:02"/>
    <s v="https://etrain.info/train/Kamrup-Express-15959/history?d=1y"/>
  </r>
  <r>
    <x v="70"/>
    <s v="Kamrup Express"/>
    <s v="KGLE"/>
    <x v="395"/>
    <n v="0"/>
    <n v="48.66"/>
    <n v="50.19"/>
    <n v="1.1499999999999999"/>
    <n v="0"/>
    <d v="2025-09-28T02:09:41"/>
    <s v="https://etrain.info/train/Kamrup-Express-15959/history?d=1y"/>
  </r>
  <r>
    <x v="70"/>
    <s v="Kamrup Express"/>
    <s v="PBL"/>
    <x v="396"/>
    <n v="27"/>
    <n v="48.28"/>
    <n v="41.38"/>
    <n v="8.0500000000000007"/>
    <n v="2.29"/>
    <d v="2025-09-28T02:10:56"/>
    <s v="https://etrain.info/train/Kamrup-Express-15959/history?d=1y"/>
  </r>
  <r>
    <x v="70"/>
    <s v="Kamrup Express"/>
    <s v="TIHU"/>
    <x v="397"/>
    <n v="28"/>
    <n v="44.44"/>
    <n v="44.83"/>
    <n v="8.43"/>
    <n v="2.2999999999999998"/>
    <d v="2025-09-28T02:10:58"/>
    <s v="https://etrain.info/train/Kamrup-Express-15959/history?d=1y"/>
  </r>
  <r>
    <x v="70"/>
    <s v="Kamrup Express"/>
    <s v="NLV"/>
    <x v="398"/>
    <n v="30"/>
    <n v="41.38"/>
    <n v="47.89"/>
    <n v="8.43"/>
    <n v="2.2999999999999998"/>
    <d v="2025-09-28T02:11:00"/>
    <s v="https://etrain.info/train/Kamrup-Express-15959/history?d=1y"/>
  </r>
  <r>
    <x v="70"/>
    <s v="Kamrup Express"/>
    <s v="GHY"/>
    <x v="247"/>
    <n v="32"/>
    <n v="41"/>
    <n v="47.51"/>
    <n v="11.49"/>
    <n v="0"/>
    <d v="2025-09-28T02:11:09"/>
    <s v="https://etrain.info/train/Kamrup-Express-15959/history?d=1y"/>
  </r>
  <r>
    <x v="70"/>
    <s v="Kamrup Express"/>
    <s v="LKA"/>
    <x v="399"/>
    <n v="36"/>
    <n v="41"/>
    <n v="42.53"/>
    <n v="16.48"/>
    <n v="0"/>
    <d v="2025-09-28T02:11:16"/>
    <s v="https://etrain.info/train/Kamrup-Express-15959/history?d=1y"/>
  </r>
  <r>
    <x v="70"/>
    <s v="Kamrup Express"/>
    <s v="MXN"/>
    <x v="244"/>
    <n v="39"/>
    <n v="39.46"/>
    <n v="43.68"/>
    <n v="16.86"/>
    <n v="0"/>
    <d v="2025-09-28T02:11:39"/>
    <s v="https://etrain.info/train/Kamrup-Express-15959/history?d=1y"/>
  </r>
  <r>
    <x v="70"/>
    <s v="Kamrup Express"/>
    <s v="CPK"/>
    <x v="250"/>
    <n v="35"/>
    <n v="38.31"/>
    <n v="47.89"/>
    <n v="13.79"/>
    <n v="0.01"/>
    <d v="2025-09-28T02:11:11"/>
    <s v="https://etrain.info/train/Kamrup-Express-15959/history?d=1y"/>
  </r>
  <r>
    <x v="70"/>
    <s v="Kamrup Express"/>
    <s v="HJI"/>
    <x v="400"/>
    <n v="37"/>
    <n v="36.78"/>
    <n v="47.51"/>
    <n v="15.71"/>
    <n v="0"/>
    <d v="2025-09-28T02:11:13"/>
    <s v="https://etrain.info/train/Kamrup-Express-15959/history?d=1y"/>
  </r>
  <r>
    <x v="70"/>
    <s v="Kamrup Express"/>
    <s v="KNE"/>
    <x v="242"/>
    <n v="0"/>
    <n v="32.57"/>
    <n v="62.45"/>
    <n v="4.9800000000000004"/>
    <n v="0"/>
    <d v="2025-09-28T02:10:14"/>
    <s v="https://etrain.info/train/Kamrup-Express-15959/history?d=1y"/>
  </r>
  <r>
    <x v="70"/>
    <s v="Kamrup Express"/>
    <s v="SLGR"/>
    <x v="401"/>
    <n v="42"/>
    <n v="21.46"/>
    <n v="63.22"/>
    <n v="15.33"/>
    <n v="0"/>
    <d v="2025-09-28T02:11:44"/>
    <s v="https://etrain.info/train/Kamrup-Express-15959/history?d=1y"/>
  </r>
  <r>
    <x v="70"/>
    <s v="Kamrup Express"/>
    <s v="LMG"/>
    <x v="248"/>
    <n v="47"/>
    <n v="20.69"/>
    <n v="57.85"/>
    <n v="21.46"/>
    <n v="0"/>
    <d v="2025-09-28T02:11:18"/>
    <s v="https://etrain.info/train/Kamrup-Express-15959/history?d=1y"/>
  </r>
  <r>
    <x v="70"/>
    <s v="Kamrup Express"/>
    <s v="SZR"/>
    <x v="402"/>
    <n v="47"/>
    <n v="20.69"/>
    <n v="60.15"/>
    <n v="19.16"/>
    <n v="0"/>
    <d v="2025-09-28T02:11:30"/>
    <s v="https://etrain.info/train/Kamrup-Express-15959/history?d=1y"/>
  </r>
  <r>
    <x v="70"/>
    <s v="Kamrup Express"/>
    <s v="BXP"/>
    <x v="403"/>
    <n v="48"/>
    <n v="19.920000000000002"/>
    <n v="60.54"/>
    <n v="19.54"/>
    <n v="0"/>
    <d v="2025-09-28T02:11:32"/>
    <s v="https://etrain.info/train/Kamrup-Express-15959/history?d=1y"/>
  </r>
  <r>
    <x v="70"/>
    <s v="Kamrup Express"/>
    <s v="DMV"/>
    <x v="245"/>
    <n v="49"/>
    <n v="17.62"/>
    <n v="62.07"/>
    <n v="20.309999999999999"/>
    <n v="0"/>
    <d v="2025-09-28T02:11:26"/>
    <s v="https://etrain.info/train/Kamrup-Express-15959/history?d=1y"/>
  </r>
  <r>
    <x v="70"/>
    <s v="Kamrup Express"/>
    <s v="DPU"/>
    <x v="246"/>
    <n v="48"/>
    <n v="16.09"/>
    <n v="62.84"/>
    <n v="21.07"/>
    <n v="0"/>
    <d v="2025-09-28T02:11:23"/>
    <s v="https://etrain.info/train/Kamrup-Express-15959/history?d=1y"/>
  </r>
  <r>
    <x v="70"/>
    <s v="Kamrup Express"/>
    <s v="AUB"/>
    <x v="404"/>
    <n v="34"/>
    <n v="14.18"/>
    <n v="78.16"/>
    <n v="7.66"/>
    <n v="0"/>
    <d v="2025-09-28T02:10:18"/>
    <s v="https://etrain.info/train/Kamrup-Express-15959/history?d=1y"/>
  </r>
  <r>
    <x v="70"/>
    <s v="Kamrup Express"/>
    <s v="NTSK"/>
    <x v="237"/>
    <n v="53"/>
    <n v="13.79"/>
    <n v="65.52"/>
    <n v="20.69"/>
    <n v="0"/>
    <d v="2025-09-28T02:12:03"/>
    <s v="https://etrain.info/train/Kamrup-Express-15959/history?d=1y"/>
  </r>
  <r>
    <x v="70"/>
    <s v="Kamrup Express"/>
    <s v="AGI"/>
    <x v="405"/>
    <n v="46"/>
    <n v="11.49"/>
    <n v="70.88"/>
    <n v="17.62"/>
    <n v="0.01"/>
    <d v="2025-09-28T02:11:40"/>
    <s v="https://etrain.info/train/Kamrup-Express-15959/history?d=1y"/>
  </r>
  <r>
    <x v="70"/>
    <s v="Kamrup Express"/>
    <s v="KOJ"/>
    <x v="240"/>
    <n v="35"/>
    <n v="10.73"/>
    <n v="80.84"/>
    <n v="8.43"/>
    <n v="0"/>
    <d v="2025-09-28T02:10:46"/>
    <s v="https://etrain.info/train/Kamrup-Express-15959/history?d=1y"/>
  </r>
  <r>
    <x v="70"/>
    <s v="Kamrup Express"/>
    <s v="BOJ"/>
    <x v="406"/>
    <n v="51"/>
    <n v="9.1999999999999993"/>
    <n v="72.03"/>
    <n v="18.77"/>
    <n v="0"/>
    <d v="2025-09-28T02:11:48"/>
    <s v="https://etrain.info/train/Kamrup-Express-15959/history?d=1y"/>
  </r>
  <r>
    <x v="70"/>
    <s v="Kamrup Express"/>
    <s v="DJG"/>
    <x v="407"/>
    <n v="56"/>
    <n v="7.28"/>
    <n v="68.97"/>
    <n v="23.75"/>
    <n v="0"/>
    <d v="2025-09-28T02:11:59"/>
    <s v="https://etrain.info/train/Kamrup-Express-15959/history?d=1y"/>
  </r>
  <r>
    <x v="70"/>
    <s v="Kamrup Express"/>
    <s v="FKM"/>
    <x v="408"/>
    <n v="37"/>
    <n v="6.9"/>
    <n v="85.06"/>
    <n v="8.0500000000000007"/>
    <n v="0"/>
    <d v="2025-09-28T02:10:42"/>
    <s v="https://etrain.info/train/Kamrup-Express-15959/history?d=1y"/>
  </r>
  <r>
    <x v="70"/>
    <s v="Kamrup Express"/>
    <s v="NAM"/>
    <x v="409"/>
    <n v="54"/>
    <n v="6.9"/>
    <n v="71.650000000000006"/>
    <n v="21.46"/>
    <n v="0"/>
    <d v="2025-09-28T02:11:52"/>
    <s v="https://etrain.info/train/Kamrup-Express-15959/history?d=1y"/>
  </r>
  <r>
    <x v="70"/>
    <s v="Kamrup Express"/>
    <s v="NHK"/>
    <x v="410"/>
    <n v="56"/>
    <n v="6.51"/>
    <n v="70.5"/>
    <n v="22.99"/>
    <n v="0"/>
    <d v="2025-09-28T02:11:56"/>
    <s v="https://etrain.info/train/Kamrup-Express-15959/history?d=1y"/>
  </r>
  <r>
    <x v="70"/>
    <s v="Kamrup Express"/>
    <s v="GOGH"/>
    <x v="411"/>
    <n v="10"/>
    <n v="1.53"/>
    <n v="0.38"/>
    <n v="0"/>
    <n v="98.09"/>
    <d v="2025-09-28T02:10:38"/>
    <s v="https://etrain.info/train/Kamrup-Express-15959/history?d=1y"/>
  </r>
  <r>
    <x v="70"/>
    <s v="Kamrup Express"/>
    <s v="BOE"/>
    <x v="269"/>
    <n v="17"/>
    <n v="0.77"/>
    <n v="1.1499999999999999"/>
    <n v="0"/>
    <n v="98.08"/>
    <d v="2025-09-28T02:10:11"/>
    <s v="https://etrain.info/train/Kamrup-Express-15959/history?d=1y"/>
  </r>
  <r>
    <x v="71"/>
    <s v="Kamrup Express"/>
    <s v="DBRG"/>
    <x v="233"/>
    <n v="0"/>
    <n v="96.54"/>
    <n v="2.69"/>
    <n v="0.77"/>
    <n v="0"/>
    <d v="2025-09-28T02:12:11"/>
    <s v="https://etrain.info/train/Kamrup-Express-15960/history?d=1y"/>
  </r>
  <r>
    <x v="71"/>
    <s v="Kamrup Express"/>
    <s v="FKG"/>
    <x v="387"/>
    <n v="8"/>
    <n v="91.15"/>
    <n v="6.54"/>
    <n v="2.31"/>
    <n v="0"/>
    <d v="2025-09-28T02:12:41"/>
    <s v="https://etrain.info/train/Kamrup-Express-15960/history?d=1y"/>
  </r>
  <r>
    <x v="71"/>
    <s v="Kamrup Express"/>
    <s v="BXP"/>
    <x v="403"/>
    <n v="11"/>
    <n v="85"/>
    <n v="11.92"/>
    <n v="3.08"/>
    <n v="0"/>
    <d v="2025-09-28T02:12:43"/>
    <s v="https://etrain.info/train/Kamrup-Express-15960/history?d=1y"/>
  </r>
  <r>
    <x v="71"/>
    <s v="Kamrup Express"/>
    <s v="SZR"/>
    <x v="402"/>
    <n v="13"/>
    <n v="80.38"/>
    <n v="16.149999999999999"/>
    <n v="3.46"/>
    <n v="0.01"/>
    <d v="2025-09-28T02:12:44"/>
    <s v="https://etrain.info/train/Kamrup-Express-15960/history?d=1y"/>
  </r>
  <r>
    <x v="71"/>
    <s v="Kamrup Express"/>
    <s v="HWH"/>
    <x v="75"/>
    <n v="5"/>
    <n v="79.62"/>
    <n v="8.4600000000000009"/>
    <n v="11.92"/>
    <n v="0"/>
    <d v="2025-09-28T02:14:43"/>
    <s v="https://etrain.info/train/Kamrup-Express-15960/history?d=1y"/>
  </r>
  <r>
    <x v="71"/>
    <s v="Kamrup Express"/>
    <s v="AZ"/>
    <x v="381"/>
    <n v="33"/>
    <n v="68.459999999999994"/>
    <n v="8.4600000000000009"/>
    <n v="23.08"/>
    <n v="0"/>
    <d v="2025-09-28T02:14:22"/>
    <s v="https://etrain.info/train/Kamrup-Express-15960/history?d=1y"/>
  </r>
  <r>
    <x v="71"/>
    <s v="Kamrup Express"/>
    <s v="MLDT"/>
    <x v="268"/>
    <n v="36"/>
    <n v="66.92"/>
    <n v="8.85"/>
    <n v="24.23"/>
    <n v="0"/>
    <d v="2025-09-28T02:14:06"/>
    <s v="https://etrain.info/train/Kamrup-Express-15960/history?d=1y"/>
  </r>
  <r>
    <x v="71"/>
    <s v="Kamrup Express"/>
    <s v="NJP"/>
    <x v="241"/>
    <n v="28"/>
    <n v="66.540000000000006"/>
    <n v="18.46"/>
    <n v="15"/>
    <n v="0"/>
    <d v="2025-09-28T02:13:51"/>
    <s v="https://etrain.info/train/Kamrup-Express-15960/history?d=1y"/>
  </r>
  <r>
    <x v="71"/>
    <s v="Kamrup Express"/>
    <s v="KGLE"/>
    <x v="395"/>
    <n v="38"/>
    <n v="66.150000000000006"/>
    <n v="8.85"/>
    <n v="25"/>
    <n v="0"/>
    <d v="2025-09-28T02:14:26"/>
    <s v="https://etrain.info/train/Kamrup-Express-15960/history?d=1y"/>
  </r>
  <r>
    <x v="71"/>
    <s v="Kamrup Express"/>
    <s v="NTSK"/>
    <x v="237"/>
    <n v="15"/>
    <n v="65.77"/>
    <n v="30.38"/>
    <n v="3.85"/>
    <n v="0"/>
    <d v="2025-09-28T02:12:15"/>
    <s v="https://etrain.info/train/Kamrup-Express-15960/history?d=1y"/>
  </r>
  <r>
    <x v="71"/>
    <s v="Kamrup Express"/>
    <s v="RNY"/>
    <x v="243"/>
    <n v="0"/>
    <n v="65.77"/>
    <n v="25.77"/>
    <n v="7.31"/>
    <n v="1.1499999999999999"/>
    <d v="2025-09-28T02:13:14"/>
    <s v="https://etrain.info/train/Kamrup-Express-15960/history?d=1y"/>
  </r>
  <r>
    <x v="71"/>
    <s v="Kamrup Express"/>
    <s v="KWAE"/>
    <x v="383"/>
    <n v="0"/>
    <n v="65.77"/>
    <n v="10.38"/>
    <n v="23.85"/>
    <n v="0"/>
    <d v="2025-09-28T02:14:30"/>
    <s v="https://etrain.info/train/Kamrup-Express-15960/history?d=1y"/>
  </r>
  <r>
    <x v="71"/>
    <s v="Kamrup Express"/>
    <s v="NDAE"/>
    <x v="391"/>
    <n v="36"/>
    <n v="65.38"/>
    <n v="12.69"/>
    <n v="21.92"/>
    <n v="0.01"/>
    <d v="2025-09-28T02:14:32"/>
    <s v="https://etrain.info/train/Kamrup-Express-15960/history?d=1y"/>
  </r>
  <r>
    <x v="71"/>
    <s v="Kamrup Express"/>
    <s v="NFK"/>
    <x v="267"/>
    <n v="37"/>
    <n v="64.62"/>
    <n v="10.77"/>
    <n v="24.62"/>
    <n v="0"/>
    <d v="2025-09-28T02:14:09"/>
    <s v="https://etrain.info/train/Kamrup-Express-15960/history?d=1y"/>
  </r>
  <r>
    <x v="71"/>
    <s v="Kamrup Express"/>
    <s v="DGLE"/>
    <x v="385"/>
    <n v="37"/>
    <n v="64.23"/>
    <n v="11.15"/>
    <n v="24.62"/>
    <n v="0"/>
    <d v="2025-09-28T02:14:13"/>
    <s v="https://etrain.info/train/Kamrup-Express-15960/history?d=1y"/>
  </r>
  <r>
    <x v="71"/>
    <s v="Kamrup Express"/>
    <s v="ABKA"/>
    <x v="389"/>
    <n v="38"/>
    <n v="63.85"/>
    <n v="13.08"/>
    <n v="23.08"/>
    <n v="0"/>
    <d v="2025-09-28T02:14:35"/>
    <s v="https://etrain.info/train/Kamrup-Express-15960/history?d=1y"/>
  </r>
  <r>
    <x v="71"/>
    <s v="Kamrup Express"/>
    <s v="NILE"/>
    <x v="384"/>
    <n v="40"/>
    <n v="61.15"/>
    <n v="13.85"/>
    <n v="25"/>
    <n v="0"/>
    <d v="2025-09-28T02:14:15"/>
    <s v="https://etrain.info/train/Kamrup-Express-15960/history?d=1y"/>
  </r>
  <r>
    <x v="71"/>
    <s v="Kamrup Express"/>
    <s v="NBQ"/>
    <x v="238"/>
    <n v="28"/>
    <n v="59.62"/>
    <n v="25.38"/>
    <n v="15"/>
    <n v="0"/>
    <d v="2025-09-28T02:13:27"/>
    <s v="https://etrain.info/train/Kamrup-Express-15960/history?d=1y"/>
  </r>
  <r>
    <x v="71"/>
    <s v="Kamrup Express"/>
    <s v="JRLE"/>
    <x v="379"/>
    <n v="41"/>
    <n v="58.85"/>
    <n v="16.54"/>
    <n v="24.62"/>
    <n v="0"/>
    <d v="2025-09-28T02:14:18"/>
    <s v="https://etrain.info/train/Kamrup-Express-15960/history?d=1y"/>
  </r>
  <r>
    <x v="71"/>
    <s v="Kamrup Express"/>
    <s v="NLV"/>
    <x v="398"/>
    <n v="23"/>
    <n v="58.08"/>
    <n v="33.08"/>
    <n v="7.69"/>
    <n v="1.1499999999999999"/>
    <d v="2025-09-28T02:13:16"/>
    <s v="https://etrain.info/train/Kamrup-Express-15960/history?d=1y"/>
  </r>
  <r>
    <x v="71"/>
    <s v="Kamrup Express"/>
    <s v="DJG"/>
    <x v="407"/>
    <n v="18"/>
    <n v="57.31"/>
    <n v="37.69"/>
    <n v="5"/>
    <n v="0"/>
    <d v="2025-09-28T02:12:17"/>
    <s v="https://etrain.info/train/Kamrup-Express-15960/history?d=1y"/>
  </r>
  <r>
    <x v="71"/>
    <s v="Kamrup Express"/>
    <s v="LKA"/>
    <x v="399"/>
    <n v="19"/>
    <n v="56.92"/>
    <n v="37.31"/>
    <n v="5.77"/>
    <n v="0"/>
    <d v="2025-09-28T02:12:57"/>
    <s v="https://etrain.info/train/Kamrup-Express-15960/history?d=1y"/>
  </r>
  <r>
    <x v="71"/>
    <s v="Kamrup Express"/>
    <s v="AUB"/>
    <x v="404"/>
    <n v="36"/>
    <n v="55"/>
    <n v="26.54"/>
    <n v="18.46"/>
    <n v="0"/>
    <d v="2025-09-28T02:13:52"/>
    <s v="https://etrain.info/train/Kamrup-Express-15960/history?d=1y"/>
  </r>
  <r>
    <x v="71"/>
    <s v="Kamrup Express"/>
    <s v="KNE"/>
    <x v="242"/>
    <n v="37"/>
    <n v="54.62"/>
    <n v="26.54"/>
    <n v="18.850000000000001"/>
    <n v="0"/>
    <d v="2025-09-28T02:13:56"/>
    <s v="https://etrain.info/train/Kamrup-Express-15960/history?d=1y"/>
  </r>
  <r>
    <x v="71"/>
    <s v="Kamrup Express"/>
    <s v="HJI"/>
    <x v="400"/>
    <n v="21"/>
    <n v="53.85"/>
    <n v="40"/>
    <n v="6.15"/>
    <n v="0"/>
    <d v="2025-09-28T02:13:01"/>
    <s v="https://etrain.info/train/Kamrup-Express-15960/history?d=1y"/>
  </r>
  <r>
    <x v="71"/>
    <s v="Kamrup Express"/>
    <s v="KOJ"/>
    <x v="240"/>
    <n v="32"/>
    <n v="53.08"/>
    <n v="30"/>
    <n v="16.920000000000002"/>
    <n v="0"/>
    <d v="2025-09-28T02:13:28"/>
    <s v="https://etrain.info/train/Kamrup-Express-15960/history?d=1y"/>
  </r>
  <r>
    <x v="71"/>
    <s v="Kamrup Express"/>
    <s v="NAM"/>
    <x v="409"/>
    <n v="20"/>
    <n v="50"/>
    <n v="43.08"/>
    <n v="6.92"/>
    <n v="0"/>
    <d v="2025-09-28T02:12:25"/>
    <s v="https://etrain.info/train/Kamrup-Express-15960/history?d=1y"/>
  </r>
  <r>
    <x v="71"/>
    <s v="Kamrup Express"/>
    <s v="DMV"/>
    <x v="245"/>
    <n v="20"/>
    <n v="50"/>
    <n v="45.77"/>
    <n v="4.2300000000000004"/>
    <n v="0"/>
    <d v="2025-09-28T02:12:48"/>
    <s v="https://etrain.info/train/Kamrup-Express-15960/history?d=1y"/>
  </r>
  <r>
    <x v="71"/>
    <s v="Kamrup Express"/>
    <s v="LMG"/>
    <x v="248"/>
    <n v="23"/>
    <n v="50"/>
    <n v="44.62"/>
    <n v="5.38"/>
    <n v="0"/>
    <d v="2025-09-28T02:12:54"/>
    <s v="https://etrain.info/train/Kamrup-Express-15960/history?d=1y"/>
  </r>
  <r>
    <x v="71"/>
    <s v="Kamrup Express"/>
    <s v="SALE"/>
    <x v="392"/>
    <n v="45"/>
    <n v="50"/>
    <n v="23.85"/>
    <n v="26.15"/>
    <n v="0"/>
    <d v="2025-09-28T02:14:28"/>
    <s v="https://etrain.info/train/Kamrup-Express-15960/history?d=1y"/>
  </r>
  <r>
    <x v="71"/>
    <s v="Kamrup Express"/>
    <s v="BDC"/>
    <x v="378"/>
    <n v="38"/>
    <n v="49.62"/>
    <n v="32.31"/>
    <n v="18.079999999999998"/>
    <n v="0"/>
    <d v="2025-09-28T02:14:39"/>
    <s v="https://etrain.info/train/Kamrup-Express-15960/history?d=1y"/>
  </r>
  <r>
    <x v="71"/>
    <s v="Kamrup Express"/>
    <s v="FKM"/>
    <x v="408"/>
    <n v="35"/>
    <n v="49.23"/>
    <n v="33.08"/>
    <n v="17.690000000000001"/>
    <n v="0"/>
    <d v="2025-09-28T02:13:32"/>
    <s v="https://etrain.info/train/Kamrup-Express-15960/history?d=1y"/>
  </r>
  <r>
    <x v="71"/>
    <s v="Kamrup Express"/>
    <s v="TIHU"/>
    <x v="397"/>
    <n v="26"/>
    <n v="48.08"/>
    <n v="40.770000000000003"/>
    <n v="10"/>
    <n v="1.1499999999999999"/>
    <d v="2025-09-28T02:13:17"/>
    <s v="https://etrain.info/train/Kamrup-Express-15960/history?d=1y"/>
  </r>
  <r>
    <x v="71"/>
    <s v="Kamrup Express"/>
    <s v="CPK"/>
    <x v="250"/>
    <n v="25"/>
    <n v="45.77"/>
    <n v="46.54"/>
    <n v="7.69"/>
    <n v="0"/>
    <d v="2025-09-28T02:13:05"/>
    <s v="https://etrain.info/train/Kamrup-Express-15960/history?d=1y"/>
  </r>
  <r>
    <x v="71"/>
    <s v="Kamrup Express"/>
    <s v="NHK"/>
    <x v="410"/>
    <n v="23"/>
    <n v="44.62"/>
    <n v="48.85"/>
    <n v="6.54"/>
    <n v="0"/>
    <d v="2025-09-28T02:12:21"/>
    <s v="https://etrain.info/train/Kamrup-Express-15960/history?d=1y"/>
  </r>
  <r>
    <x v="71"/>
    <s v="Kamrup Express"/>
    <s v="NOQ"/>
    <x v="272"/>
    <n v="37"/>
    <n v="44.62"/>
    <n v="36.15"/>
    <n v="18.46"/>
    <n v="0.77"/>
    <d v="2025-09-28T02:13:37"/>
    <s v="https://etrain.info/train/Kamrup-Express-15960/history?d=1y"/>
  </r>
  <r>
    <x v="71"/>
    <s v="Kamrup Express"/>
    <s v="BOJ"/>
    <x v="406"/>
    <n v="29"/>
    <n v="41.15"/>
    <n v="49.23"/>
    <n v="9.6199999999999992"/>
    <n v="0"/>
    <d v="2025-09-28T02:12:28"/>
    <s v="https://etrain.info/train/Kamrup-Express-15960/history?d=1y"/>
  </r>
  <r>
    <x v="71"/>
    <s v="Kamrup Express"/>
    <s v="KAMG"/>
    <x v="388"/>
    <n v="39"/>
    <n v="40"/>
    <n v="40.770000000000003"/>
    <n v="18.850000000000001"/>
    <n v="0.38"/>
    <d v="2025-09-28T02:13:35"/>
    <s v="https://etrain.info/train/Kamrup-Express-15960/history?d=1y"/>
  </r>
  <r>
    <x v="71"/>
    <s v="Kamrup Express"/>
    <s v="DPU"/>
    <x v="246"/>
    <n v="0"/>
    <n v="38.08"/>
    <n v="56.92"/>
    <n v="5"/>
    <n v="0"/>
    <d v="2025-09-28T02:12:50"/>
    <s v="https://etrain.info/train/Kamrup-Express-15960/history?d=1y"/>
  </r>
  <r>
    <x v="71"/>
    <s v="Kamrup Express"/>
    <s v="BPRD"/>
    <x v="273"/>
    <n v="31"/>
    <n v="36.92"/>
    <n v="49.62"/>
    <n v="12.31"/>
    <n v="1.1499999999999999"/>
    <d v="2025-09-28T02:13:20"/>
    <s v="https://etrain.info/train/Kamrup-Express-15960/history?d=1y"/>
  </r>
  <r>
    <x v="71"/>
    <s v="Kamrup Express"/>
    <s v="PBL"/>
    <x v="396"/>
    <n v="30"/>
    <n v="36.54"/>
    <n v="50.38"/>
    <n v="11.92"/>
    <n v="1.1599999999999999"/>
    <d v="2025-09-28T02:13:19"/>
    <s v="https://etrain.info/train/Kamrup-Express-15960/history?d=1y"/>
  </r>
  <r>
    <x v="71"/>
    <s v="Kamrup Express"/>
    <s v="NCB"/>
    <x v="249"/>
    <n v="43"/>
    <n v="36.15"/>
    <n v="42.69"/>
    <n v="21.15"/>
    <n v="0.01"/>
    <d v="2025-09-28T02:13:38"/>
    <s v="https://etrain.info/train/Kamrup-Express-15960/history?d=1y"/>
  </r>
  <r>
    <x v="71"/>
    <s v="Kamrup Express"/>
    <s v="GHY"/>
    <x v="247"/>
    <n v="0"/>
    <n v="35.770000000000003"/>
    <n v="50.38"/>
    <n v="13.85"/>
    <n v="0"/>
    <d v="2025-09-28T02:13:08"/>
    <s v="https://etrain.info/train/Kamrup-Express-15960/history?d=1y"/>
  </r>
  <r>
    <x v="71"/>
    <s v="Kamrup Express"/>
    <s v="KYQ"/>
    <x v="274"/>
    <n v="35"/>
    <n v="33.46"/>
    <n v="51.92"/>
    <n v="14.62"/>
    <n v="0"/>
    <d v="2025-09-28T02:13:12"/>
    <s v="https://etrain.info/train/Kamrup-Express-15960/history?d=1y"/>
  </r>
  <r>
    <x v="71"/>
    <s v="Kamrup Express"/>
    <s v="HCR"/>
    <x v="382"/>
    <n v="0"/>
    <n v="33.46"/>
    <n v="44.62"/>
    <n v="21.92"/>
    <n v="0"/>
    <d v="2025-09-28T02:14:00"/>
    <s v="https://etrain.info/train/Kamrup-Express-15960/history?d=1y"/>
  </r>
  <r>
    <x v="71"/>
    <s v="Kamrup Express"/>
    <s v="DQG"/>
    <x v="271"/>
    <n v="46"/>
    <n v="28.46"/>
    <n v="49.23"/>
    <n v="21.92"/>
    <n v="0.39"/>
    <d v="2025-09-28T02:13:42"/>
    <s v="https://etrain.info/train/Kamrup-Express-15960/history?d=1y"/>
  </r>
  <r>
    <x v="71"/>
    <s v="Kamrup Express"/>
    <s v="SM"/>
    <x v="380"/>
    <n v="49"/>
    <n v="28.08"/>
    <n v="48.46"/>
    <n v="23.46"/>
    <n v="0"/>
    <d v="2025-09-28T02:14:02"/>
    <s v="https://etrain.info/train/Kamrup-Express-15960/history?d=1y"/>
  </r>
  <r>
    <x v="71"/>
    <s v="Kamrup Express"/>
    <s v="SBE"/>
    <x v="393"/>
    <n v="35"/>
    <n v="27.69"/>
    <n v="56.92"/>
    <n v="14.23"/>
    <n v="1.1599999999999999"/>
    <d v="2025-09-28T02:13:22"/>
    <s v="https://etrain.info/train/Kamrup-Express-15960/history?d=1y"/>
  </r>
  <r>
    <x v="71"/>
    <s v="Kamrup Express"/>
    <s v="NMX"/>
    <x v="394"/>
    <n v="46"/>
    <n v="27.69"/>
    <n v="48.08"/>
    <n v="23.85"/>
    <n v="0.38"/>
    <d v="2025-09-28T02:13:43"/>
    <s v="https://etrain.info/train/Kamrup-Express-15960/history?d=1y"/>
  </r>
  <r>
    <x v="71"/>
    <s v="Kamrup Express"/>
    <s v="JPE"/>
    <x v="270"/>
    <n v="48"/>
    <n v="24.23"/>
    <n v="51.54"/>
    <n v="24.23"/>
    <n v="0"/>
    <d v="2025-09-28T02:13:47"/>
    <s v="https://etrain.info/train/Kamrup-Express-15960/history?d=1y"/>
  </r>
  <r>
    <x v="71"/>
    <s v="Kamrup Express"/>
    <s v="SLGR"/>
    <x v="401"/>
    <n v="44"/>
    <n v="19.23"/>
    <n v="51.92"/>
    <n v="28.85"/>
    <n v="0"/>
    <d v="2025-09-28T02:12:32"/>
    <s v="https://etrain.info/train/Kamrup-Express-15960/history?d=1y"/>
  </r>
  <r>
    <x v="71"/>
    <s v="Kamrup Express"/>
    <s v="BNGN"/>
    <x v="390"/>
    <n v="41"/>
    <n v="17.690000000000001"/>
    <n v="63.08"/>
    <n v="18.079999999999998"/>
    <n v="1.1499999999999999"/>
    <d v="2025-09-28T02:13:23"/>
    <s v="https://etrain.info/train/Kamrup-Express-15960/history?d=1y"/>
  </r>
  <r>
    <x v="71"/>
    <s v="Kamrup Express"/>
    <s v="MXN"/>
    <x v="244"/>
    <n v="34"/>
    <n v="16.149999999999999"/>
    <n v="77.69"/>
    <n v="6.15"/>
    <n v="0.01"/>
    <d v="2025-09-28T02:12:37"/>
    <s v="https://etrain.info/train/Kamrup-Express-15960/history?d=1y"/>
  </r>
  <r>
    <x v="71"/>
    <s v="Kamrup Express"/>
    <s v="FLK"/>
    <x v="386"/>
    <n v="0"/>
    <n v="16.149999999999999"/>
    <n v="58.85"/>
    <n v="24.62"/>
    <n v="0.38"/>
    <d v="2025-09-28T02:13:41"/>
    <s v="https://etrain.info/train/Kamrup-Express-15960/history?d=1y"/>
  </r>
  <r>
    <x v="71"/>
    <s v="Kamrup Express"/>
    <s v="AGI"/>
    <x v="405"/>
    <n v="50"/>
    <n v="10.38"/>
    <n v="53.08"/>
    <n v="36.54"/>
    <n v="0"/>
    <d v="2025-09-28T02:12:36"/>
    <s v="https://etrain.info/train/Kamrup-Express-15960/history?d=1y"/>
  </r>
  <r>
    <x v="71"/>
    <s v="Kamrup Express"/>
    <s v="GOGH"/>
    <x v="411"/>
    <n v="11"/>
    <n v="1.1499999999999999"/>
    <n v="0.38"/>
    <n v="0"/>
    <n v="98.47"/>
    <d v="2025-09-28T02:13:33"/>
    <s v="https://etrain.info/train/Kamrup-Express-15960/history?d=1y"/>
  </r>
  <r>
    <x v="71"/>
    <s v="Kamrup Express"/>
    <s v="BOE"/>
    <x v="269"/>
    <n v="15"/>
    <n v="1.1499999999999999"/>
    <n v="0.77"/>
    <n v="0"/>
    <n v="98.08"/>
    <d v="2025-09-28T02:13:58"/>
    <s v="https://etrain.info/train/Kamrup-Express-15960/history?d=1y"/>
  </r>
  <r>
    <x v="72"/>
    <s v="Guruvayur Express"/>
    <s v="MS"/>
    <x v="285"/>
    <n v="0"/>
    <n v="100"/>
    <n v="0"/>
    <n v="0"/>
    <n v="0"/>
    <d v="2025-09-28T01:43:16"/>
    <s v="https://etrain.info/train/Guruvayur-Express-16127/history?d=1y"/>
  </r>
  <r>
    <x v="72"/>
    <s v="Guruvayur Express"/>
    <s v="TBM"/>
    <x v="287"/>
    <n v="0"/>
    <n v="100"/>
    <n v="0"/>
    <n v="0"/>
    <n v="0"/>
    <d v="2025-09-28T01:43:19"/>
    <s v="https://etrain.info/train/Guruvayur-Express-16127/history?d=1y"/>
  </r>
  <r>
    <x v="72"/>
    <s v="Guruvayur Express"/>
    <s v="CGL"/>
    <x v="288"/>
    <n v="3"/>
    <n v="96.67"/>
    <n v="3.33"/>
    <n v="0"/>
    <n v="0"/>
    <d v="2025-09-28T01:43:23"/>
    <s v="https://etrain.info/train/Guruvayur-Express-16127/history?d=1y"/>
  </r>
  <r>
    <x v="72"/>
    <s v="Guruvayur Express"/>
    <s v="VM"/>
    <x v="289"/>
    <n v="3"/>
    <n v="93.33"/>
    <n v="6.67"/>
    <n v="0"/>
    <n v="0"/>
    <d v="2025-09-28T01:43:31"/>
    <s v="https://etrain.info/train/Guruvayur-Express-16127/history?d=1y"/>
  </r>
  <r>
    <x v="72"/>
    <s v="Guruvayur Express"/>
    <s v="VRI"/>
    <x v="292"/>
    <n v="4"/>
    <n v="93.33"/>
    <n v="6.67"/>
    <n v="0"/>
    <n v="0"/>
    <d v="2025-09-28T01:43:34"/>
    <s v="https://etrain.info/train/Guruvayur-Express-16127/history?d=1y"/>
  </r>
  <r>
    <x v="72"/>
    <s v="Guruvayur Express"/>
    <s v="PNDM"/>
    <x v="412"/>
    <n v="3"/>
    <n v="93.33"/>
    <n v="6.67"/>
    <n v="0"/>
    <n v="0"/>
    <d v="2025-09-28T01:43:38"/>
    <s v="https://etrain.info/train/Guruvayur-Express-16127/history?d=1y"/>
  </r>
  <r>
    <x v="72"/>
    <s v="Guruvayur Express"/>
    <s v="TPJ"/>
    <x v="291"/>
    <n v="8"/>
    <n v="86.67"/>
    <n v="10"/>
    <n v="3.33"/>
    <n v="0"/>
    <d v="2025-09-28T01:43:51"/>
    <s v="https://etrain.info/train/Guruvayur-Express-16127/history?d=1y"/>
  </r>
  <r>
    <x v="72"/>
    <s v="Guruvayur Express"/>
    <s v="MPA"/>
    <x v="301"/>
    <n v="16"/>
    <n v="80"/>
    <n v="16.670000000000002"/>
    <n v="3.33"/>
    <n v="0"/>
    <d v="2025-09-28T01:43:54"/>
    <s v="https://etrain.info/train/Guruvayur-Express-16127/history?d=1y"/>
  </r>
  <r>
    <x v="72"/>
    <s v="Guruvayur Express"/>
    <s v="CRY"/>
    <x v="413"/>
    <n v="14"/>
    <n v="80"/>
    <n v="6.67"/>
    <n v="13.33"/>
    <n v="0"/>
    <d v="2025-09-28T01:44:46"/>
    <s v="https://etrain.info/train/Guruvayur-Express-16127/history?d=1y"/>
  </r>
  <r>
    <x v="72"/>
    <s v="Guruvayur Express"/>
    <s v="VPT"/>
    <x v="295"/>
    <n v="13"/>
    <n v="73.33"/>
    <n v="23.33"/>
    <n v="3.33"/>
    <n v="0.01"/>
    <d v="2025-09-28T01:44:14"/>
    <s v="https://etrain.info/train/Guruvayur-Express-16127/history?d=1y"/>
  </r>
  <r>
    <x v="72"/>
    <s v="Guruvayur Express"/>
    <s v="SRT"/>
    <x v="296"/>
    <n v="13"/>
    <n v="73.33"/>
    <n v="23.33"/>
    <n v="3.33"/>
    <n v="0.01"/>
    <d v="2025-09-28T01:44:16"/>
    <s v="https://etrain.info/train/Guruvayur-Express-16127/history?d=1y"/>
  </r>
  <r>
    <x v="72"/>
    <s v="Guruvayur Express"/>
    <s v="ALU"/>
    <x v="414"/>
    <n v="19"/>
    <n v="70"/>
    <n v="26.67"/>
    <n v="3.33"/>
    <n v="0"/>
    <d v="2025-09-28T01:43:42"/>
    <s v="https://etrain.info/train/Guruvayur-Express-16127/history?d=1y"/>
  </r>
  <r>
    <x v="72"/>
    <s v="Guruvayur Express"/>
    <s v="SRGM"/>
    <x v="415"/>
    <n v="18"/>
    <n v="70"/>
    <n v="26.67"/>
    <n v="3.33"/>
    <n v="0"/>
    <d v="2025-09-28T01:43:46"/>
    <s v="https://etrain.info/train/Guruvayur-Express-16127/history?d=1y"/>
  </r>
  <r>
    <x v="72"/>
    <s v="Guruvayur Express"/>
    <s v="GUV"/>
    <x v="416"/>
    <n v="22"/>
    <n v="70"/>
    <n v="13.33"/>
    <n v="16.670000000000002"/>
    <n v="0"/>
    <d v="2025-09-28T01:45:17"/>
    <s v="https://etrain.info/train/Guruvayur-Express-16127/history?d=1y"/>
  </r>
  <r>
    <x v="72"/>
    <s v="Guruvayur Express"/>
    <s v="MLMR"/>
    <x v="290"/>
    <n v="16"/>
    <n v="63.33"/>
    <n v="36.67"/>
    <n v="0"/>
    <n v="0"/>
    <d v="2025-09-28T01:43:25"/>
    <s v="https://etrain.info/train/Guruvayur-Express-16127/history?d=1y"/>
  </r>
  <r>
    <x v="72"/>
    <s v="Guruvayur Express"/>
    <s v="MDU"/>
    <x v="294"/>
    <n v="15"/>
    <n v="60"/>
    <n v="36.67"/>
    <n v="3.33"/>
    <n v="0"/>
    <d v="2025-09-28T01:44:12"/>
    <s v="https://etrain.info/train/Guruvayur-Express-16127/history?d=1y"/>
  </r>
  <r>
    <x v="72"/>
    <s v="Guruvayur Express"/>
    <s v="NJT"/>
    <x v="417"/>
    <n v="16"/>
    <n v="60"/>
    <n v="36.67"/>
    <n v="3.33"/>
    <n v="0"/>
    <d v="2025-09-28T01:44:36"/>
    <s v="https://etrain.info/train/Guruvayur-Express-16127/history?d=1y"/>
  </r>
  <r>
    <x v="72"/>
    <s v="Guruvayur Express"/>
    <s v="TMV"/>
    <x v="297"/>
    <n v="15"/>
    <n v="56.67"/>
    <n v="43.33"/>
    <n v="0"/>
    <n v="0"/>
    <d v="2025-09-28T01:43:26"/>
    <s v="https://etrain.info/train/Guruvayur-Express-16127/history?d=1y"/>
  </r>
  <r>
    <x v="72"/>
    <s v="Guruvayur Express"/>
    <s v="TCR"/>
    <x v="143"/>
    <n v="30"/>
    <n v="53.33"/>
    <n v="20"/>
    <n v="26.67"/>
    <n v="0"/>
    <d v="2025-09-28T01:45:13"/>
    <s v="https://etrain.info/train/Guruvayur-Express-16127/history?d=1y"/>
  </r>
  <r>
    <x v="72"/>
    <s v="Guruvayur Express"/>
    <s v="DG"/>
    <x v="293"/>
    <n v="20"/>
    <n v="46.67"/>
    <n v="50"/>
    <n v="3.33"/>
    <n v="0"/>
    <d v="2025-09-28T01:43:58"/>
    <s v="https://etrain.info/train/Guruvayur-Express-16127/history?d=1y"/>
  </r>
  <r>
    <x v="72"/>
    <s v="Guruvayur Express"/>
    <s v="CVP"/>
    <x v="299"/>
    <n v="22"/>
    <n v="43.33"/>
    <n v="53.33"/>
    <n v="3.33"/>
    <n v="0.01"/>
    <d v="2025-09-28T01:44:18"/>
    <s v="https://etrain.info/train/Guruvayur-Express-16127/history?d=1y"/>
  </r>
  <r>
    <x v="72"/>
    <s v="Guruvayur Express"/>
    <s v="PNQ"/>
    <x v="418"/>
    <n v="36"/>
    <n v="43.33"/>
    <n v="26.67"/>
    <n v="30"/>
    <n v="0"/>
    <d v="2025-09-28T01:45:15"/>
    <s v="https://etrain.info/train/Guruvayur-Express-16127/history?d=1y"/>
  </r>
  <r>
    <x v="72"/>
    <s v="Guruvayur Express"/>
    <s v="TEN"/>
    <x v="286"/>
    <n v="22"/>
    <n v="40"/>
    <n v="56.67"/>
    <n v="3.33"/>
    <n v="0"/>
    <d v="2025-09-28T01:44:23"/>
    <s v="https://etrain.info/train/Guruvayur-Express-16127/history?d=1y"/>
  </r>
  <r>
    <x v="72"/>
    <s v="Guruvayur Express"/>
    <s v="AAY"/>
    <x v="419"/>
    <n v="24"/>
    <n v="36.67"/>
    <n v="60"/>
    <n v="3.33"/>
    <n v="0"/>
    <d v="2025-09-28T01:44:32"/>
    <s v="https://etrain.info/train/Guruvayur-Express-16127/history?d=1y"/>
  </r>
  <r>
    <x v="72"/>
    <s v="Guruvayur Express"/>
    <s v="KQN"/>
    <x v="303"/>
    <n v="21"/>
    <n v="33.33"/>
    <n v="63.33"/>
    <n v="3.33"/>
    <n v="0.01"/>
    <d v="2025-09-28T01:44:00"/>
    <s v="https://etrain.info/train/Guruvayur-Express-16127/history?d=1y"/>
  </r>
  <r>
    <x v="72"/>
    <s v="Guruvayur Express"/>
    <s v="MEJ"/>
    <x v="420"/>
    <n v="27"/>
    <n v="33.33"/>
    <n v="63.33"/>
    <n v="3.33"/>
    <n v="0.01"/>
    <d v="2025-09-28T01:44:19"/>
    <s v="https://etrain.info/train/Guruvayur-Express-16127/history?d=1y"/>
  </r>
  <r>
    <x v="72"/>
    <s v="Guruvayur Express"/>
    <s v="NNN"/>
    <x v="421"/>
    <n v="27"/>
    <n v="33.33"/>
    <n v="63.33"/>
    <n v="3.33"/>
    <n v="0.01"/>
    <d v="2025-09-28T01:44:25"/>
    <s v="https://etrain.info/train/Guruvayur-Express-16127/history?d=1y"/>
  </r>
  <r>
    <x v="72"/>
    <s v="Guruvayur Express"/>
    <s v="VLY"/>
    <x v="422"/>
    <n v="26"/>
    <n v="33.33"/>
    <n v="63.33"/>
    <n v="3.33"/>
    <n v="0.01"/>
    <d v="2025-09-28T01:44:27"/>
    <s v="https://etrain.info/train/Guruvayur-Express-16127/history?d=1y"/>
  </r>
  <r>
    <x v="72"/>
    <s v="Guruvayur Express"/>
    <s v="ERL"/>
    <x v="423"/>
    <n v="0"/>
    <n v="26.67"/>
    <n v="70"/>
    <n v="3.33"/>
    <n v="0"/>
    <d v="2025-09-28T01:44:38"/>
    <s v="https://etrain.info/train/Guruvayur-Express-16127/history?d=1y"/>
  </r>
  <r>
    <x v="72"/>
    <s v="Guruvayur Express"/>
    <s v="KZT"/>
    <x v="424"/>
    <n v="30"/>
    <n v="23.33"/>
    <n v="73.33"/>
    <n v="3.33"/>
    <n v="0.01"/>
    <d v="2025-09-28T01:44:39"/>
    <s v="https://etrain.info/train/Guruvayur-Express-16127/history?d=1y"/>
  </r>
  <r>
    <x v="72"/>
    <s v="Guruvayur Express"/>
    <s v="KON"/>
    <x v="425"/>
    <n v="27"/>
    <n v="20"/>
    <n v="76.67"/>
    <n v="3.33"/>
    <n v="0"/>
    <d v="2025-09-28T01:44:08"/>
    <s v="https://etrain.info/train/Guruvayur-Express-16127/history?d=1y"/>
  </r>
  <r>
    <x v="72"/>
    <s v="Guruvayur Express"/>
    <s v="TVC"/>
    <x v="275"/>
    <n v="30"/>
    <n v="20"/>
    <n v="73.33"/>
    <n v="6.67"/>
    <n v="0"/>
    <d v="2025-09-28T01:44:45"/>
    <s v="https://etrain.info/train/Guruvayur-Express-16127/history?d=1y"/>
  </r>
  <r>
    <x v="72"/>
    <s v="Guruvayur Express"/>
    <s v="SDN"/>
    <x v="298"/>
    <n v="27"/>
    <n v="16.670000000000002"/>
    <n v="80"/>
    <n v="3.33"/>
    <n v="0"/>
    <d v="2025-09-28T01:44:04"/>
    <s v="https://etrain.info/train/Guruvayur-Express-16127/history?d=1y"/>
  </r>
  <r>
    <x v="72"/>
    <s v="Guruvayur Express"/>
    <s v="ERS"/>
    <x v="426"/>
    <n v="43"/>
    <n v="16.670000000000002"/>
    <n v="60"/>
    <n v="23.33"/>
    <n v="0"/>
    <d v="2025-09-28T01:45:02"/>
    <s v="https://etrain.info/train/Guruvayur-Express-16127/history?d=1y"/>
  </r>
  <r>
    <x v="72"/>
    <s v="Guruvayur Express"/>
    <s v="QLN"/>
    <x v="151"/>
    <n v="59"/>
    <n v="13.33"/>
    <n v="53.33"/>
    <n v="33.33"/>
    <n v="0.01"/>
    <d v="2025-09-28T01:44:54"/>
    <s v="https://etrain.info/train/Guruvayur-Express-16127/history?d=1y"/>
  </r>
  <r>
    <x v="72"/>
    <s v="Guruvayur Express"/>
    <s v="NYY"/>
    <x v="427"/>
    <n v="0"/>
    <n v="10"/>
    <n v="83.33"/>
    <n v="6.67"/>
    <n v="0"/>
    <d v="2025-09-28T01:44:41"/>
    <s v="https://etrain.info/train/Guruvayur-Express-16127/history?d=1y"/>
  </r>
  <r>
    <x v="72"/>
    <s v="Guruvayur Express"/>
    <s v="VAK"/>
    <x v="276"/>
    <n v="0"/>
    <n v="10"/>
    <n v="66.67"/>
    <n v="23.33"/>
    <n v="0"/>
    <d v="2025-09-28T01:44:50"/>
    <s v="https://etrain.info/train/Guruvayur-Express-16127/history?d=1y"/>
  </r>
  <r>
    <x v="72"/>
    <s v="Guruvayur Express"/>
    <s v="ERN"/>
    <x v="150"/>
    <n v="45"/>
    <n v="10"/>
    <n v="66.67"/>
    <n v="23.33"/>
    <n v="0"/>
    <d v="2025-09-28T01:45:04"/>
    <s v="https://etrain.info/train/Guruvayur-Express-16127/history?d=1y"/>
  </r>
  <r>
    <x v="72"/>
    <s v="Guruvayur Express"/>
    <s v="AWY"/>
    <x v="283"/>
    <n v="42"/>
    <n v="10"/>
    <n v="66.67"/>
    <n v="23.33"/>
    <n v="0"/>
    <d v="2025-09-28T01:45:05"/>
    <s v="https://etrain.info/train/Guruvayur-Express-16127/history?d=1y"/>
  </r>
  <r>
    <x v="72"/>
    <s v="Guruvayur Express"/>
    <s v="KVU"/>
    <x v="428"/>
    <n v="53"/>
    <n v="6.67"/>
    <n v="70"/>
    <n v="23.33"/>
    <n v="0"/>
    <d v="2025-09-28T01:44:48"/>
    <s v="https://etrain.info/train/Guruvayur-Express-16127/history?d=1y"/>
  </r>
  <r>
    <x v="72"/>
    <s v="Guruvayur Express"/>
    <s v="PVU"/>
    <x v="429"/>
    <n v="59"/>
    <n v="6.67"/>
    <n v="60"/>
    <n v="33.33"/>
    <n v="0"/>
    <d v="2025-09-28T01:44:51"/>
    <s v="https://etrain.info/train/Guruvayur-Express-16127/history?d=1y"/>
  </r>
  <r>
    <x v="72"/>
    <s v="Guruvayur Express"/>
    <s v="AFK"/>
    <x v="430"/>
    <n v="46"/>
    <n v="6.67"/>
    <n v="70"/>
    <n v="23.33"/>
    <n v="0"/>
    <d v="2025-09-28T01:45:07"/>
    <s v="https://etrain.info/train/Guruvayur-Express-16127/history?d=1y"/>
  </r>
  <r>
    <x v="72"/>
    <s v="Guruvayur Express"/>
    <s v="CKI"/>
    <x v="431"/>
    <n v="0"/>
    <n v="6.67"/>
    <n v="63.33"/>
    <n v="30"/>
    <n v="0"/>
    <d v="2025-09-28T01:45:09"/>
    <s v="https://etrain.info/train/Guruvayur-Express-16127/history?d=1y"/>
  </r>
  <r>
    <x v="72"/>
    <s v="Guruvayur Express"/>
    <s v="IJK"/>
    <x v="432"/>
    <n v="54"/>
    <n v="6.67"/>
    <n v="63.33"/>
    <n v="30"/>
    <n v="0"/>
    <d v="2025-09-28T01:45:11"/>
    <s v="https://etrain.info/train/Guruvayur-Express-16127/history?d=1y"/>
  </r>
  <r>
    <x v="72"/>
    <s v="Guruvayur Express"/>
    <s v="KYJ"/>
    <x v="148"/>
    <n v="69"/>
    <n v="0"/>
    <n v="50"/>
    <n v="50"/>
    <n v="0"/>
    <d v="2025-09-28T01:44:56"/>
    <s v="https://etrain.info/train/Guruvayur-Express-16127/history?d=1y"/>
  </r>
  <r>
    <x v="72"/>
    <s v="Guruvayur Express"/>
    <s v="HAD"/>
    <x v="433"/>
    <n v="70"/>
    <n v="0"/>
    <n v="46.67"/>
    <n v="53.33"/>
    <n v="0"/>
    <d v="2025-09-28T01:44:57"/>
    <s v="https://etrain.info/train/Guruvayur-Express-16127/history?d=1y"/>
  </r>
  <r>
    <x v="72"/>
    <s v="Guruvayur Express"/>
    <s v="ALLP"/>
    <x v="434"/>
    <n v="73"/>
    <n v="0"/>
    <n v="36.67"/>
    <n v="63.33"/>
    <n v="0"/>
    <d v="2025-09-28T01:44:59"/>
    <s v="https://etrain.info/train/Guruvayur-Express-16127/history?d=1y"/>
  </r>
  <r>
    <x v="72"/>
    <s v="Guruvayur Express"/>
    <s v="SRTL"/>
    <x v="435"/>
    <n v="77"/>
    <n v="0"/>
    <n v="30"/>
    <n v="70"/>
    <n v="0"/>
    <d v="2025-09-28T01:45:01"/>
    <s v="https://etrain.info/train/Guruvayur-Express-16127/history?d=1y"/>
  </r>
  <r>
    <x v="73"/>
    <s v="Guruvayur Express"/>
    <s v="GUV"/>
    <x v="416"/>
    <n v="0"/>
    <n v="100"/>
    <n v="0"/>
    <n v="0"/>
    <n v="0"/>
    <d v="2025-09-28T01:45:23"/>
    <s v="https://etrain.info/train/Guruvayur-Express-16128/history?d=1y"/>
  </r>
  <r>
    <x v="73"/>
    <s v="Guruvayur Express"/>
    <s v="MBM"/>
    <x v="300"/>
    <n v="0"/>
    <n v="100"/>
    <n v="0"/>
    <n v="0"/>
    <n v="0"/>
    <d v="2025-09-28T01:47:27"/>
    <s v="https://etrain.info/train/Guruvayur-Express-16128/history?d=1y"/>
  </r>
  <r>
    <x v="73"/>
    <s v="Guruvayur Express"/>
    <s v="MS"/>
    <x v="285"/>
    <n v="1"/>
    <n v="100"/>
    <n v="0"/>
    <n v="0"/>
    <n v="0"/>
    <d v="2025-09-28T01:47:28"/>
    <s v="https://etrain.info/train/Guruvayur-Express-16128/history?d=1y"/>
  </r>
  <r>
    <x v="73"/>
    <s v="Guruvayur Express"/>
    <s v="TEN"/>
    <x v="286"/>
    <n v="5"/>
    <n v="93.33"/>
    <n v="6.67"/>
    <n v="0"/>
    <n v="0"/>
    <d v="2025-09-28T01:46:46"/>
    <s v="https://etrain.info/train/Guruvayur-Express-16128/history?d=1y"/>
  </r>
  <r>
    <x v="73"/>
    <s v="Guruvayur Express"/>
    <s v="PNQ"/>
    <x v="418"/>
    <n v="8"/>
    <n v="90"/>
    <n v="10"/>
    <n v="0"/>
    <n v="0"/>
    <d v="2025-09-28T01:45:25"/>
    <s v="https://etrain.info/train/Guruvayur-Express-16128/history?d=1y"/>
  </r>
  <r>
    <x v="73"/>
    <s v="Guruvayur Express"/>
    <s v="MDU"/>
    <x v="294"/>
    <n v="5"/>
    <n v="90"/>
    <n v="10"/>
    <n v="0"/>
    <n v="0"/>
    <d v="2025-09-28T01:46:56"/>
    <s v="https://etrain.info/train/Guruvayur-Express-16128/history?d=1y"/>
  </r>
  <r>
    <x v="73"/>
    <s v="Guruvayur Express"/>
    <s v="CRY"/>
    <x v="413"/>
    <n v="8"/>
    <n v="86.67"/>
    <n v="13.33"/>
    <n v="0"/>
    <n v="0"/>
    <d v="2025-09-28T01:46:14"/>
    <s v="https://etrain.info/train/Guruvayur-Express-16128/history?d=1y"/>
  </r>
  <r>
    <x v="73"/>
    <s v="Guruvayur Express"/>
    <s v="MEJ"/>
    <x v="420"/>
    <n v="8"/>
    <n v="86.67"/>
    <n v="13.33"/>
    <n v="0"/>
    <n v="0"/>
    <d v="2025-09-28T01:46:50"/>
    <s v="https://etrain.info/train/Guruvayur-Express-16128/history?d=1y"/>
  </r>
  <r>
    <x v="73"/>
    <s v="Guruvayur Express"/>
    <s v="TCR"/>
    <x v="143"/>
    <n v="11"/>
    <n v="83.33"/>
    <n v="16.670000000000002"/>
    <n v="0"/>
    <n v="0"/>
    <d v="2025-09-28T01:45:27"/>
    <s v="https://etrain.info/train/Guruvayur-Express-16128/history?d=1y"/>
  </r>
  <r>
    <x v="73"/>
    <s v="Guruvayur Express"/>
    <s v="CVP"/>
    <x v="299"/>
    <n v="11"/>
    <n v="83.33"/>
    <n v="16.670000000000002"/>
    <n v="0"/>
    <n v="0"/>
    <d v="2025-09-28T01:46:51"/>
    <s v="https://etrain.info/train/Guruvayur-Express-16128/history?d=1y"/>
  </r>
  <r>
    <x v="73"/>
    <s v="Guruvayur Express"/>
    <s v="MPA"/>
    <x v="301"/>
    <n v="7"/>
    <n v="80"/>
    <n v="20"/>
    <n v="0"/>
    <n v="0"/>
    <d v="2025-09-28T01:47:02"/>
    <s v="https://etrain.info/train/Guruvayur-Express-16128/history?d=1y"/>
  </r>
  <r>
    <x v="73"/>
    <s v="Guruvayur Express"/>
    <s v="SDN"/>
    <x v="298"/>
    <n v="8"/>
    <n v="76.67"/>
    <n v="23.33"/>
    <n v="0"/>
    <n v="0"/>
    <d v="2025-09-28T01:46:58"/>
    <s v="https://etrain.info/train/Guruvayur-Express-16128/history?d=1y"/>
  </r>
  <r>
    <x v="73"/>
    <s v="Guruvayur Express"/>
    <s v="DG"/>
    <x v="293"/>
    <n v="7"/>
    <n v="76.67"/>
    <n v="23.33"/>
    <n v="0"/>
    <n v="0"/>
    <d v="2025-09-28T01:47:01"/>
    <s v="https://etrain.info/train/Guruvayur-Express-16128/history?d=1y"/>
  </r>
  <r>
    <x v="73"/>
    <s v="Guruvayur Express"/>
    <s v="VM"/>
    <x v="289"/>
    <n v="10"/>
    <n v="76.67"/>
    <n v="23.33"/>
    <n v="0"/>
    <n v="0"/>
    <d v="2025-09-28T01:47:19"/>
    <s v="https://etrain.info/train/Guruvayur-Express-16128/history?d=1y"/>
  </r>
  <r>
    <x v="73"/>
    <s v="Guruvayur Express"/>
    <s v="KQN"/>
    <x v="303"/>
    <n v="8"/>
    <n v="73.33"/>
    <n v="26.67"/>
    <n v="0"/>
    <n v="0"/>
    <d v="2025-09-28T01:46:59"/>
    <s v="https://etrain.info/train/Guruvayur-Express-16128/history?d=1y"/>
  </r>
  <r>
    <x v="73"/>
    <s v="Guruvayur Express"/>
    <s v="SRT"/>
    <x v="296"/>
    <n v="14"/>
    <n v="66.67"/>
    <n v="33.33"/>
    <n v="0"/>
    <n v="0"/>
    <d v="2025-09-28T01:46:53"/>
    <s v="https://etrain.info/train/Guruvayur-Express-16128/history?d=1y"/>
  </r>
  <r>
    <x v="73"/>
    <s v="Guruvayur Express"/>
    <s v="IJK"/>
    <x v="432"/>
    <n v="17"/>
    <n v="60"/>
    <n v="40"/>
    <n v="0"/>
    <n v="0"/>
    <d v="2025-09-28T01:45:28"/>
    <s v="https://etrain.info/train/Guruvayur-Express-16128/history?d=1y"/>
  </r>
  <r>
    <x v="73"/>
    <s v="Guruvayur Express"/>
    <s v="TMV"/>
    <x v="297"/>
    <n v="16"/>
    <n v="60"/>
    <n v="40"/>
    <n v="0"/>
    <n v="0"/>
    <d v="2025-09-28T01:47:20"/>
    <s v="https://etrain.info/train/Guruvayur-Express-16128/history?d=1y"/>
  </r>
  <r>
    <x v="73"/>
    <s v="Guruvayur Express"/>
    <s v="MLMR"/>
    <x v="290"/>
    <n v="14"/>
    <n v="60"/>
    <n v="40"/>
    <n v="0"/>
    <n v="0"/>
    <d v="2025-09-28T01:47:22"/>
    <s v="https://etrain.info/train/Guruvayur-Express-16128/history?d=1y"/>
  </r>
  <r>
    <x v="73"/>
    <s v="Guruvayur Express"/>
    <s v="CGL"/>
    <x v="288"/>
    <n v="13"/>
    <n v="60"/>
    <n v="40"/>
    <n v="0"/>
    <n v="0"/>
    <d v="2025-09-28T01:47:24"/>
    <s v="https://etrain.info/train/Guruvayur-Express-16128/history?d=1y"/>
  </r>
  <r>
    <x v="73"/>
    <s v="Guruvayur Express"/>
    <s v="CKI"/>
    <x v="431"/>
    <n v="0"/>
    <n v="50"/>
    <n v="50"/>
    <n v="0"/>
    <n v="0"/>
    <d v="2025-09-28T01:45:31"/>
    <s v="https://etrain.info/train/Guruvayur-Express-16128/history?d=1y"/>
  </r>
  <r>
    <x v="73"/>
    <s v="Guruvayur Express"/>
    <s v="VPT"/>
    <x v="295"/>
    <n v="20"/>
    <n v="40"/>
    <n v="60"/>
    <n v="0"/>
    <n v="0"/>
    <d v="2025-09-28T01:46:55"/>
    <s v="https://etrain.info/train/Guruvayur-Express-16128/history?d=1y"/>
  </r>
  <r>
    <x v="73"/>
    <s v="Guruvayur Express"/>
    <s v="PNDM"/>
    <x v="412"/>
    <n v="24"/>
    <n v="36.67"/>
    <n v="60"/>
    <n v="3.33"/>
    <n v="0"/>
    <d v="2025-09-28T01:47:15"/>
    <s v="https://etrain.info/train/Guruvayur-Express-16128/history?d=1y"/>
  </r>
  <r>
    <x v="73"/>
    <s v="Guruvayur Express"/>
    <s v="TBM"/>
    <x v="287"/>
    <n v="19"/>
    <n v="36.67"/>
    <n v="63.33"/>
    <n v="0"/>
    <n v="0"/>
    <d v="2025-09-28T01:47:25"/>
    <s v="https://etrain.info/train/Guruvayur-Express-16128/history?d=1y"/>
  </r>
  <r>
    <x v="73"/>
    <s v="Guruvayur Express"/>
    <s v="AFK"/>
    <x v="430"/>
    <n v="23"/>
    <n v="26.67"/>
    <n v="70"/>
    <n v="3.33"/>
    <n v="0"/>
    <d v="2025-09-28T01:45:35"/>
    <s v="https://etrain.info/train/Guruvayur-Express-16128/history?d=1y"/>
  </r>
  <r>
    <x v="73"/>
    <s v="Guruvayur Express"/>
    <s v="TPJ"/>
    <x v="291"/>
    <n v="37"/>
    <n v="16.670000000000002"/>
    <n v="73.33"/>
    <n v="10"/>
    <n v="0"/>
    <d v="2025-09-28T01:47:04"/>
    <s v="https://etrain.info/train/Guruvayur-Express-16128/history?d=1y"/>
  </r>
  <r>
    <x v="73"/>
    <s v="Guruvayur Express"/>
    <s v="SRGM"/>
    <x v="415"/>
    <n v="38"/>
    <n v="16.670000000000002"/>
    <n v="66.67"/>
    <n v="16.670000000000002"/>
    <n v="0"/>
    <d v="2025-09-28T01:47:07"/>
    <s v="https://etrain.info/train/Guruvayur-Express-16128/history?d=1y"/>
  </r>
  <r>
    <x v="73"/>
    <s v="Guruvayur Express"/>
    <s v="ERS"/>
    <x v="426"/>
    <n v="27"/>
    <n v="13.33"/>
    <n v="83.33"/>
    <n v="3.33"/>
    <n v="0.01"/>
    <d v="2025-09-28T01:45:45"/>
    <s v="https://etrain.info/train/Guruvayur-Express-16128/history?d=1y"/>
  </r>
  <r>
    <x v="73"/>
    <s v="Guruvayur Express"/>
    <s v="SRTL"/>
    <x v="435"/>
    <n v="29"/>
    <n v="10"/>
    <n v="86.67"/>
    <n v="3.33"/>
    <n v="0"/>
    <d v="2025-09-28T01:45:49"/>
    <s v="https://etrain.info/train/Guruvayur-Express-16128/history?d=1y"/>
  </r>
  <r>
    <x v="73"/>
    <s v="Guruvayur Express"/>
    <s v="QLN"/>
    <x v="151"/>
    <n v="0"/>
    <n v="10"/>
    <n v="86.67"/>
    <n v="3.33"/>
    <n v="0"/>
    <d v="2025-09-28T01:46:02"/>
    <s v="https://etrain.info/train/Guruvayur-Express-16128/history?d=1y"/>
  </r>
  <r>
    <x v="73"/>
    <s v="Guruvayur Express"/>
    <s v="AWY"/>
    <x v="283"/>
    <n v="29"/>
    <n v="6.67"/>
    <n v="90"/>
    <n v="3.33"/>
    <n v="0"/>
    <d v="2025-09-28T01:45:39"/>
    <s v="https://etrain.info/train/Guruvayur-Express-16128/history?d=1y"/>
  </r>
  <r>
    <x v="73"/>
    <s v="Guruvayur Express"/>
    <s v="ERN"/>
    <x v="150"/>
    <n v="29"/>
    <n v="6.67"/>
    <n v="90"/>
    <n v="3.33"/>
    <n v="0"/>
    <d v="2025-09-28T01:45:43"/>
    <s v="https://etrain.info/train/Guruvayur-Express-16128/history?d=1y"/>
  </r>
  <r>
    <x v="73"/>
    <s v="Guruvayur Express"/>
    <s v="ALLP"/>
    <x v="434"/>
    <n v="31"/>
    <n v="6.67"/>
    <n v="90"/>
    <n v="3.33"/>
    <n v="0"/>
    <d v="2025-09-28T01:45:52"/>
    <s v="https://etrain.info/train/Guruvayur-Express-16128/history?d=1y"/>
  </r>
  <r>
    <x v="73"/>
    <s v="Guruvayur Express"/>
    <s v="HAD"/>
    <x v="433"/>
    <n v="33"/>
    <n v="6.67"/>
    <n v="90"/>
    <n v="3.33"/>
    <n v="0"/>
    <d v="2025-09-28T01:45:56"/>
    <s v="https://etrain.info/train/Guruvayur-Express-16128/history?d=1y"/>
  </r>
  <r>
    <x v="73"/>
    <s v="Guruvayur Express"/>
    <s v="KYJ"/>
    <x v="148"/>
    <n v="33"/>
    <n v="6.67"/>
    <n v="90"/>
    <n v="3.33"/>
    <n v="0"/>
    <d v="2025-09-28T01:46:00"/>
    <s v="https://etrain.info/train/Guruvayur-Express-16128/history?d=1y"/>
  </r>
  <r>
    <x v="73"/>
    <s v="Guruvayur Express"/>
    <s v="PVU"/>
    <x v="429"/>
    <n v="33"/>
    <n v="6.67"/>
    <n v="90"/>
    <n v="3.33"/>
    <n v="0"/>
    <d v="2025-09-28T01:46:06"/>
    <s v="https://etrain.info/train/Guruvayur-Express-16128/history?d=1y"/>
  </r>
  <r>
    <x v="73"/>
    <s v="Guruvayur Express"/>
    <s v="VAK"/>
    <x v="276"/>
    <n v="38"/>
    <n v="6.67"/>
    <n v="86.67"/>
    <n v="6.67"/>
    <n v="0"/>
    <d v="2025-09-28T01:46:10"/>
    <s v="https://etrain.info/train/Guruvayur-Express-16128/history?d=1y"/>
  </r>
  <r>
    <x v="73"/>
    <s v="Guruvayur Express"/>
    <s v="ALU"/>
    <x v="414"/>
    <n v="43"/>
    <n v="6.67"/>
    <n v="76.67"/>
    <n v="16.670000000000002"/>
    <n v="0"/>
    <d v="2025-09-28T01:47:11"/>
    <s v="https://etrain.info/train/Guruvayur-Express-16128/history?d=1y"/>
  </r>
  <r>
    <x v="73"/>
    <s v="Guruvayur Express"/>
    <s v="AAY"/>
    <x v="419"/>
    <n v="0"/>
    <n v="3.33"/>
    <n v="93.33"/>
    <n v="3.33"/>
    <n v="0"/>
    <d v="2025-09-28T01:46:35"/>
    <s v="https://etrain.info/train/Guruvayur-Express-16128/history?d=1y"/>
  </r>
  <r>
    <x v="73"/>
    <s v="Guruvayur Express"/>
    <s v="TVC"/>
    <x v="275"/>
    <n v="29"/>
    <n v="0"/>
    <n v="96.67"/>
    <n v="3.33"/>
    <n v="0"/>
    <d v="2025-09-28T01:46:17"/>
    <s v="https://etrain.info/train/Guruvayur-Express-16128/history?d=1y"/>
  </r>
  <r>
    <x v="73"/>
    <s v="Guruvayur Express"/>
    <s v="NYY"/>
    <x v="427"/>
    <n v="36"/>
    <n v="0"/>
    <n v="96.67"/>
    <n v="3.33"/>
    <n v="0"/>
    <d v="2025-09-28T01:46:21"/>
    <s v="https://etrain.info/train/Guruvayur-Express-16128/history?d=1y"/>
  </r>
  <r>
    <x v="73"/>
    <s v="Guruvayur Express"/>
    <s v="KZT"/>
    <x v="424"/>
    <n v="39"/>
    <n v="0"/>
    <n v="93.33"/>
    <n v="6.67"/>
    <n v="0"/>
    <d v="2025-09-28T01:46:25"/>
    <s v="https://etrain.info/train/Guruvayur-Express-16128/history?d=1y"/>
  </r>
  <r>
    <x v="73"/>
    <s v="Guruvayur Express"/>
    <s v="ERL"/>
    <x v="423"/>
    <n v="49"/>
    <n v="0"/>
    <n v="93.33"/>
    <n v="6.67"/>
    <n v="0"/>
    <d v="2025-09-28T01:46:29"/>
    <s v="https://etrain.info/train/Guruvayur-Express-16128/history?d=1y"/>
  </r>
  <r>
    <x v="73"/>
    <s v="Guruvayur Express"/>
    <s v="NJT"/>
    <x v="417"/>
    <n v="50"/>
    <n v="0"/>
    <n v="93.33"/>
    <n v="6.67"/>
    <n v="0"/>
    <d v="2025-09-28T01:46:33"/>
    <s v="https://etrain.info/train/Guruvayur-Express-16128/history?d=1y"/>
  </r>
  <r>
    <x v="73"/>
    <s v="Guruvayur Express"/>
    <s v="VLY"/>
    <x v="422"/>
    <n v="34"/>
    <n v="0"/>
    <n v="96.67"/>
    <n v="3.33"/>
    <n v="0"/>
    <d v="2025-09-28T01:46:38"/>
    <s v="https://etrain.info/train/Guruvayur-Express-16128/history?d=1y"/>
  </r>
  <r>
    <x v="73"/>
    <s v="Guruvayur Express"/>
    <s v="NNN"/>
    <x v="421"/>
    <n v="36"/>
    <n v="0"/>
    <n v="96.67"/>
    <n v="3.33"/>
    <n v="0"/>
    <d v="2025-09-28T01:46:42"/>
    <s v="https://etrain.info/train/Guruvayur-Express-16128/history?d=1y"/>
  </r>
  <r>
    <x v="73"/>
    <s v="Guruvayur Express"/>
    <s v="VRI"/>
    <x v="292"/>
    <n v="0"/>
    <n v="0"/>
    <n v="60"/>
    <n v="40"/>
    <n v="0"/>
    <d v="2025-09-28T01:47:17"/>
    <s v="https://etrain.info/train/Guruvayur-Express-16128/history?d=1y"/>
  </r>
  <r>
    <x v="74"/>
    <s v="Nagercoil Express"/>
    <s v="TEN"/>
    <x v="286"/>
    <n v="0"/>
    <n v="100"/>
    <n v="0"/>
    <n v="0"/>
    <n v="0"/>
    <d v="2025-09-28T01:41:44"/>
    <s v="https://etrain.info/train/Nagercoil-Express-16339/history?d=1y"/>
  </r>
  <r>
    <x v="74"/>
    <s v="Nagercoil Express"/>
    <s v="NNN"/>
    <x v="421"/>
    <n v="3"/>
    <n v="100"/>
    <n v="0"/>
    <n v="0"/>
    <n v="0"/>
    <d v="2025-09-28T01:41:45"/>
    <s v="https://etrain.info/train/Nagercoil-Express-16339/history?d=1y"/>
  </r>
  <r>
    <x v="74"/>
    <s v="Nagercoil Express"/>
    <s v="VLY"/>
    <x v="422"/>
    <n v="0"/>
    <n v="100"/>
    <n v="0"/>
    <n v="0"/>
    <n v="0"/>
    <d v="2025-09-28T01:41:48"/>
    <s v="https://etrain.info/train/Nagercoil-Express-16339/history?d=1y"/>
  </r>
  <r>
    <x v="74"/>
    <s v="Nagercoil Express"/>
    <s v="NCJ"/>
    <x v="436"/>
    <n v="0"/>
    <n v="100"/>
    <n v="0"/>
    <n v="0"/>
    <n v="0"/>
    <d v="2025-09-28T01:41:49"/>
    <s v="https://etrain.info/train/Nagercoil-Express-16339/history?d=1y"/>
  </r>
  <r>
    <x v="74"/>
    <s v="Nagercoil Express"/>
    <s v="CSMT"/>
    <x v="85"/>
    <n v="5"/>
    <n v="94.12"/>
    <n v="0"/>
    <n v="5.88"/>
    <n v="0"/>
    <d v="2025-09-28T01:40:12"/>
    <s v="https://etrain.info/train/Nagercoil-Express-16339/history?d=1y"/>
  </r>
  <r>
    <x v="74"/>
    <s v="Nagercoil Express"/>
    <s v="DR"/>
    <x v="31"/>
    <n v="9"/>
    <n v="94.12"/>
    <n v="0"/>
    <n v="5.88"/>
    <n v="0"/>
    <d v="2025-09-28T01:40:16"/>
    <s v="https://etrain.info/train/Nagercoil-Express-16339/history?d=1y"/>
  </r>
  <r>
    <x v="74"/>
    <s v="Nagercoil Express"/>
    <s v="KRR"/>
    <x v="437"/>
    <n v="6"/>
    <n v="94.12"/>
    <n v="5.88"/>
    <n v="0"/>
    <n v="0"/>
    <d v="2025-09-28T01:41:26"/>
    <s v="https://etrain.info/train/Nagercoil-Express-16339/history?d=1y"/>
  </r>
  <r>
    <x v="74"/>
    <s v="Nagercoil Express"/>
    <s v="DG"/>
    <x v="293"/>
    <n v="6"/>
    <n v="94.12"/>
    <n v="5.88"/>
    <n v="0"/>
    <n v="0"/>
    <d v="2025-09-28T01:41:30"/>
    <s v="https://etrain.info/train/Nagercoil-Express-16339/history?d=1y"/>
  </r>
  <r>
    <x v="74"/>
    <s v="Nagercoil Express"/>
    <s v="TNA"/>
    <x v="4"/>
    <n v="13"/>
    <n v="88.24"/>
    <n v="5.88"/>
    <n v="5.88"/>
    <n v="0"/>
    <d v="2025-09-28T01:40:20"/>
    <s v="https://etrain.info/train/Nagercoil-Express-16339/history?d=1y"/>
  </r>
  <r>
    <x v="74"/>
    <s v="Nagercoil Express"/>
    <s v="WADI"/>
    <x v="5"/>
    <n v="10"/>
    <n v="88.24"/>
    <n v="5.88"/>
    <n v="5.88"/>
    <n v="0"/>
    <d v="2025-09-28T01:40:44"/>
    <s v="https://etrain.info/train/Nagercoil-Express-16339/history?d=1y"/>
  </r>
  <r>
    <x v="74"/>
    <s v="Nagercoil Express"/>
    <s v="YG"/>
    <x v="9"/>
    <n v="14"/>
    <n v="82.35"/>
    <n v="11.76"/>
    <n v="5.88"/>
    <n v="0.01"/>
    <d v="2025-09-28T01:40:46"/>
    <s v="https://etrain.info/train/Nagercoil-Express-16339/history?d=1y"/>
  </r>
  <r>
    <x v="74"/>
    <s v="Nagercoil Express"/>
    <s v="MALM"/>
    <x v="10"/>
    <n v="0"/>
    <n v="82.35"/>
    <n v="11.76"/>
    <n v="5.88"/>
    <n v="0"/>
    <d v="2025-09-28T01:40:51"/>
    <s v="https://etrain.info/train/Nagercoil-Express-16339/history?d=1y"/>
  </r>
  <r>
    <x v="74"/>
    <s v="Nagercoil Express"/>
    <s v="CVP"/>
    <x v="299"/>
    <n v="9"/>
    <n v="82.35"/>
    <n v="17.649999999999999"/>
    <n v="0"/>
    <n v="0"/>
    <d v="2025-09-28T01:41:42"/>
    <s v="https://etrain.info/train/Nagercoil-Express-16339/history?d=1y"/>
  </r>
  <r>
    <x v="74"/>
    <s v="Nagercoil Express"/>
    <s v="MDU"/>
    <x v="294"/>
    <n v="8"/>
    <n v="76.47"/>
    <n v="23.53"/>
    <n v="0"/>
    <n v="0"/>
    <d v="2025-09-28T01:41:35"/>
    <s v="https://etrain.info/train/Nagercoil-Express-16339/history?d=1y"/>
  </r>
  <r>
    <x v="74"/>
    <s v="Nagercoil Express"/>
    <s v="VPT"/>
    <x v="295"/>
    <n v="10"/>
    <n v="76.47"/>
    <n v="23.53"/>
    <n v="0"/>
    <n v="0"/>
    <d v="2025-09-28T01:41:37"/>
    <s v="https://etrain.info/train/Nagercoil-Express-16339/history?d=1y"/>
  </r>
  <r>
    <x v="74"/>
    <s v="Nagercoil Express"/>
    <s v="SRT"/>
    <x v="296"/>
    <n v="10"/>
    <n v="76.47"/>
    <n v="23.53"/>
    <n v="0"/>
    <n v="0"/>
    <d v="2025-09-28T01:41:38"/>
    <s v="https://etrain.info/train/Nagercoil-Express-16339/history?d=1y"/>
  </r>
  <r>
    <x v="74"/>
    <s v="Nagercoil Express"/>
    <s v="PIL"/>
    <x v="438"/>
    <n v="0"/>
    <n v="70.59"/>
    <n v="23.53"/>
    <n v="5.88"/>
    <n v="0"/>
    <d v="2025-09-28T01:41:07"/>
    <s v="https://etrain.info/train/Nagercoil-Express-16339/history?d=1y"/>
  </r>
  <r>
    <x v="74"/>
    <s v="Nagercoil Express"/>
    <s v="TPT"/>
    <x v="439"/>
    <n v="13"/>
    <n v="70.59"/>
    <n v="29.41"/>
    <n v="0"/>
    <n v="0"/>
    <d v="2025-09-28T01:41:16"/>
    <s v="https://etrain.info/train/Nagercoil-Express-16339/history?d=1y"/>
  </r>
  <r>
    <x v="74"/>
    <s v="Nagercoil Express"/>
    <s v="RC"/>
    <x v="7"/>
    <n v="18"/>
    <n v="64.709999999999994"/>
    <n v="29.41"/>
    <n v="5.88"/>
    <n v="0"/>
    <d v="2025-09-28T01:40:49"/>
    <s v="https://etrain.info/train/Nagercoil-Express-16339/history?d=1y"/>
  </r>
  <r>
    <x v="74"/>
    <s v="Nagercoil Express"/>
    <s v="KQN"/>
    <x v="303"/>
    <n v="15"/>
    <n v="64.709999999999994"/>
    <n v="35.29"/>
    <n v="0"/>
    <n v="0"/>
    <d v="2025-09-28T01:41:33"/>
    <s v="https://etrain.info/train/Nagercoil-Express-16339/history?d=1y"/>
  </r>
  <r>
    <x v="74"/>
    <s v="Nagercoil Express"/>
    <s v="GTL"/>
    <x v="11"/>
    <n v="19"/>
    <n v="58.82"/>
    <n v="35.29"/>
    <n v="5.88"/>
    <n v="0.01"/>
    <d v="2025-09-28T01:40:56"/>
    <s v="https://etrain.info/train/Nagercoil-Express-16339/history?d=1y"/>
  </r>
  <r>
    <x v="74"/>
    <s v="Nagercoil Express"/>
    <s v="DMM"/>
    <x v="1"/>
    <n v="0"/>
    <n v="58.82"/>
    <n v="35.29"/>
    <n v="5.88"/>
    <n v="0"/>
    <d v="2025-09-28T01:41:01"/>
    <s v="https://etrain.info/train/Nagercoil-Express-16339/history?d=1y"/>
  </r>
  <r>
    <x v="74"/>
    <s v="Nagercoil Express"/>
    <s v="KRY"/>
    <x v="440"/>
    <n v="23"/>
    <n v="58.82"/>
    <n v="35.29"/>
    <n v="5.88"/>
    <n v="0.01"/>
    <d v="2025-09-28T01:41:03"/>
    <s v="https://etrain.info/train/Nagercoil-Express-16339/history?d=1y"/>
  </r>
  <r>
    <x v="74"/>
    <s v="Nagercoil Express"/>
    <s v="SLY"/>
    <x v="306"/>
    <n v="0"/>
    <n v="52.94"/>
    <n v="47.06"/>
    <n v="0"/>
    <n v="0"/>
    <d v="2025-09-28T01:41:18"/>
    <s v="https://etrain.info/train/Nagercoil-Express-16339/history?d=1y"/>
  </r>
  <r>
    <x v="74"/>
    <s v="Nagercoil Express"/>
    <s v="AD"/>
    <x v="14"/>
    <n v="26"/>
    <n v="47.06"/>
    <n v="47.06"/>
    <n v="5.88"/>
    <n v="0"/>
    <d v="2025-09-28T01:40:54"/>
    <s v="https://etrain.info/train/Nagercoil-Express-16339/history?d=1y"/>
  </r>
  <r>
    <x v="74"/>
    <s v="Nagercoil Express"/>
    <s v="KPD"/>
    <x v="190"/>
    <n v="19"/>
    <n v="47.06"/>
    <n v="52.94"/>
    <n v="0"/>
    <n v="0"/>
    <d v="2025-09-28T01:41:13"/>
    <s v="https://etrain.info/train/Nagercoil-Express-16339/history?d=1y"/>
  </r>
  <r>
    <x v="74"/>
    <s v="Nagercoil Express"/>
    <s v="KJT"/>
    <x v="441"/>
    <n v="0"/>
    <n v="41.18"/>
    <n v="52.94"/>
    <n v="5.88"/>
    <n v="0"/>
    <d v="2025-09-28T01:40:25"/>
    <s v="https://etrain.info/train/Nagercoil-Express-16339/history?d=1y"/>
  </r>
  <r>
    <x v="74"/>
    <s v="Nagercoil Express"/>
    <s v="ATP"/>
    <x v="12"/>
    <n v="25"/>
    <n v="41.18"/>
    <n v="52.94"/>
    <n v="5.88"/>
    <n v="0"/>
    <d v="2025-09-28T01:41:00"/>
    <s v="https://etrain.info/train/Nagercoil-Express-16339/history?d=1y"/>
  </r>
  <r>
    <x v="74"/>
    <s v="Nagercoil Express"/>
    <s v="KLBG"/>
    <x v="26"/>
    <n v="0"/>
    <n v="35.29"/>
    <n v="52.94"/>
    <n v="11.76"/>
    <n v="0"/>
    <d v="2025-09-28T01:40:39"/>
    <s v="https://etrain.info/train/Nagercoil-Express-16339/history?d=1y"/>
  </r>
  <r>
    <x v="74"/>
    <s v="Nagercoil Express"/>
    <s v="MPL"/>
    <x v="442"/>
    <n v="28"/>
    <n v="35.29"/>
    <n v="58.82"/>
    <n v="5.88"/>
    <n v="0.01"/>
    <d v="2025-09-28T01:41:04"/>
    <s v="https://etrain.info/train/Nagercoil-Express-16339/history?d=1y"/>
  </r>
  <r>
    <x v="74"/>
    <s v="Nagercoil Express"/>
    <s v="NMKL"/>
    <x v="443"/>
    <n v="0"/>
    <n v="35.29"/>
    <n v="64.709999999999994"/>
    <n v="0"/>
    <n v="0"/>
    <d v="2025-09-28T01:41:23"/>
    <s v="https://etrain.info/train/Nagercoil-Express-16339/history?d=1y"/>
  </r>
  <r>
    <x v="74"/>
    <s v="Nagercoil Express"/>
    <s v="SDB"/>
    <x v="22"/>
    <n v="27"/>
    <n v="29.41"/>
    <n v="58.82"/>
    <n v="11.76"/>
    <n v="0.01"/>
    <d v="2025-09-28T01:40:40"/>
    <s v="https://etrain.info/train/Nagercoil-Express-16339/history?d=1y"/>
  </r>
  <r>
    <x v="74"/>
    <s v="Nagercoil Express"/>
    <s v="CTO"/>
    <x v="278"/>
    <n v="35"/>
    <n v="17.649999999999999"/>
    <n v="70.59"/>
    <n v="11.76"/>
    <n v="0"/>
    <d v="2025-09-28T01:41:11"/>
    <s v="https://etrain.info/train/Nagercoil-Express-16339/history?d=1y"/>
  </r>
  <r>
    <x v="74"/>
    <s v="Nagercoil Express"/>
    <s v="PUNE"/>
    <x v="29"/>
    <n v="31"/>
    <n v="11.76"/>
    <n v="82.35"/>
    <n v="5.88"/>
    <n v="0.01"/>
    <d v="2025-09-28T01:40:27"/>
    <s v="https://etrain.info/train/Nagercoil-Express-16339/history?d=1y"/>
  </r>
  <r>
    <x v="74"/>
    <s v="Nagercoil Express"/>
    <s v="PAK"/>
    <x v="444"/>
    <n v="36"/>
    <n v="11.76"/>
    <n v="82.35"/>
    <n v="5.88"/>
    <n v="0.01"/>
    <d v="2025-09-28T01:41:08"/>
    <s v="https://etrain.info/train/Nagercoil-Express-16339/history?d=1y"/>
  </r>
  <r>
    <x v="74"/>
    <s v="Nagercoil Express"/>
    <s v="SA"/>
    <x v="15"/>
    <n v="23"/>
    <n v="11.76"/>
    <n v="88.24"/>
    <n v="0"/>
    <n v="0"/>
    <d v="2025-09-28T01:41:20"/>
    <s v="https://etrain.info/train/Nagercoil-Express-16339/history?d=1y"/>
  </r>
  <r>
    <x v="74"/>
    <s v="Nagercoil Express"/>
    <s v="KYN"/>
    <x v="8"/>
    <n v="26"/>
    <n v="5.88"/>
    <n v="88.24"/>
    <n v="5.88"/>
    <n v="0"/>
    <d v="2025-09-28T01:40:23"/>
    <s v="https://etrain.info/train/Nagercoil-Express-16339/history?d=1y"/>
  </r>
  <r>
    <x v="74"/>
    <s v="Nagercoil Express"/>
    <s v="DD"/>
    <x v="30"/>
    <n v="0"/>
    <n v="5.88"/>
    <n v="82.35"/>
    <n v="11.76"/>
    <n v="0"/>
    <d v="2025-09-28T01:40:29"/>
    <s v="https://etrain.info/train/Nagercoil-Express-16339/history?d=1y"/>
  </r>
  <r>
    <x v="74"/>
    <s v="Nagercoil Express"/>
    <s v="KWV"/>
    <x v="27"/>
    <n v="35"/>
    <n v="0"/>
    <n v="88.24"/>
    <n v="11.76"/>
    <n v="0"/>
    <d v="2025-09-28T01:40:33"/>
    <s v="https://etrain.info/train/Nagercoil-Express-16339/history?d=1y"/>
  </r>
  <r>
    <x v="74"/>
    <s v="Nagercoil Express"/>
    <s v="SUR"/>
    <x v="21"/>
    <n v="52"/>
    <n v="0"/>
    <n v="88.24"/>
    <n v="11.76"/>
    <n v="0"/>
    <d v="2025-09-28T01:40:37"/>
    <s v="https://etrain.info/train/Nagercoil-Express-16339/history?d=1y"/>
  </r>
  <r>
    <x v="75"/>
    <s v="Nagercoil Express"/>
    <s v="NCJ"/>
    <x v="436"/>
    <n v="1"/>
    <n v="100"/>
    <n v="0"/>
    <n v="0"/>
    <n v="0"/>
    <d v="2025-09-28T01:41:56"/>
    <s v="https://etrain.info/train/Nagercoil-Express-16340/history?d=1y"/>
  </r>
  <r>
    <x v="75"/>
    <s v="Nagercoil Express"/>
    <s v="VLY"/>
    <x v="422"/>
    <n v="0"/>
    <n v="100"/>
    <n v="0"/>
    <n v="0"/>
    <n v="0"/>
    <d v="2025-09-28T01:41:58"/>
    <s v="https://etrain.info/train/Nagercoil-Express-16340/history?d=1y"/>
  </r>
  <r>
    <x v="75"/>
    <s v="Nagercoil Express"/>
    <s v="NNN"/>
    <x v="421"/>
    <n v="2"/>
    <n v="100"/>
    <n v="0"/>
    <n v="0"/>
    <n v="0"/>
    <d v="2025-09-28T01:41:59"/>
    <s v="https://etrain.info/train/Nagercoil-Express-16340/history?d=1y"/>
  </r>
  <r>
    <x v="75"/>
    <s v="Nagercoil Express"/>
    <s v="TEN"/>
    <x v="286"/>
    <n v="2"/>
    <n v="100"/>
    <n v="0"/>
    <n v="0"/>
    <n v="0"/>
    <d v="2025-09-28T01:42:01"/>
    <s v="https://etrain.info/train/Nagercoil-Express-16340/history?d=1y"/>
  </r>
  <r>
    <x v="75"/>
    <s v="Nagercoil Express"/>
    <s v="KPD"/>
    <x v="190"/>
    <n v="0"/>
    <n v="87.5"/>
    <n v="12.5"/>
    <n v="0"/>
    <n v="0"/>
    <d v="2025-09-28T01:42:27"/>
    <s v="https://etrain.info/train/Nagercoil-Express-16340/history?d=1y"/>
  </r>
  <r>
    <x v="75"/>
    <s v="Nagercoil Express"/>
    <s v="DD"/>
    <x v="30"/>
    <n v="7"/>
    <n v="87.5"/>
    <n v="12.5"/>
    <n v="0"/>
    <n v="0"/>
    <d v="2025-09-28T01:43:01"/>
    <s v="https://etrain.info/train/Nagercoil-Express-16340/history?d=1y"/>
  </r>
  <r>
    <x v="75"/>
    <s v="Nagercoil Express"/>
    <s v="VPT"/>
    <x v="295"/>
    <n v="8"/>
    <n v="81.25"/>
    <n v="18.75"/>
    <n v="0"/>
    <n v="0"/>
    <d v="2025-09-28T01:42:08"/>
    <s v="https://etrain.info/train/Nagercoil-Express-16340/history?d=1y"/>
  </r>
  <r>
    <x v="75"/>
    <s v="Nagercoil Express"/>
    <s v="WADI"/>
    <x v="5"/>
    <n v="10"/>
    <n v="81.25"/>
    <n v="18.75"/>
    <n v="0"/>
    <n v="0"/>
    <d v="2025-09-28T01:42:51"/>
    <s v="https://etrain.info/train/Nagercoil-Express-16340/history?d=1y"/>
  </r>
  <r>
    <x v="75"/>
    <s v="Nagercoil Express"/>
    <s v="SDB"/>
    <x v="22"/>
    <n v="10"/>
    <n v="81.25"/>
    <n v="18.75"/>
    <n v="0"/>
    <n v="0"/>
    <d v="2025-09-28T01:42:53"/>
    <s v="https://etrain.info/train/Nagercoil-Express-16340/history?d=1y"/>
  </r>
  <r>
    <x v="75"/>
    <s v="Nagercoil Express"/>
    <s v="CVP"/>
    <x v="299"/>
    <n v="0"/>
    <n v="75"/>
    <n v="25"/>
    <n v="0"/>
    <n v="0"/>
    <d v="2025-09-28T01:42:03"/>
    <s v="https://etrain.info/train/Nagercoil-Express-16340/history?d=1y"/>
  </r>
  <r>
    <x v="75"/>
    <s v="Nagercoil Express"/>
    <s v="SRT"/>
    <x v="296"/>
    <n v="0"/>
    <n v="75"/>
    <n v="25"/>
    <n v="0"/>
    <n v="0"/>
    <d v="2025-09-28T01:42:06"/>
    <s v="https://etrain.info/train/Nagercoil-Express-16340/history?d=1y"/>
  </r>
  <r>
    <x v="75"/>
    <s v="Nagercoil Express"/>
    <s v="CTO"/>
    <x v="278"/>
    <n v="15"/>
    <n v="75"/>
    <n v="25"/>
    <n v="0"/>
    <n v="0"/>
    <d v="2025-09-28T01:42:29"/>
    <s v="https://etrain.info/train/Nagercoil-Express-16340/history?d=1y"/>
  </r>
  <r>
    <x v="75"/>
    <s v="Nagercoil Express"/>
    <s v="DMM"/>
    <x v="1"/>
    <n v="11"/>
    <n v="75"/>
    <n v="25"/>
    <n v="0"/>
    <n v="0"/>
    <d v="2025-09-28T01:42:38"/>
    <s v="https://etrain.info/train/Nagercoil-Express-16340/history?d=1y"/>
  </r>
  <r>
    <x v="75"/>
    <s v="Nagercoil Express"/>
    <s v="ATP"/>
    <x v="12"/>
    <n v="10"/>
    <n v="68.75"/>
    <n v="31.25"/>
    <n v="0"/>
    <n v="0"/>
    <d v="2025-09-28T01:42:40"/>
    <s v="https://etrain.info/train/Nagercoil-Express-16340/history?d=1y"/>
  </r>
  <r>
    <x v="75"/>
    <s v="Nagercoil Express"/>
    <s v="RC"/>
    <x v="7"/>
    <n v="0"/>
    <n v="68.75"/>
    <n v="31.25"/>
    <n v="0"/>
    <n v="0"/>
    <d v="2025-09-28T01:42:48"/>
    <s v="https://etrain.info/train/Nagercoil-Express-16340/history?d=1y"/>
  </r>
  <r>
    <x v="75"/>
    <s v="Nagercoil Express"/>
    <s v="PUNE"/>
    <x v="29"/>
    <n v="14"/>
    <n v="68.75"/>
    <n v="31.25"/>
    <n v="0"/>
    <n v="0"/>
    <d v="2025-09-28T01:43:03"/>
    <s v="https://etrain.info/train/Nagercoil-Express-16340/history?d=1y"/>
  </r>
  <r>
    <x v="75"/>
    <s v="Nagercoil Express"/>
    <s v="CSMT"/>
    <x v="85"/>
    <n v="17"/>
    <n v="62.5"/>
    <n v="37.5"/>
    <n v="0"/>
    <n v="0"/>
    <d v="2025-09-28T01:43:10"/>
    <s v="https://etrain.info/train/Nagercoil-Express-16340/history?d=1y"/>
  </r>
  <r>
    <x v="75"/>
    <s v="Nagercoil Express"/>
    <s v="MDU"/>
    <x v="294"/>
    <n v="19"/>
    <n v="56.25"/>
    <n v="31.25"/>
    <n v="12.5"/>
    <n v="0"/>
    <d v="2025-09-28T01:42:09"/>
    <s v="https://etrain.info/train/Nagercoil-Express-16340/history?d=1y"/>
  </r>
  <r>
    <x v="75"/>
    <s v="Nagercoil Express"/>
    <s v="SA"/>
    <x v="15"/>
    <n v="16"/>
    <n v="56.25"/>
    <n v="43.75"/>
    <n v="0"/>
    <n v="0"/>
    <d v="2025-09-28T01:42:20"/>
    <s v="https://etrain.info/train/Nagercoil-Express-16340/history?d=1y"/>
  </r>
  <r>
    <x v="75"/>
    <s v="Nagercoil Express"/>
    <s v="GTL"/>
    <x v="11"/>
    <n v="15"/>
    <n v="56.25"/>
    <n v="43.75"/>
    <n v="0"/>
    <n v="0"/>
    <d v="2025-09-28T01:42:42"/>
    <s v="https://etrain.info/train/Nagercoil-Express-16340/history?d=1y"/>
  </r>
  <r>
    <x v="75"/>
    <s v="Nagercoil Express"/>
    <s v="KLBG"/>
    <x v="26"/>
    <n v="17"/>
    <n v="56.25"/>
    <n v="43.75"/>
    <n v="0"/>
    <n v="0"/>
    <d v="2025-09-28T01:42:55"/>
    <s v="https://etrain.info/train/Nagercoil-Express-16340/history?d=1y"/>
  </r>
  <r>
    <x v="75"/>
    <s v="Nagercoil Express"/>
    <s v="SUR"/>
    <x v="21"/>
    <n v="18"/>
    <n v="43.75"/>
    <n v="56.25"/>
    <n v="0"/>
    <n v="0"/>
    <d v="2025-09-28T01:42:57"/>
    <s v="https://etrain.info/train/Nagercoil-Express-16340/history?d=1y"/>
  </r>
  <r>
    <x v="75"/>
    <s v="Nagercoil Express"/>
    <s v="KWV"/>
    <x v="27"/>
    <n v="19"/>
    <n v="43.75"/>
    <n v="56.25"/>
    <n v="0"/>
    <n v="0"/>
    <d v="2025-09-28T01:42:59"/>
    <s v="https://etrain.info/train/Nagercoil-Express-16340/history?d=1y"/>
  </r>
  <r>
    <x v="75"/>
    <s v="Nagercoil Express"/>
    <s v="DG"/>
    <x v="293"/>
    <n v="39"/>
    <n v="37.5"/>
    <n v="31.25"/>
    <n v="31.25"/>
    <n v="0"/>
    <d v="2025-09-28T01:42:14"/>
    <s v="https://etrain.info/train/Nagercoil-Express-16340/history?d=1y"/>
  </r>
  <r>
    <x v="75"/>
    <s v="Nagercoil Express"/>
    <s v="KRY"/>
    <x v="440"/>
    <n v="27"/>
    <n v="37.5"/>
    <n v="56.25"/>
    <n v="6.25"/>
    <n v="0"/>
    <d v="2025-09-28T01:42:36"/>
    <s v="https://etrain.info/train/Nagercoil-Express-16340/history?d=1y"/>
  </r>
  <r>
    <x v="75"/>
    <s v="Nagercoil Express"/>
    <s v="YG"/>
    <x v="9"/>
    <n v="19"/>
    <n v="37.5"/>
    <n v="62.5"/>
    <n v="0"/>
    <n v="0"/>
    <d v="2025-09-28T01:42:49"/>
    <s v="https://etrain.info/train/Nagercoil-Express-16340/history?d=1y"/>
  </r>
  <r>
    <x v="75"/>
    <s v="Nagercoil Express"/>
    <s v="KQN"/>
    <x v="303"/>
    <n v="0"/>
    <n v="25"/>
    <n v="37.5"/>
    <n v="37.5"/>
    <n v="0"/>
    <d v="2025-09-28T01:42:12"/>
    <s v="https://etrain.info/train/Nagercoil-Express-16340/history?d=1y"/>
  </r>
  <r>
    <x v="75"/>
    <s v="Nagercoil Express"/>
    <s v="NMKL"/>
    <x v="443"/>
    <n v="0"/>
    <n v="25"/>
    <n v="50"/>
    <n v="25"/>
    <n v="0"/>
    <d v="2025-09-28T01:42:18"/>
    <s v="https://etrain.info/train/Nagercoil-Express-16340/history?d=1y"/>
  </r>
  <r>
    <x v="75"/>
    <s v="Nagercoil Express"/>
    <s v="AD"/>
    <x v="14"/>
    <n v="24"/>
    <n v="25"/>
    <n v="75"/>
    <n v="0"/>
    <n v="0"/>
    <d v="2025-09-28T01:42:43"/>
    <s v="https://etrain.info/train/Nagercoil-Express-16340/history?d=1y"/>
  </r>
  <r>
    <x v="75"/>
    <s v="Nagercoil Express"/>
    <s v="MALM"/>
    <x v="10"/>
    <n v="24"/>
    <n v="18.75"/>
    <n v="75"/>
    <n v="6.25"/>
    <n v="0"/>
    <d v="2025-09-28T01:42:45"/>
    <s v="https://etrain.info/train/Nagercoil-Express-16340/history?d=1y"/>
  </r>
  <r>
    <x v="75"/>
    <s v="Nagercoil Express"/>
    <s v="DR"/>
    <x v="31"/>
    <n v="27"/>
    <n v="18.75"/>
    <n v="75"/>
    <n v="6.25"/>
    <n v="0"/>
    <d v="2025-09-28T01:43:08"/>
    <s v="https://etrain.info/train/Nagercoil-Express-16340/history?d=1y"/>
  </r>
  <r>
    <x v="75"/>
    <s v="Nagercoil Express"/>
    <s v="KRR"/>
    <x v="437"/>
    <n v="43"/>
    <n v="12.5"/>
    <n v="50"/>
    <n v="37.5"/>
    <n v="0"/>
    <d v="2025-09-28T01:42:15"/>
    <s v="https://etrain.info/train/Nagercoil-Express-16340/history?d=1y"/>
  </r>
  <r>
    <x v="75"/>
    <s v="Nagercoil Express"/>
    <s v="KYN"/>
    <x v="8"/>
    <n v="29"/>
    <n v="12.5"/>
    <n v="81.25"/>
    <n v="6.25"/>
    <n v="0"/>
    <d v="2025-09-28T01:43:05"/>
    <s v="https://etrain.info/train/Nagercoil-Express-16340/history?d=1y"/>
  </r>
  <r>
    <x v="75"/>
    <s v="Nagercoil Express"/>
    <s v="TNA"/>
    <x v="4"/>
    <n v="31"/>
    <n v="12.5"/>
    <n v="81.25"/>
    <n v="6.25"/>
    <n v="0"/>
    <d v="2025-09-28T01:43:06"/>
    <s v="https://etrain.info/train/Nagercoil-Express-16340/history?d=1y"/>
  </r>
  <r>
    <x v="75"/>
    <s v="Nagercoil Express"/>
    <s v="TPT"/>
    <x v="439"/>
    <n v="0"/>
    <n v="6.25"/>
    <n v="75"/>
    <n v="18.75"/>
    <n v="0"/>
    <d v="2025-09-28T01:42:25"/>
    <s v="https://etrain.info/train/Nagercoil-Express-16340/history?d=1y"/>
  </r>
  <r>
    <x v="75"/>
    <s v="Nagercoil Express"/>
    <s v="MPL"/>
    <x v="442"/>
    <n v="34"/>
    <n v="6.25"/>
    <n v="87.5"/>
    <n v="6.25"/>
    <n v="0"/>
    <d v="2025-09-28T01:42:34"/>
    <s v="https://etrain.info/train/Nagercoil-Express-16340/history?d=1y"/>
  </r>
  <r>
    <x v="75"/>
    <s v="Nagercoil Express"/>
    <s v="SLY"/>
    <x v="306"/>
    <n v="40"/>
    <n v="0"/>
    <n v="93.75"/>
    <n v="6.25"/>
    <n v="0"/>
    <d v="2025-09-28T01:42:22"/>
    <s v="https://etrain.info/train/Nagercoil-Express-16340/history?d=1y"/>
  </r>
  <r>
    <x v="75"/>
    <s v="Nagercoil Express"/>
    <s v="PAK"/>
    <x v="444"/>
    <n v="28"/>
    <n v="0"/>
    <n v="93.75"/>
    <n v="6.25"/>
    <n v="0"/>
    <d v="2025-09-28T01:42:31"/>
    <s v="https://etrain.info/train/Nagercoil-Express-16340/history?d=1y"/>
  </r>
  <r>
    <x v="75"/>
    <s v="Nagercoil Express"/>
    <s v="PIL"/>
    <x v="438"/>
    <n v="31"/>
    <n v="0"/>
    <n v="93.75"/>
    <n v="6.25"/>
    <n v="0"/>
    <d v="2025-09-28T01:42:32"/>
    <s v="https://etrain.info/train/Nagercoil-Express-16340/history?d=1y"/>
  </r>
  <r>
    <x v="76"/>
    <s v="Devagiri Express"/>
    <s v="CSMT"/>
    <x v="85"/>
    <n v="3"/>
    <n v="96.67"/>
    <n v="3.33"/>
    <n v="0"/>
    <n v="0"/>
    <d v="2025-09-27T18:53:20"/>
    <s v="https://etrain.info/train/Devagiri-Express-17057/history?d=1y"/>
  </r>
  <r>
    <x v="76"/>
    <s v="Devagiri Express"/>
    <s v="TNA"/>
    <x v="4"/>
    <n v="0"/>
    <n v="93.33"/>
    <n v="6.67"/>
    <n v="0"/>
    <n v="0"/>
    <d v="2025-09-27T18:53:24"/>
    <s v="https://etrain.info/train/Devagiri-Express-17057/history?d=1y"/>
  </r>
  <r>
    <x v="76"/>
    <s v="Devagiri Express"/>
    <s v="DR"/>
    <x v="31"/>
    <n v="10"/>
    <n v="90"/>
    <n v="10"/>
    <n v="0"/>
    <n v="0"/>
    <d v="2025-09-27T18:53:22"/>
    <s v="https://etrain.info/train/Devagiri-Express-17057/history?d=1y"/>
  </r>
  <r>
    <x v="76"/>
    <s v="Devagiri Express"/>
    <s v="LPI"/>
    <x v="445"/>
    <n v="42"/>
    <n v="76.67"/>
    <n v="10"/>
    <n v="13.33"/>
    <n v="0"/>
    <d v="2025-09-27T18:54:20"/>
    <s v="https://etrain.info/train/Devagiri-Express-17057/history?d=1y"/>
  </r>
  <r>
    <x v="76"/>
    <s v="Devagiri Express"/>
    <s v="BMT"/>
    <x v="446"/>
    <n v="36"/>
    <n v="70"/>
    <n v="13.33"/>
    <n v="16.670000000000002"/>
    <n v="0"/>
    <d v="2025-09-27T18:54:17"/>
    <s v="https://etrain.info/train/Devagiri-Express-17057/history?d=1y"/>
  </r>
  <r>
    <x v="76"/>
    <s v="Devagiri Express"/>
    <s v="RGO"/>
    <x v="447"/>
    <n v="17"/>
    <n v="66.67"/>
    <n v="30"/>
    <n v="3.33"/>
    <n v="0"/>
    <d v="2025-09-27T18:53:35"/>
    <s v="https://etrain.info/train/Devagiri-Express-17057/history?d=1y"/>
  </r>
  <r>
    <x v="76"/>
    <s v="Devagiri Express"/>
    <s v="AWB"/>
    <x v="448"/>
    <n v="22"/>
    <n v="60"/>
    <n v="33.33"/>
    <n v="6.67"/>
    <n v="0"/>
    <d v="2025-09-27T18:53:40"/>
    <s v="https://etrain.info/train/Devagiri-Express-17057/history?d=1y"/>
  </r>
  <r>
    <x v="76"/>
    <s v="Devagiri Express"/>
    <s v="LSR"/>
    <x v="449"/>
    <n v="0"/>
    <n v="50"/>
    <n v="46.67"/>
    <n v="3.33"/>
    <n v="0"/>
    <d v="2025-09-27T18:53:36"/>
    <s v="https://etrain.info/train/Devagiri-Express-17057/history?d=1y"/>
  </r>
  <r>
    <x v="76"/>
    <s v="Devagiri Express"/>
    <s v="MMR"/>
    <x v="100"/>
    <n v="20"/>
    <n v="43.33"/>
    <n v="53.33"/>
    <n v="3.33"/>
    <n v="0.01"/>
    <d v="2025-09-27T18:53:31"/>
    <s v="https://etrain.info/train/Devagiri-Express-17057/history?d=1y"/>
  </r>
  <r>
    <x v="76"/>
    <s v="Devagiri Express"/>
    <s v="KYN"/>
    <x v="8"/>
    <n v="16"/>
    <n v="40"/>
    <n v="60"/>
    <n v="0"/>
    <n v="0"/>
    <d v="2025-09-27T18:53:25"/>
    <s v="https://etrain.info/train/Devagiri-Express-17057/history?d=1y"/>
  </r>
  <r>
    <x v="76"/>
    <s v="Devagiri Express"/>
    <s v="KSRA"/>
    <x v="96"/>
    <n v="21"/>
    <n v="36.67"/>
    <n v="63.33"/>
    <n v="0"/>
    <n v="0"/>
    <d v="2025-09-27T18:53:27"/>
    <s v="https://etrain.info/train/Devagiri-Express-17057/history?d=1y"/>
  </r>
  <r>
    <x v="76"/>
    <s v="Devagiri Express"/>
    <s v="BMO"/>
    <x v="450"/>
    <n v="35"/>
    <n v="36.67"/>
    <n v="46.67"/>
    <n v="16.670000000000002"/>
    <n v="0"/>
    <d v="2025-09-27T18:54:12"/>
    <s v="https://etrain.info/train/Devagiri-Express-17057/history?d=1y"/>
  </r>
  <r>
    <x v="76"/>
    <s v="Devagiri Express"/>
    <s v="SC"/>
    <x v="451"/>
    <n v="52"/>
    <n v="36.67"/>
    <n v="46.67"/>
    <n v="16.670000000000002"/>
    <n v="0"/>
    <d v="2025-09-27T18:54:15"/>
    <s v="https://etrain.info/train/Devagiri-Express-17057/history?d=1y"/>
  </r>
  <r>
    <x v="76"/>
    <s v="Devagiri Express"/>
    <s v="IGP"/>
    <x v="452"/>
    <n v="22"/>
    <n v="33.33"/>
    <n v="66.67"/>
    <n v="0"/>
    <n v="0"/>
    <d v="2025-09-27T18:53:28"/>
    <s v="https://etrain.info/train/Devagiri-Express-17057/history?d=1y"/>
  </r>
  <r>
    <x v="76"/>
    <s v="Devagiri Express"/>
    <s v="MUE"/>
    <x v="453"/>
    <n v="0"/>
    <n v="33.33"/>
    <n v="53.33"/>
    <n v="13.33"/>
    <n v="0"/>
    <d v="2025-09-27T18:53:54"/>
    <s v="https://etrain.info/train/Devagiri-Express-17057/history?d=1y"/>
  </r>
  <r>
    <x v="76"/>
    <s v="Devagiri Express"/>
    <s v="NK"/>
    <x v="102"/>
    <n v="23"/>
    <n v="30"/>
    <n v="70"/>
    <n v="0"/>
    <n v="0"/>
    <d v="2025-09-27T18:53:30"/>
    <s v="https://etrain.info/train/Devagiri-Express-17057/history?d=1y"/>
  </r>
  <r>
    <x v="76"/>
    <s v="Devagiri Express"/>
    <s v="PAU"/>
    <x v="454"/>
    <n v="0"/>
    <n v="26.67"/>
    <n v="63.33"/>
    <n v="10"/>
    <n v="0"/>
    <d v="2025-09-27T18:53:49"/>
    <s v="https://etrain.info/train/Devagiri-Express-17057/history?d=1y"/>
  </r>
  <r>
    <x v="76"/>
    <s v="Devagiri Express"/>
    <s v="UMRI"/>
    <x v="455"/>
    <n v="38"/>
    <n v="26.67"/>
    <n v="53.33"/>
    <n v="20"/>
    <n v="0"/>
    <d v="2025-09-27T18:53:56"/>
    <s v="https://etrain.info/train/Devagiri-Express-17057/history?d=1y"/>
  </r>
  <r>
    <x v="76"/>
    <s v="Devagiri Express"/>
    <s v="NED"/>
    <x v="456"/>
    <n v="37"/>
    <n v="20"/>
    <n v="66.67"/>
    <n v="13.33"/>
    <n v="0"/>
    <d v="2025-09-27T18:53:53"/>
    <s v="https://etrain.info/train/Devagiri-Express-17057/history?d=1y"/>
  </r>
  <r>
    <x v="76"/>
    <s v="Devagiri Express"/>
    <s v="KMC"/>
    <x v="457"/>
    <n v="57"/>
    <n v="13.33"/>
    <n v="50"/>
    <n v="36.67"/>
    <n v="0"/>
    <d v="2025-09-27T18:54:05"/>
    <s v="https://etrain.info/train/Devagiri-Express-17057/history?d=1y"/>
  </r>
  <r>
    <x v="76"/>
    <s v="Devagiri Express"/>
    <s v="AKE"/>
    <x v="458"/>
    <n v="57"/>
    <n v="13.33"/>
    <n v="46.67"/>
    <n v="40"/>
    <n v="0"/>
    <d v="2025-09-27T18:54:06"/>
    <s v="https://etrain.info/train/Devagiri-Express-17057/history?d=1y"/>
  </r>
  <r>
    <x v="76"/>
    <s v="Devagiri Express"/>
    <s v="MZL"/>
    <x v="459"/>
    <n v="60"/>
    <n v="13.33"/>
    <n v="43.33"/>
    <n v="43.33"/>
    <n v="0.01"/>
    <d v="2025-09-27T18:54:08"/>
    <s v="https://etrain.info/train/Devagiri-Express-17057/history?d=1y"/>
  </r>
  <r>
    <x v="76"/>
    <s v="Devagiri Express"/>
    <s v="PBN"/>
    <x v="460"/>
    <n v="48"/>
    <n v="10"/>
    <n v="66.67"/>
    <n v="23.33"/>
    <n v="0"/>
    <d v="2025-09-27T18:53:47"/>
    <s v="https://etrain.info/train/Devagiri-Express-17057/history?d=1y"/>
  </r>
  <r>
    <x v="76"/>
    <s v="Devagiri Express"/>
    <s v="DAB"/>
    <x v="461"/>
    <n v="44"/>
    <n v="10"/>
    <n v="70"/>
    <n v="20"/>
    <n v="0"/>
    <d v="2025-09-27T18:53:58"/>
    <s v="https://etrain.info/train/Devagiri-Express-17057/history?d=1y"/>
  </r>
  <r>
    <x v="76"/>
    <s v="Devagiri Express"/>
    <s v="SELU"/>
    <x v="462"/>
    <n v="58"/>
    <n v="6.67"/>
    <n v="60"/>
    <n v="33.33"/>
    <n v="0"/>
    <d v="2025-09-27T18:53:44"/>
    <s v="https://etrain.info/train/Devagiri-Express-17057/history?d=1y"/>
  </r>
  <r>
    <x v="76"/>
    <s v="Devagiri Express"/>
    <s v="BSX"/>
    <x v="463"/>
    <n v="51"/>
    <n v="6.67"/>
    <n v="66.67"/>
    <n v="26.67"/>
    <n v="0"/>
    <d v="2025-09-27T18:54:02"/>
    <s v="https://etrain.info/train/Devagiri-Express-17057/history?d=1y"/>
  </r>
  <r>
    <x v="76"/>
    <s v="Devagiri Express"/>
    <s v="NZB"/>
    <x v="464"/>
    <n v="55"/>
    <n v="6.67"/>
    <n v="63.33"/>
    <n v="30"/>
    <n v="0"/>
    <d v="2025-09-27T18:54:03"/>
    <s v="https://etrain.info/train/Devagiri-Express-17057/history?d=1y"/>
  </r>
  <r>
    <x v="76"/>
    <s v="Devagiri Express"/>
    <s v="PTU"/>
    <x v="465"/>
    <n v="0"/>
    <n v="3.33"/>
    <n v="46.67"/>
    <n v="50"/>
    <n v="0"/>
    <d v="2025-09-27T18:53:42"/>
    <s v="https://etrain.info/train/Devagiri-Express-17057/history?d=1y"/>
  </r>
  <r>
    <x v="76"/>
    <s v="Devagiri Express"/>
    <s v="MVO"/>
    <x v="466"/>
    <n v="54"/>
    <n v="3.33"/>
    <n v="70"/>
    <n v="26.67"/>
    <n v="0"/>
    <d v="2025-09-27T18:53:46"/>
    <s v="https://etrain.info/train/Devagiri-Express-17057/history?d=1y"/>
  </r>
  <r>
    <x v="77"/>
    <s v="Devagiri Express"/>
    <s v="LPI"/>
    <x v="445"/>
    <n v="2"/>
    <n v="96.67"/>
    <n v="3.33"/>
    <n v="0"/>
    <n v="0"/>
    <d v="2025-09-27T18:54:26"/>
    <s v="https://etrain.info/train/Devagiri-Express-17058/history?d=1y"/>
  </r>
  <r>
    <x v="77"/>
    <s v="Devagiri Express"/>
    <s v="BMT"/>
    <x v="446"/>
    <n v="4"/>
    <n v="96.67"/>
    <n v="0"/>
    <n v="3.33"/>
    <n v="0"/>
    <d v="2025-09-27T18:54:30"/>
    <s v="https://etrain.info/train/Devagiri-Express-17058/history?d=1y"/>
  </r>
  <r>
    <x v="77"/>
    <s v="Devagiri Express"/>
    <s v="BMO"/>
    <x v="450"/>
    <n v="5"/>
    <n v="90"/>
    <n v="10"/>
    <n v="0"/>
    <n v="0"/>
    <d v="2025-09-27T18:54:33"/>
    <s v="https://etrain.info/train/Devagiri-Express-17058/history?d=1y"/>
  </r>
  <r>
    <x v="77"/>
    <s v="Devagiri Express"/>
    <s v="SC"/>
    <x v="451"/>
    <n v="0"/>
    <n v="86.67"/>
    <n v="13.33"/>
    <n v="0"/>
    <n v="0"/>
    <d v="2025-09-27T18:54:32"/>
    <s v="https://etrain.info/train/Devagiri-Express-17058/history?d=1y"/>
  </r>
  <r>
    <x v="77"/>
    <s v="Devagiri Express"/>
    <s v="IGP"/>
    <x v="452"/>
    <n v="39"/>
    <n v="83.33"/>
    <n v="3.33"/>
    <n v="13.33"/>
    <n v="0.01"/>
    <d v="2025-09-27T18:55:15"/>
    <s v="https://etrain.info/train/Devagiri-Express-17058/history?d=1y"/>
  </r>
  <r>
    <x v="77"/>
    <s v="Devagiri Express"/>
    <s v="CSMT"/>
    <x v="85"/>
    <n v="39"/>
    <n v="83.33"/>
    <n v="3.33"/>
    <n v="13.33"/>
    <n v="0.01"/>
    <d v="2025-09-27T18:55:28"/>
    <s v="https://etrain.info/train/Devagiri-Express-17058/history?d=1y"/>
  </r>
  <r>
    <x v="77"/>
    <s v="Devagiri Express"/>
    <s v="PBN"/>
    <x v="460"/>
    <n v="30"/>
    <n v="80"/>
    <n v="10"/>
    <n v="10"/>
    <n v="0"/>
    <d v="2025-09-27T18:54:58"/>
    <s v="https://etrain.info/train/Devagiri-Express-17058/history?d=1y"/>
  </r>
  <r>
    <x v="77"/>
    <s v="Devagiri Express"/>
    <s v="MUE"/>
    <x v="453"/>
    <n v="29"/>
    <n v="73.33"/>
    <n v="16.670000000000002"/>
    <n v="10"/>
    <n v="0"/>
    <d v="2025-09-27T18:54:52"/>
    <s v="https://etrain.info/train/Devagiri-Express-17058/history?d=1y"/>
  </r>
  <r>
    <x v="77"/>
    <s v="Devagiri Express"/>
    <s v="PAU"/>
    <x v="454"/>
    <n v="24"/>
    <n v="70"/>
    <n v="23.33"/>
    <n v="6.67"/>
    <n v="0"/>
    <d v="2025-09-27T18:54:57"/>
    <s v="https://etrain.info/train/Devagiri-Express-17058/history?d=1y"/>
  </r>
  <r>
    <x v="77"/>
    <s v="Devagiri Express"/>
    <s v="MVO"/>
    <x v="466"/>
    <n v="36"/>
    <n v="70"/>
    <n v="20"/>
    <n v="10"/>
    <n v="0"/>
    <d v="2025-09-27T18:55:00"/>
    <s v="https://etrain.info/train/Devagiri-Express-17058/history?d=1y"/>
  </r>
  <r>
    <x v="77"/>
    <s v="Devagiri Express"/>
    <s v="NED"/>
    <x v="456"/>
    <n v="29"/>
    <n v="66.67"/>
    <n v="23.33"/>
    <n v="10"/>
    <n v="0"/>
    <d v="2025-09-27T18:54:53"/>
    <s v="https://etrain.info/train/Devagiri-Express-17058/history?d=1y"/>
  </r>
  <r>
    <x v="77"/>
    <s v="Devagiri Express"/>
    <s v="SELU"/>
    <x v="462"/>
    <n v="35"/>
    <n v="60"/>
    <n v="30"/>
    <n v="10"/>
    <n v="0"/>
    <d v="2025-09-27T18:55:02"/>
    <s v="https://etrain.info/train/Devagiri-Express-17058/history?d=1y"/>
  </r>
  <r>
    <x v="77"/>
    <s v="Devagiri Express"/>
    <s v="RGO"/>
    <x v="447"/>
    <n v="41"/>
    <n v="53.33"/>
    <n v="36.67"/>
    <n v="10"/>
    <n v="0"/>
    <d v="2025-09-27T18:55:08"/>
    <s v="https://etrain.info/train/Devagiri-Express-17058/history?d=1y"/>
  </r>
  <r>
    <x v="77"/>
    <s v="Devagiri Express"/>
    <s v="MMR"/>
    <x v="100"/>
    <n v="53"/>
    <n v="53.33"/>
    <n v="33.33"/>
    <n v="13.33"/>
    <n v="0.01"/>
    <d v="2025-09-27T18:55:10"/>
    <s v="https://etrain.info/train/Devagiri-Express-17058/history?d=1y"/>
  </r>
  <r>
    <x v="77"/>
    <s v="Devagiri Express"/>
    <s v="LSR"/>
    <x v="449"/>
    <n v="43"/>
    <n v="50"/>
    <n v="40"/>
    <n v="10"/>
    <n v="0"/>
    <d v="2025-09-27T18:55:07"/>
    <s v="https://etrain.info/train/Devagiri-Express-17058/history?d=1y"/>
  </r>
  <r>
    <x v="77"/>
    <s v="Devagiri Express"/>
    <s v="KYN"/>
    <x v="8"/>
    <n v="53"/>
    <n v="46.67"/>
    <n v="40"/>
    <n v="13.33"/>
    <n v="0"/>
    <d v="2025-09-27T18:55:19"/>
    <s v="https://etrain.info/train/Devagiri-Express-17058/history?d=1y"/>
  </r>
  <r>
    <x v="77"/>
    <s v="Devagiri Express"/>
    <s v="MZL"/>
    <x v="459"/>
    <n v="17"/>
    <n v="43.33"/>
    <n v="56.67"/>
    <n v="0"/>
    <n v="0"/>
    <d v="2025-09-27T18:54:35"/>
    <s v="https://etrain.info/train/Devagiri-Express-17058/history?d=1y"/>
  </r>
  <r>
    <x v="77"/>
    <s v="Devagiri Express"/>
    <s v="AKE"/>
    <x v="458"/>
    <n v="21"/>
    <n v="33.33"/>
    <n v="66.67"/>
    <n v="0"/>
    <n v="0"/>
    <d v="2025-09-27T18:54:37"/>
    <s v="https://etrain.info/train/Devagiri-Express-17058/history?d=1y"/>
  </r>
  <r>
    <x v="77"/>
    <s v="Devagiri Express"/>
    <s v="PTU"/>
    <x v="465"/>
    <n v="46"/>
    <n v="33.33"/>
    <n v="56.67"/>
    <n v="10"/>
    <n v="0"/>
    <d v="2025-09-27T18:55:03"/>
    <s v="https://etrain.info/train/Devagiri-Express-17058/history?d=1y"/>
  </r>
  <r>
    <x v="77"/>
    <s v="Devagiri Express"/>
    <s v="AWB"/>
    <x v="448"/>
    <n v="49"/>
    <n v="20"/>
    <n v="70"/>
    <n v="10"/>
    <n v="0"/>
    <d v="2025-09-27T18:55:05"/>
    <s v="https://etrain.info/train/Devagiri-Express-17058/history?d=1y"/>
  </r>
  <r>
    <x v="77"/>
    <s v="Devagiri Express"/>
    <s v="DR"/>
    <x v="31"/>
    <n v="61"/>
    <n v="20"/>
    <n v="66.67"/>
    <n v="13.33"/>
    <n v="0"/>
    <d v="2025-09-27T18:55:26"/>
    <s v="https://etrain.info/train/Devagiri-Express-17058/history?d=1y"/>
  </r>
  <r>
    <x v="77"/>
    <s v="Devagiri Express"/>
    <s v="KMC"/>
    <x v="457"/>
    <n v="29"/>
    <n v="16.670000000000002"/>
    <n v="80"/>
    <n v="3.33"/>
    <n v="0"/>
    <d v="2025-09-27T18:54:40"/>
    <s v="https://etrain.info/train/Devagiri-Express-17058/history?d=1y"/>
  </r>
  <r>
    <x v="77"/>
    <s v="Devagiri Express"/>
    <s v="NK"/>
    <x v="102"/>
    <n v="62"/>
    <n v="16.670000000000002"/>
    <n v="70"/>
    <n v="13.33"/>
    <n v="0"/>
    <d v="2025-09-27T18:55:14"/>
    <s v="https://etrain.info/train/Devagiri-Express-17058/history?d=1y"/>
  </r>
  <r>
    <x v="77"/>
    <s v="Devagiri Express"/>
    <s v="NZB"/>
    <x v="464"/>
    <n v="42"/>
    <n v="13.33"/>
    <n v="70"/>
    <n v="16.670000000000002"/>
    <n v="0"/>
    <d v="2025-09-27T18:54:42"/>
    <s v="https://etrain.info/train/Devagiri-Express-17058/history?d=1y"/>
  </r>
  <r>
    <x v="77"/>
    <s v="Devagiri Express"/>
    <s v="TNA"/>
    <x v="4"/>
    <n v="62"/>
    <n v="10"/>
    <n v="76.67"/>
    <n v="13.33"/>
    <n v="0"/>
    <d v="2025-09-27T18:55:22"/>
    <s v="https://etrain.info/train/Devagiri-Express-17058/history?d=1y"/>
  </r>
  <r>
    <x v="77"/>
    <s v="Devagiri Express"/>
    <s v="BSX"/>
    <x v="463"/>
    <n v="54"/>
    <n v="6.67"/>
    <n v="80"/>
    <n v="13.33"/>
    <n v="0"/>
    <d v="2025-09-27T18:54:45"/>
    <s v="https://etrain.info/train/Devagiri-Express-17058/history?d=1y"/>
  </r>
  <r>
    <x v="77"/>
    <s v="Devagiri Express"/>
    <s v="DAB"/>
    <x v="461"/>
    <n v="57"/>
    <n v="6.67"/>
    <n v="80"/>
    <n v="13.33"/>
    <n v="0"/>
    <d v="2025-09-27T18:54:49"/>
    <s v="https://etrain.info/train/Devagiri-Express-17058/history?d=1y"/>
  </r>
  <r>
    <x v="77"/>
    <s v="Devagiri Express"/>
    <s v="UMRI"/>
    <x v="455"/>
    <n v="53"/>
    <n v="6.67"/>
    <n v="83.33"/>
    <n v="10"/>
    <n v="0"/>
    <d v="2025-09-27T18:54:50"/>
    <s v="https://etrain.info/train/Devagiri-Express-17058/history?d=1y"/>
  </r>
  <r>
    <x v="78"/>
    <s v="Vande Bharat"/>
    <s v="MS"/>
    <x v="285"/>
    <n v="1"/>
    <n v="100"/>
    <n v="0"/>
    <n v="0"/>
    <n v="0"/>
    <d v="2025-09-27T18:00:17"/>
    <s v="https://etrain.info/train/Vande-Bharat-20665/history?d=1y"/>
  </r>
  <r>
    <x v="78"/>
    <s v="Vande Bharat"/>
    <s v="TBM"/>
    <x v="287"/>
    <n v="3"/>
    <n v="100"/>
    <n v="0"/>
    <n v="0"/>
    <n v="0"/>
    <d v="2025-09-27T18:00:19"/>
    <s v="https://etrain.info/train/Vande-Bharat-20665/history?d=1y"/>
  </r>
  <r>
    <x v="78"/>
    <s v="Vande Bharat"/>
    <s v="TEN"/>
    <x v="286"/>
    <n v="0"/>
    <n v="96.15"/>
    <n v="0"/>
    <n v="3.85"/>
    <n v="0"/>
    <d v="2025-09-27T18:00:41"/>
    <s v="https://etrain.info/train/Vande-Bharat-20665/history?d=1y"/>
  </r>
  <r>
    <x v="78"/>
    <s v="Vande Bharat"/>
    <s v="VM"/>
    <x v="289"/>
    <n v="7"/>
    <n v="92.31"/>
    <n v="7.69"/>
    <n v="0"/>
    <n v="0"/>
    <d v="2025-09-27T18:00:23"/>
    <s v="https://etrain.info/train/Vande-Bharat-20665/history?d=1y"/>
  </r>
  <r>
    <x v="78"/>
    <s v="Vande Bharat"/>
    <s v="TPJ"/>
    <x v="291"/>
    <n v="7"/>
    <n v="92.31"/>
    <n v="7.69"/>
    <n v="0"/>
    <n v="0"/>
    <d v="2025-09-27T18:00:26"/>
    <s v="https://etrain.info/train/Vande-Bharat-20665/history?d=1y"/>
  </r>
  <r>
    <x v="78"/>
    <s v="Vande Bharat"/>
    <s v="DG"/>
    <x v="293"/>
    <n v="11"/>
    <n v="88.46"/>
    <n v="7.69"/>
    <n v="3.85"/>
    <n v="0"/>
    <d v="2025-09-27T18:00:30"/>
    <s v="https://etrain.info/train/Vande-Bharat-20665/history?d=1y"/>
  </r>
  <r>
    <x v="78"/>
    <s v="Vande Bharat"/>
    <s v="MDU"/>
    <x v="294"/>
    <n v="15"/>
    <n v="80.77"/>
    <n v="15.38"/>
    <n v="3.85"/>
    <n v="0"/>
    <d v="2025-09-27T18:00:34"/>
    <s v="https://etrain.info/train/Vande-Bharat-20665/history?d=1y"/>
  </r>
  <r>
    <x v="78"/>
    <s v="Vande Bharat"/>
    <s v="VPT"/>
    <x v="295"/>
    <n v="17"/>
    <n v="61.54"/>
    <n v="34.619999999999997"/>
    <n v="3.85"/>
    <n v="0"/>
    <d v="2025-09-27T18:00:38"/>
    <s v="https://etrain.info/train/Vande-Bharat-20665/history?d=1y"/>
  </r>
  <r>
    <x v="79"/>
    <s v="Vande Bharat"/>
    <s v="TEN"/>
    <x v="286"/>
    <n v="0"/>
    <n v="100"/>
    <n v="0"/>
    <n v="0"/>
    <n v="0"/>
    <d v="2025-09-27T18:00:45"/>
    <s v="https://etrain.info/train/Vande-Bharat-20666/history?d=1y"/>
  </r>
  <r>
    <x v="79"/>
    <s v="Vande Bharat"/>
    <s v="VPT"/>
    <x v="295"/>
    <n v="0"/>
    <n v="100"/>
    <n v="0"/>
    <n v="0"/>
    <n v="0"/>
    <d v="2025-09-27T18:00:48"/>
    <s v="https://etrain.info/train/Vande-Bharat-20666/history?d=1y"/>
  </r>
  <r>
    <x v="79"/>
    <s v="Vande Bharat"/>
    <s v="MDU"/>
    <x v="294"/>
    <n v="2"/>
    <n v="100"/>
    <n v="0"/>
    <n v="0"/>
    <n v="0"/>
    <d v="2025-09-27T18:00:50"/>
    <s v="https://etrain.info/train/Vande-Bharat-20666/history?d=1y"/>
  </r>
  <r>
    <x v="79"/>
    <s v="Vande Bharat"/>
    <s v="TPJ"/>
    <x v="291"/>
    <n v="3"/>
    <n v="100"/>
    <n v="0"/>
    <n v="0"/>
    <n v="0"/>
    <d v="2025-09-27T18:00:56"/>
    <s v="https://etrain.info/train/Vande-Bharat-20666/history?d=1y"/>
  </r>
  <r>
    <x v="79"/>
    <s v="Vande Bharat"/>
    <s v="DG"/>
    <x v="293"/>
    <n v="9"/>
    <n v="96.15"/>
    <n v="3.85"/>
    <n v="0"/>
    <n v="0"/>
    <d v="2025-09-27T18:00:54"/>
    <s v="https://etrain.info/train/Vande-Bharat-20666/history?d=1y"/>
  </r>
  <r>
    <x v="79"/>
    <s v="Vande Bharat"/>
    <s v="VM"/>
    <x v="289"/>
    <n v="10"/>
    <n v="92.31"/>
    <n v="7.69"/>
    <n v="0"/>
    <n v="0"/>
    <d v="2025-09-27T18:01:00"/>
    <s v="https://etrain.info/train/Vande-Bharat-20666/history?d=1y"/>
  </r>
  <r>
    <x v="79"/>
    <s v="Vande Bharat"/>
    <s v="MS"/>
    <x v="285"/>
    <n v="4"/>
    <n v="92.31"/>
    <n v="7.69"/>
    <n v="0"/>
    <n v="0"/>
    <d v="2025-09-27T18:01:05"/>
    <s v="https://etrain.info/train/Vande-Bharat-20666/history?d=1y"/>
  </r>
  <r>
    <x v="79"/>
    <s v="Vande Bharat"/>
    <s v="TBM"/>
    <x v="287"/>
    <n v="20"/>
    <n v="19.23"/>
    <n v="80.77"/>
    <n v="0"/>
    <n v="0"/>
    <d v="2025-09-27T18:01:01"/>
    <s v="https://etrain.info/train/Vande-Bharat-20666/history?d=1y"/>
  </r>
  <r>
    <x v="80"/>
    <s v="Mumbai Vande Bharat"/>
    <s v="CSMT"/>
    <x v="85"/>
    <n v="1"/>
    <n v="96.67"/>
    <n v="3.33"/>
    <n v="0"/>
    <n v="0"/>
    <d v="2025-09-28T02:01:12"/>
    <s v="https://etrain.info/train/Mumbai-Vande-Bharat-22221/history?d=1y"/>
  </r>
  <r>
    <x v="80"/>
    <s v="Mumbai Vande Bharat"/>
    <s v="VGLJ"/>
    <x v="59"/>
    <n v="9"/>
    <n v="93.33"/>
    <n v="3.33"/>
    <n v="3.33"/>
    <n v="0.01"/>
    <d v="2025-09-28T02:01:27"/>
    <s v="https://etrain.info/train/Mumbai-Vande-Bharat-22221/history?d=1y"/>
  </r>
  <r>
    <x v="80"/>
    <s v="Mumbai Vande Bharat"/>
    <s v="AGC"/>
    <x v="61"/>
    <n v="0"/>
    <n v="93.33"/>
    <n v="3.33"/>
    <n v="3.33"/>
    <n v="0"/>
    <d v="2025-09-28T02:01:30"/>
    <s v="https://etrain.info/train/Mumbai-Vande-Bharat-22221/history?d=1y"/>
  </r>
  <r>
    <x v="80"/>
    <s v="Mumbai Vande Bharat"/>
    <s v="NZM"/>
    <x v="84"/>
    <n v="0"/>
    <n v="90"/>
    <n v="6.67"/>
    <n v="3.33"/>
    <n v="0"/>
    <d v="2025-09-28T02:01:32"/>
    <s v="https://etrain.info/train/Mumbai-Vande-Bharat-22221/history?d=1y"/>
  </r>
  <r>
    <x v="80"/>
    <s v="Mumbai Vande Bharat"/>
    <s v="KYN"/>
    <x v="8"/>
    <n v="9"/>
    <n v="86.67"/>
    <n v="13.33"/>
    <n v="0"/>
    <n v="0"/>
    <d v="2025-09-28T02:01:16"/>
    <s v="https://etrain.info/train/Mumbai-Vande-Bharat-22221/history?d=1y"/>
  </r>
  <r>
    <x v="80"/>
    <s v="Mumbai Vande Bharat"/>
    <s v="BPL"/>
    <x v="56"/>
    <n v="12"/>
    <n v="86.67"/>
    <n v="10"/>
    <n v="3.33"/>
    <n v="0"/>
    <d v="2025-09-28T02:01:25"/>
    <s v="https://etrain.info/train/Mumbai-Vande-Bharat-22221/history?d=1y"/>
  </r>
  <r>
    <x v="80"/>
    <s v="Mumbai Vande Bharat"/>
    <s v="GWL"/>
    <x v="64"/>
    <n v="14"/>
    <n v="83.33"/>
    <n v="13.33"/>
    <n v="3.33"/>
    <n v="0.01"/>
    <d v="2025-09-28T02:01:28"/>
    <s v="https://etrain.info/train/Mumbai-Vande-Bharat-22221/history?d=1y"/>
  </r>
  <r>
    <x v="80"/>
    <s v="Mumbai Vande Bharat"/>
    <s v="BSL"/>
    <x v="99"/>
    <n v="12"/>
    <n v="80"/>
    <n v="20"/>
    <n v="0"/>
    <n v="0"/>
    <d v="2025-09-28T02:01:22"/>
    <s v="https://etrain.info/train/Mumbai-Vande-Bharat-22221/history?d=1y"/>
  </r>
  <r>
    <x v="80"/>
    <s v="Mumbai Vande Bharat"/>
    <s v="NK"/>
    <x v="102"/>
    <n v="0"/>
    <n v="13.33"/>
    <n v="86.67"/>
    <n v="0"/>
    <n v="0"/>
    <d v="2025-09-28T02:01:18"/>
    <s v="https://etrain.info/train/Mumbai-Vande-Bharat-22221/history?d=1y"/>
  </r>
  <r>
    <x v="80"/>
    <s v="Mumbai Vande Bharat"/>
    <s v="JL"/>
    <x v="109"/>
    <n v="0"/>
    <n v="10"/>
    <n v="90"/>
    <n v="0"/>
    <n v="0"/>
    <d v="2025-09-28T02:01:20"/>
    <s v="https://etrain.info/train/Mumbai-Vande-Bharat-22221/history?d=1y"/>
  </r>
  <r>
    <x v="81"/>
    <s v="Mumbai Vande Bharat"/>
    <s v="NZM"/>
    <x v="84"/>
    <n v="1"/>
    <n v="96.67"/>
    <n v="3.33"/>
    <n v="0"/>
    <n v="0"/>
    <d v="2025-09-28T02:01:39"/>
    <s v="https://etrain.info/train/Mumbai-Vande-Bharat-22222/history?d=1y"/>
  </r>
  <r>
    <x v="81"/>
    <s v="Mumbai Vande Bharat"/>
    <s v="VGLJ"/>
    <x v="59"/>
    <n v="5"/>
    <n v="93.33"/>
    <n v="6.67"/>
    <n v="0"/>
    <n v="0"/>
    <d v="2025-09-28T02:01:46"/>
    <s v="https://etrain.info/train/Mumbai-Vande-Bharat-22222/history?d=1y"/>
  </r>
  <r>
    <x v="81"/>
    <s v="Mumbai Vande Bharat"/>
    <s v="CSMT"/>
    <x v="85"/>
    <n v="0"/>
    <n v="83.33"/>
    <n v="10"/>
    <n v="6.67"/>
    <n v="0"/>
    <d v="2025-09-28T02:02:03"/>
    <s v="https://etrain.info/train/Mumbai-Vande-Bharat-22222/history?d=1y"/>
  </r>
  <r>
    <x v="81"/>
    <s v="Mumbai Vande Bharat"/>
    <s v="GWL"/>
    <x v="64"/>
    <n v="13"/>
    <n v="80"/>
    <n v="20"/>
    <n v="0"/>
    <n v="0"/>
    <d v="2025-09-28T02:01:42"/>
    <s v="https://etrain.info/train/Mumbai-Vande-Bharat-22222/history?d=1y"/>
  </r>
  <r>
    <x v="81"/>
    <s v="Mumbai Vande Bharat"/>
    <s v="AGC"/>
    <x v="61"/>
    <n v="16"/>
    <n v="70"/>
    <n v="30"/>
    <n v="0"/>
    <n v="0"/>
    <d v="2025-09-28T02:01:41"/>
    <s v="https://etrain.info/train/Mumbai-Vande-Bharat-22222/history?d=1y"/>
  </r>
  <r>
    <x v="81"/>
    <s v="Mumbai Vande Bharat"/>
    <s v="BSL"/>
    <x v="99"/>
    <n v="22"/>
    <n v="60"/>
    <n v="36.67"/>
    <n v="3.33"/>
    <n v="0"/>
    <d v="2025-09-28T02:01:51"/>
    <s v="https://etrain.info/train/Mumbai-Vande-Bharat-22222/history?d=1y"/>
  </r>
  <r>
    <x v="81"/>
    <s v="Mumbai Vande Bharat"/>
    <s v="KYN"/>
    <x v="8"/>
    <n v="22"/>
    <n v="56.67"/>
    <n v="40"/>
    <n v="3.33"/>
    <n v="0"/>
    <d v="2025-09-28T02:02:00"/>
    <s v="https://etrain.info/train/Mumbai-Vande-Bharat-22222/history?d=1y"/>
  </r>
  <r>
    <x v="81"/>
    <s v="Mumbai Vande Bharat"/>
    <s v="BPL"/>
    <x v="56"/>
    <n v="23"/>
    <n v="53.33"/>
    <n v="43.33"/>
    <n v="3.33"/>
    <n v="0.01"/>
    <d v="2025-09-28T02:01:48"/>
    <s v="https://etrain.info/train/Mumbai-Vande-Bharat-22222/history?d=1y"/>
  </r>
  <r>
    <x v="81"/>
    <s v="Mumbai Vande Bharat"/>
    <s v="NK"/>
    <x v="102"/>
    <n v="23"/>
    <n v="53.33"/>
    <n v="43.33"/>
    <n v="3.33"/>
    <n v="0.01"/>
    <d v="2025-09-28T02:01:57"/>
    <s v="https://etrain.info/train/Mumbai-Vande-Bharat-22222/history?d=1y"/>
  </r>
  <r>
    <x v="81"/>
    <s v="Mumbai Vande Bharat"/>
    <s v="JL"/>
    <x v="109"/>
    <n v="25"/>
    <n v="40"/>
    <n v="56.67"/>
    <n v="3.33"/>
    <n v="0"/>
    <d v="2025-09-28T02:01:55"/>
    <s v="https://etrain.info/train/Mumbai-Vande-Bharat-22222/history?d=1y"/>
  </r>
  <r>
    <x v="82"/>
    <s v="Chennai Vande Bharat"/>
    <s v="CSMT"/>
    <x v="85"/>
    <n v="2"/>
    <n v="100"/>
    <n v="0"/>
    <n v="0"/>
    <n v="0"/>
    <d v="2025-09-28T02:02:07"/>
    <s v="https://etrain.info/train/Chennai-Vande-Bharat-22225/history?d=1y"/>
  </r>
  <r>
    <x v="82"/>
    <s v="Chennai Vande Bharat"/>
    <s v="DR"/>
    <x v="31"/>
    <n v="5"/>
    <n v="100"/>
    <n v="0"/>
    <n v="0"/>
    <n v="0"/>
    <d v="2025-09-28T02:02:09"/>
    <s v="https://etrain.info/train/Chennai-Vande-Bharat-22225/history?d=1y"/>
  </r>
  <r>
    <x v="82"/>
    <s v="Chennai Vande Bharat"/>
    <s v="TNA"/>
    <x v="4"/>
    <n v="6"/>
    <n v="100"/>
    <n v="0"/>
    <n v="0"/>
    <n v="0"/>
    <d v="2025-09-28T02:02:10"/>
    <s v="https://etrain.info/train/Chennai-Vande-Bharat-22225/history?d=1y"/>
  </r>
  <r>
    <x v="82"/>
    <s v="Chennai Vande Bharat"/>
    <s v="SUR"/>
    <x v="21"/>
    <n v="3"/>
    <n v="96.15"/>
    <n v="3.85"/>
    <n v="0"/>
    <n v="0"/>
    <d v="2025-09-28T02:02:25"/>
    <s v="https://etrain.info/train/Chennai-Vande-Bharat-22225/history?d=1y"/>
  </r>
  <r>
    <x v="82"/>
    <s v="Chennai Vande Bharat"/>
    <s v="KYN"/>
    <x v="8"/>
    <n v="12"/>
    <n v="80.77"/>
    <n v="19.23"/>
    <n v="0"/>
    <n v="0"/>
    <d v="2025-09-28T02:02:14"/>
    <s v="https://etrain.info/train/Chennai-Vande-Bharat-22225/history?d=1y"/>
  </r>
  <r>
    <x v="82"/>
    <s v="Chennai Vande Bharat"/>
    <s v="PUNE"/>
    <x v="29"/>
    <n v="16"/>
    <n v="61.54"/>
    <n v="34.619999999999997"/>
    <n v="3.85"/>
    <n v="0"/>
    <d v="2025-09-28T02:02:17"/>
    <s v="https://etrain.info/train/Chennai-Vande-Bharat-22225/history?d=1y"/>
  </r>
  <r>
    <x v="82"/>
    <s v="Chennai Vande Bharat"/>
    <s v="KWV"/>
    <x v="27"/>
    <n v="16"/>
    <n v="61.54"/>
    <n v="34.619999999999997"/>
    <n v="3.85"/>
    <n v="0"/>
    <d v="2025-09-28T02:02:21"/>
    <s v="https://etrain.info/train/Chennai-Vande-Bharat-22225/history?d=1y"/>
  </r>
  <r>
    <x v="83"/>
    <s v="Chennai Vande Bharat"/>
    <s v="SUR"/>
    <x v="21"/>
    <n v="1"/>
    <n v="100"/>
    <n v="0"/>
    <n v="0"/>
    <n v="0"/>
    <d v="2025-09-28T02:02:30"/>
    <s v="https://etrain.info/train/Chennai-Vande-Bharat-22226/history?d=1y"/>
  </r>
  <r>
    <x v="83"/>
    <s v="Chennai Vande Bharat"/>
    <s v="KWV"/>
    <x v="27"/>
    <n v="6"/>
    <n v="100"/>
    <n v="0"/>
    <n v="0"/>
    <n v="0"/>
    <d v="2025-09-28T02:02:32"/>
    <s v="https://etrain.info/train/Chennai-Vande-Bharat-22226/history?d=1y"/>
  </r>
  <r>
    <x v="83"/>
    <s v="Chennai Vande Bharat"/>
    <s v="PUNE"/>
    <x v="29"/>
    <n v="5"/>
    <n v="100"/>
    <n v="0"/>
    <n v="0"/>
    <n v="0"/>
    <d v="2025-09-28T02:02:34"/>
    <s v="https://etrain.info/train/Chennai-Vande-Bharat-22226/history?d=1y"/>
  </r>
  <r>
    <x v="83"/>
    <s v="Chennai Vande Bharat"/>
    <s v="CSMT"/>
    <x v="85"/>
    <n v="13"/>
    <n v="88.46"/>
    <n v="7.69"/>
    <n v="3.85"/>
    <n v="0"/>
    <d v="2025-09-28T02:02:48"/>
    <s v="https://etrain.info/train/Chennai-Vande-Bharat-22226/history?d=1y"/>
  </r>
  <r>
    <x v="83"/>
    <s v="Chennai Vande Bharat"/>
    <s v="KYN"/>
    <x v="8"/>
    <n v="0"/>
    <n v="46.15"/>
    <n v="50"/>
    <n v="3.85"/>
    <n v="0"/>
    <d v="2025-09-28T02:02:36"/>
    <s v="https://etrain.info/train/Chennai-Vande-Bharat-22226/history?d=1y"/>
  </r>
  <r>
    <x v="83"/>
    <s v="Chennai Vande Bharat"/>
    <s v="TNA"/>
    <x v="4"/>
    <n v="18"/>
    <n v="42.31"/>
    <n v="53.85"/>
    <n v="3.85"/>
    <n v="0"/>
    <d v="2025-09-28T02:02:40"/>
    <s v="https://etrain.info/train/Chennai-Vande-Bharat-22226/history?d=1y"/>
  </r>
  <r>
    <x v="83"/>
    <s v="Chennai Vande Bharat"/>
    <s v="DR"/>
    <x v="31"/>
    <n v="19"/>
    <n v="38.46"/>
    <n v="57.69"/>
    <n v="3.85"/>
    <n v="0"/>
    <d v="2025-09-28T02:02:44"/>
    <s v="https://etrain.info/train/Chennai-Vande-Bharat-22226/history?d=1y"/>
  </r>
  <r>
    <x v="84"/>
    <s v="Vande Bharat"/>
    <s v="HWH"/>
    <x v="75"/>
    <n v="0"/>
    <n v="100"/>
    <n v="0"/>
    <n v="0"/>
    <n v="0"/>
    <d v="2025-09-27T18:49:20"/>
    <s v="https://etrain.info/train/Vande-Bharat-22301/history?d=1y"/>
  </r>
  <r>
    <x v="84"/>
    <s v="Vande Bharat"/>
    <s v="MLDT"/>
    <x v="268"/>
    <n v="5"/>
    <n v="92.31"/>
    <n v="7.69"/>
    <n v="0"/>
    <n v="0"/>
    <d v="2025-09-27T18:49:25"/>
    <s v="https://etrain.info/train/Vande-Bharat-22301/history?d=1y"/>
  </r>
  <r>
    <x v="84"/>
    <s v="Vande Bharat"/>
    <s v="NJP"/>
    <x v="241"/>
    <n v="7"/>
    <n v="88.46"/>
    <n v="11.54"/>
    <n v="0"/>
    <n v="0"/>
    <d v="2025-09-27T18:49:34"/>
    <s v="https://etrain.info/train/Vande-Bharat-22301/history?d=1y"/>
  </r>
  <r>
    <x v="84"/>
    <s v="Vande Bharat"/>
    <s v="BOE"/>
    <x v="269"/>
    <n v="14"/>
    <n v="76.92"/>
    <n v="19.23"/>
    <n v="3.85"/>
    <n v="0"/>
    <d v="2025-09-27T18:49:29"/>
    <s v="https://etrain.info/train/Vande-Bharat-22301/history?d=1y"/>
  </r>
  <r>
    <x v="84"/>
    <s v="Vande Bharat"/>
    <s v="BHP"/>
    <x v="265"/>
    <n v="19"/>
    <n v="38.46"/>
    <n v="61.54"/>
    <n v="0"/>
    <n v="0"/>
    <d v="2025-09-27T18:49:22"/>
    <s v="https://etrain.info/train/Vande-Bharat-22301/history?d=1y"/>
  </r>
  <r>
    <x v="84"/>
    <s v="Vande Bharat"/>
    <s v="KNE"/>
    <x v="242"/>
    <n v="10"/>
    <n v="26.92"/>
    <n v="19.23"/>
    <n v="0"/>
    <n v="53.85"/>
    <d v="2025-09-27T18:49:31"/>
    <s v="https://etrain.info/train/Vande-Bharat-22301/history?d=1y"/>
  </r>
  <r>
    <x v="85"/>
    <s v="Vande Bharat"/>
    <s v="NJP"/>
    <x v="241"/>
    <n v="1"/>
    <n v="100"/>
    <n v="0"/>
    <n v="0"/>
    <n v="0"/>
    <d v="2025-09-27T18:49:37"/>
    <s v="https://etrain.info/train/Vande-Bharat-22302/history?d=1y"/>
  </r>
  <r>
    <x v="85"/>
    <s v="Vande Bharat"/>
    <s v="HWH"/>
    <x v="75"/>
    <n v="0"/>
    <n v="96.15"/>
    <n v="3.85"/>
    <n v="0"/>
    <n v="0"/>
    <d v="2025-09-27T18:49:49"/>
    <s v="https://etrain.info/train/Vande-Bharat-22302/history?d=1y"/>
  </r>
  <r>
    <x v="85"/>
    <s v="Vande Bharat"/>
    <s v="BOE"/>
    <x v="269"/>
    <n v="11"/>
    <n v="84.62"/>
    <n v="15.38"/>
    <n v="0"/>
    <n v="0"/>
    <d v="2025-09-27T18:49:42"/>
    <s v="https://etrain.info/train/Vande-Bharat-22302/history?d=1y"/>
  </r>
  <r>
    <x v="85"/>
    <s v="Vande Bharat"/>
    <s v="MLDT"/>
    <x v="268"/>
    <n v="15"/>
    <n v="61.54"/>
    <n v="38.46"/>
    <n v="0"/>
    <n v="0"/>
    <d v="2025-09-27T18:49:44"/>
    <s v="https://etrain.info/train/Vande-Bharat-22302/history?d=1y"/>
  </r>
  <r>
    <x v="85"/>
    <s v="Vande Bharat"/>
    <s v="BHP"/>
    <x v="265"/>
    <n v="21"/>
    <n v="46.15"/>
    <n v="53.85"/>
    <n v="0"/>
    <n v="0"/>
    <d v="2025-09-27T18:49:45"/>
    <s v="https://etrain.info/train/Vande-Bharat-22302/history?d=1y"/>
  </r>
  <r>
    <x v="85"/>
    <s v="Vande Bharat"/>
    <s v="KNE"/>
    <x v="242"/>
    <n v="15"/>
    <n v="26.92"/>
    <n v="19.23"/>
    <n v="0"/>
    <n v="53.85"/>
    <d v="2025-09-27T18:49:39"/>
    <s v="https://etrain.info/train/Vande-Bharat-22302/history?d=1y"/>
  </r>
  <r>
    <x v="86"/>
    <s v="Chennai Intercity"/>
    <s v="MAS"/>
    <x v="125"/>
    <n v="1"/>
    <n v="100"/>
    <n v="0"/>
    <n v="0"/>
    <n v="0"/>
    <d v="2025-09-28T01:47:33"/>
    <s v="https://etrain.info/train/Chennai-Intercity-22601/history?d=1y"/>
  </r>
  <r>
    <x v="86"/>
    <s v="Chennai Intercity"/>
    <s v="AJJ"/>
    <x v="135"/>
    <n v="0"/>
    <n v="75"/>
    <n v="0"/>
    <n v="25"/>
    <n v="0"/>
    <d v="2025-09-28T01:47:35"/>
    <s v="https://etrain.info/train/Chennai-Intercity-22601/history?d=1y"/>
  </r>
  <r>
    <x v="86"/>
    <s v="Chennai Intercity"/>
    <s v="KPD"/>
    <x v="190"/>
    <n v="55"/>
    <n v="75"/>
    <n v="0"/>
    <n v="25"/>
    <n v="0"/>
    <d v="2025-09-28T01:47:37"/>
    <s v="https://etrain.info/train/Chennai-Intercity-22601/history?d=1y"/>
  </r>
  <r>
    <x v="86"/>
    <s v="Chennai Intercity"/>
    <s v="JTJ"/>
    <x v="194"/>
    <n v="0"/>
    <n v="75"/>
    <n v="0"/>
    <n v="25"/>
    <n v="0"/>
    <d v="2025-09-28T01:47:39"/>
    <s v="https://etrain.info/train/Chennai-Intercity-22601/history?d=1y"/>
  </r>
  <r>
    <x v="86"/>
    <s v="Chennai Intercity"/>
    <s v="KPN"/>
    <x v="193"/>
    <n v="59"/>
    <n v="75"/>
    <n v="0"/>
    <n v="25"/>
    <n v="0"/>
    <d v="2025-09-28T01:47:41"/>
    <s v="https://etrain.info/train/Chennai-Intercity-22601/history?d=1y"/>
  </r>
  <r>
    <x v="86"/>
    <s v="Chennai Intercity"/>
    <s v="YNK"/>
    <x v="467"/>
    <n v="59"/>
    <n v="75"/>
    <n v="0"/>
    <n v="25"/>
    <n v="0"/>
    <d v="2025-09-28T01:47:47"/>
    <s v="https://etrain.info/train/Chennai-Intercity-22601/history?d=1y"/>
  </r>
  <r>
    <x v="86"/>
    <s v="Chennai Intercity"/>
    <s v="HUP"/>
    <x v="17"/>
    <n v="62"/>
    <n v="75"/>
    <n v="0"/>
    <n v="25"/>
    <n v="0"/>
    <d v="2025-09-28T01:47:48"/>
    <s v="https://etrain.info/train/Chennai-Intercity-22601/history?d=1y"/>
  </r>
  <r>
    <x v="86"/>
    <s v="Chennai Intercity"/>
    <s v="SSPN"/>
    <x v="13"/>
    <n v="0"/>
    <n v="75"/>
    <n v="0"/>
    <n v="25"/>
    <n v="0"/>
    <d v="2025-09-28T01:47:50"/>
    <s v="https://etrain.info/train/Chennai-Intercity-22601/history?d=1y"/>
  </r>
  <r>
    <x v="86"/>
    <s v="Chennai Intercity"/>
    <s v="DMM"/>
    <x v="1"/>
    <n v="65"/>
    <n v="75"/>
    <n v="0"/>
    <n v="25"/>
    <n v="0"/>
    <d v="2025-09-28T01:47:51"/>
    <s v="https://etrain.info/train/Chennai-Intercity-22601/history?d=1y"/>
  </r>
  <r>
    <x v="86"/>
    <s v="Chennai Intercity"/>
    <s v="ATP"/>
    <x v="12"/>
    <n v="64"/>
    <n v="75"/>
    <n v="0"/>
    <n v="25"/>
    <n v="0"/>
    <d v="2025-09-28T01:47:53"/>
    <s v="https://etrain.info/train/Chennai-Intercity-22601/history?d=1y"/>
  </r>
  <r>
    <x v="86"/>
    <s v="Chennai Intercity"/>
    <s v="GTL"/>
    <x v="11"/>
    <n v="70"/>
    <n v="75"/>
    <n v="0"/>
    <n v="25"/>
    <n v="0"/>
    <d v="2025-09-28T01:47:55"/>
    <s v="https://etrain.info/train/Chennai-Intercity-22601/history?d=1y"/>
  </r>
  <r>
    <x v="86"/>
    <s v="Chennai Intercity"/>
    <s v="AD"/>
    <x v="14"/>
    <n v="66"/>
    <n v="75"/>
    <n v="0"/>
    <n v="25"/>
    <n v="0"/>
    <d v="2025-09-28T01:47:57"/>
    <s v="https://etrain.info/train/Chennai-Intercity-22601/history?d=1y"/>
  </r>
  <r>
    <x v="86"/>
    <s v="Chennai Intercity"/>
    <s v="MALM"/>
    <x v="10"/>
    <n v="61"/>
    <n v="75"/>
    <n v="0"/>
    <n v="25"/>
    <n v="0"/>
    <d v="2025-09-28T01:47:58"/>
    <s v="https://etrain.info/train/Chennai-Intercity-22601/history?d=1y"/>
  </r>
  <r>
    <x v="86"/>
    <s v="Chennai Intercity"/>
    <s v="RC"/>
    <x v="7"/>
    <n v="61"/>
    <n v="75"/>
    <n v="0"/>
    <n v="25"/>
    <n v="0"/>
    <d v="2025-09-28T01:47:59"/>
    <s v="https://etrain.info/train/Chennai-Intercity-22601/history?d=1y"/>
  </r>
  <r>
    <x v="86"/>
    <s v="Chennai Intercity"/>
    <s v="SNSI"/>
    <x v="468"/>
    <n v="40"/>
    <n v="75"/>
    <n v="0"/>
    <n v="25"/>
    <n v="0"/>
    <d v="2025-09-28T01:48:09"/>
    <s v="https://etrain.info/train/Chennai-Intercity-22601/history?d=1y"/>
  </r>
  <r>
    <x v="86"/>
    <s v="Chennai Intercity"/>
    <s v="BWT"/>
    <x v="198"/>
    <n v="63"/>
    <n v="50"/>
    <n v="25"/>
    <n v="25"/>
    <n v="0"/>
    <d v="2025-09-28T01:47:42"/>
    <s v="https://etrain.info/train/Chennai-Intercity-22601/history?d=1y"/>
  </r>
  <r>
    <x v="86"/>
    <s v="Chennai Intercity"/>
    <s v="MLO"/>
    <x v="469"/>
    <n v="59"/>
    <n v="50"/>
    <n v="25"/>
    <n v="25"/>
    <n v="0"/>
    <d v="2025-09-28T01:47:44"/>
    <s v="https://etrain.info/train/Chennai-Intercity-22601/history?d=1y"/>
  </r>
  <r>
    <x v="86"/>
    <s v="Chennai Intercity"/>
    <s v="WADI"/>
    <x v="5"/>
    <n v="54"/>
    <n v="50"/>
    <n v="25"/>
    <n v="25"/>
    <n v="0"/>
    <d v="2025-09-28T01:48:01"/>
    <s v="https://etrain.info/train/Chennai-Intercity-22601/history?d=1y"/>
  </r>
  <r>
    <x v="86"/>
    <s v="Chennai Intercity"/>
    <s v="KJM"/>
    <x v="191"/>
    <n v="73"/>
    <n v="25"/>
    <n v="50"/>
    <n v="25"/>
    <n v="0"/>
    <d v="2025-09-28T01:47:45"/>
    <s v="https://etrain.info/train/Chennai-Intercity-22601/history?d=1y"/>
  </r>
  <r>
    <x v="86"/>
    <s v="Chennai Intercity"/>
    <s v="KLBG"/>
    <x v="26"/>
    <n v="67"/>
    <n v="25"/>
    <n v="50"/>
    <n v="25"/>
    <n v="0"/>
    <d v="2025-09-28T01:48:02"/>
    <s v="https://etrain.info/train/Chennai-Intercity-22601/history?d=1y"/>
  </r>
  <r>
    <x v="86"/>
    <s v="Chennai Intercity"/>
    <s v="DD"/>
    <x v="30"/>
    <n v="59"/>
    <n v="25"/>
    <n v="50"/>
    <n v="25"/>
    <n v="0"/>
    <d v="2025-09-28T01:48:06"/>
    <s v="https://etrain.info/train/Chennai-Intercity-22601/history?d=1y"/>
  </r>
  <r>
    <x v="86"/>
    <s v="Chennai Intercity"/>
    <s v="SUR"/>
    <x v="21"/>
    <n v="66"/>
    <n v="0"/>
    <n v="75"/>
    <n v="25"/>
    <n v="0"/>
    <d v="2025-09-28T01:48:04"/>
    <s v="https://etrain.info/train/Chennai-Intercity-22601/history?d=1y"/>
  </r>
  <r>
    <x v="86"/>
    <s v="Chennai Intercity"/>
    <s v="ANG"/>
    <x v="470"/>
    <n v="90"/>
    <n v="0"/>
    <n v="50"/>
    <n v="50"/>
    <n v="0"/>
    <d v="2025-09-28T01:48:07"/>
    <s v="https://etrain.info/train/Chennai-Intercity-22601/history?d=1y"/>
  </r>
  <r>
    <x v="87"/>
    <s v="Chennai Intercity"/>
    <s v="SNSI"/>
    <x v="468"/>
    <n v="2"/>
    <n v="100"/>
    <n v="0"/>
    <n v="0"/>
    <n v="0"/>
    <d v="2025-09-28T01:48:13"/>
    <s v="https://etrain.info/train/Chennai-Intercity-22602/history?d=1y"/>
  </r>
  <r>
    <x v="87"/>
    <s v="Chennai Intercity"/>
    <s v="WADI"/>
    <x v="5"/>
    <n v="0"/>
    <n v="100"/>
    <n v="0"/>
    <n v="0"/>
    <n v="0"/>
    <d v="2025-09-28T01:48:22"/>
    <s v="https://etrain.info/train/Chennai-Intercity-22602/history?d=1y"/>
  </r>
  <r>
    <x v="87"/>
    <s v="Chennai Intercity"/>
    <s v="DMM"/>
    <x v="1"/>
    <n v="0"/>
    <n v="100"/>
    <n v="0"/>
    <n v="0"/>
    <n v="0"/>
    <d v="2025-09-28T01:48:32"/>
    <s v="https://etrain.info/train/Chennai-Intercity-22602/history?d=1y"/>
  </r>
  <r>
    <x v="87"/>
    <s v="Chennai Intercity"/>
    <s v="JTJ"/>
    <x v="194"/>
    <n v="2"/>
    <n v="100"/>
    <n v="0"/>
    <n v="0"/>
    <n v="0"/>
    <d v="2025-09-28T01:48:46"/>
    <s v="https://etrain.info/train/Chennai-Intercity-22602/history?d=1y"/>
  </r>
  <r>
    <x v="87"/>
    <s v="Chennai Intercity"/>
    <s v="KPD"/>
    <x v="190"/>
    <n v="5"/>
    <n v="100"/>
    <n v="0"/>
    <n v="0"/>
    <n v="0"/>
    <d v="2025-09-28T01:48:48"/>
    <s v="https://etrain.info/train/Chennai-Intercity-22602/history?d=1y"/>
  </r>
  <r>
    <x v="87"/>
    <s v="Chennai Intercity"/>
    <s v="AJJ"/>
    <x v="135"/>
    <n v="0"/>
    <n v="100"/>
    <n v="0"/>
    <n v="0"/>
    <n v="0"/>
    <d v="2025-09-28T01:48:49"/>
    <s v="https://etrain.info/train/Chennai-Intercity-22602/history?d=1y"/>
  </r>
  <r>
    <x v="87"/>
    <s v="Chennai Intercity"/>
    <s v="AD"/>
    <x v="14"/>
    <n v="17"/>
    <n v="75"/>
    <n v="25"/>
    <n v="0"/>
    <n v="0"/>
    <d v="2025-09-28T01:48:27"/>
    <s v="https://etrain.info/train/Chennai-Intercity-22602/history?d=1y"/>
  </r>
  <r>
    <x v="87"/>
    <s v="Chennai Intercity"/>
    <s v="HUP"/>
    <x v="17"/>
    <n v="12"/>
    <n v="75"/>
    <n v="25"/>
    <n v="0"/>
    <n v="0"/>
    <d v="2025-09-28T01:48:36"/>
    <s v="https://etrain.info/train/Chennai-Intercity-22602/history?d=1y"/>
  </r>
  <r>
    <x v="87"/>
    <s v="Chennai Intercity"/>
    <s v="KJM"/>
    <x v="191"/>
    <n v="4"/>
    <n v="75"/>
    <n v="25"/>
    <n v="0"/>
    <n v="0"/>
    <d v="2025-09-28T01:48:40"/>
    <s v="https://etrain.info/train/Chennai-Intercity-22602/history?d=1y"/>
  </r>
  <r>
    <x v="87"/>
    <s v="Chennai Intercity"/>
    <s v="MLO"/>
    <x v="469"/>
    <n v="8"/>
    <n v="75"/>
    <n v="25"/>
    <n v="0"/>
    <n v="0"/>
    <d v="2025-09-28T01:48:41"/>
    <s v="https://etrain.info/train/Chennai-Intercity-22602/history?d=1y"/>
  </r>
  <r>
    <x v="87"/>
    <s v="Chennai Intercity"/>
    <s v="BWT"/>
    <x v="198"/>
    <n v="8"/>
    <n v="75"/>
    <n v="25"/>
    <n v="0"/>
    <n v="0"/>
    <d v="2025-09-28T01:48:43"/>
    <s v="https://etrain.info/train/Chennai-Intercity-22602/history?d=1y"/>
  </r>
  <r>
    <x v="87"/>
    <s v="Chennai Intercity"/>
    <s v="MAS"/>
    <x v="125"/>
    <n v="10"/>
    <n v="75"/>
    <n v="25"/>
    <n v="0"/>
    <n v="0"/>
    <d v="2025-09-28T01:48:53"/>
    <s v="https://etrain.info/train/Chennai-Intercity-22602/history?d=1y"/>
  </r>
  <r>
    <x v="87"/>
    <s v="Chennai Intercity"/>
    <s v="DD"/>
    <x v="30"/>
    <n v="18"/>
    <n v="50"/>
    <n v="50"/>
    <n v="0"/>
    <n v="0"/>
    <d v="2025-09-28T01:48:17"/>
    <s v="https://etrain.info/train/Chennai-Intercity-22602/history?d=1y"/>
  </r>
  <r>
    <x v="87"/>
    <s v="Chennai Intercity"/>
    <s v="RC"/>
    <x v="7"/>
    <n v="13"/>
    <n v="50"/>
    <n v="50"/>
    <n v="0"/>
    <n v="0"/>
    <d v="2025-09-28T01:48:23"/>
    <s v="https://etrain.info/train/Chennai-Intercity-22602/history?d=1y"/>
  </r>
  <r>
    <x v="87"/>
    <s v="Chennai Intercity"/>
    <s v="MALM"/>
    <x v="10"/>
    <n v="0"/>
    <n v="50"/>
    <n v="50"/>
    <n v="0"/>
    <n v="0"/>
    <d v="2025-09-28T01:48:25"/>
    <s v="https://etrain.info/train/Chennai-Intercity-22602/history?d=1y"/>
  </r>
  <r>
    <x v="87"/>
    <s v="Chennai Intercity"/>
    <s v="GTL"/>
    <x v="11"/>
    <n v="15"/>
    <n v="50"/>
    <n v="50"/>
    <n v="0"/>
    <n v="0"/>
    <d v="2025-09-28T01:48:29"/>
    <s v="https://etrain.info/train/Chennai-Intercity-22602/history?d=1y"/>
  </r>
  <r>
    <x v="87"/>
    <s v="Chennai Intercity"/>
    <s v="ATP"/>
    <x v="12"/>
    <n v="21"/>
    <n v="50"/>
    <n v="50"/>
    <n v="0"/>
    <n v="0"/>
    <d v="2025-09-28T01:48:30"/>
    <s v="https://etrain.info/train/Chennai-Intercity-22602/history?d=1y"/>
  </r>
  <r>
    <x v="87"/>
    <s v="Chennai Intercity"/>
    <s v="SSPN"/>
    <x v="13"/>
    <n v="13"/>
    <n v="50"/>
    <n v="50"/>
    <n v="0"/>
    <n v="0"/>
    <d v="2025-09-28T01:48:34"/>
    <s v="https://etrain.info/train/Chennai-Intercity-22602/history?d=1y"/>
  </r>
  <r>
    <x v="87"/>
    <s v="Chennai Intercity"/>
    <s v="KPN"/>
    <x v="193"/>
    <n v="12"/>
    <n v="50"/>
    <n v="50"/>
    <n v="0"/>
    <n v="0"/>
    <d v="2025-09-28T01:48:44"/>
    <s v="https://etrain.info/train/Chennai-Intercity-22602/history?d=1y"/>
  </r>
  <r>
    <x v="87"/>
    <s v="Chennai Intercity"/>
    <s v="PER"/>
    <x v="136"/>
    <n v="19"/>
    <n v="50"/>
    <n v="50"/>
    <n v="0"/>
    <n v="0"/>
    <d v="2025-09-28T01:48:51"/>
    <s v="https://etrain.info/train/Chennai-Intercity-22602/history?d=1y"/>
  </r>
  <r>
    <x v="87"/>
    <s v="Chennai Intercity"/>
    <s v="SUR"/>
    <x v="21"/>
    <n v="30"/>
    <n v="25"/>
    <n v="75"/>
    <n v="0"/>
    <n v="0"/>
    <d v="2025-09-28T01:48:18"/>
    <s v="https://etrain.info/train/Chennai-Intercity-22602/history?d=1y"/>
  </r>
  <r>
    <x v="87"/>
    <s v="Chennai Intercity"/>
    <s v="YNK"/>
    <x v="467"/>
    <n v="19"/>
    <n v="25"/>
    <n v="75"/>
    <n v="0"/>
    <n v="0"/>
    <d v="2025-09-28T01:48:38"/>
    <s v="https://etrain.info/train/Chennai-Intercity-22602/history?d=1y"/>
  </r>
  <r>
    <x v="87"/>
    <s v="Chennai Intercity"/>
    <s v="ANG"/>
    <x v="470"/>
    <n v="0"/>
    <n v="0"/>
    <n v="100"/>
    <n v="0"/>
    <n v="0"/>
    <d v="2025-09-28T01:48:15"/>
    <s v="https://etrain.info/train/Chennai-Intercity-22602/history?d=1y"/>
  </r>
  <r>
    <x v="87"/>
    <s v="Chennai Intercity"/>
    <s v="KLBG"/>
    <x v="26"/>
    <n v="26"/>
    <n v="0"/>
    <n v="100"/>
    <n v="0"/>
    <n v="0"/>
    <d v="2025-09-28T01:48:20"/>
    <s v="https://etrain.info/train/Chennai-Intercity-22602/history?d=1y"/>
  </r>
  <r>
    <x v="88"/>
    <s v="Palakkad Superfast"/>
    <s v="PGTN"/>
    <x v="471"/>
    <n v="1"/>
    <n v="100"/>
    <n v="0"/>
    <n v="0"/>
    <n v="0"/>
    <d v="2025-09-27T18:56:00"/>
    <s v="https://etrain.info/train/Palakkad-Superfast-22651/history?d=1y"/>
  </r>
  <r>
    <x v="88"/>
    <s v="Palakkad Superfast"/>
    <s v="PGT"/>
    <x v="282"/>
    <n v="0"/>
    <n v="100"/>
    <n v="0"/>
    <n v="0"/>
    <n v="0"/>
    <d v="2025-09-27T18:56:02"/>
    <s v="https://etrain.info/train/Palakkad-Superfast-22651/history?d=1y"/>
  </r>
  <r>
    <x v="88"/>
    <s v="Palakkad Superfast"/>
    <s v="MAS"/>
    <x v="125"/>
    <n v="3"/>
    <n v="96.67"/>
    <n v="3.33"/>
    <n v="0"/>
    <n v="0"/>
    <d v="2025-09-27T18:55:33"/>
    <s v="https://etrain.info/train/Palakkad-Superfast-22651/history?d=1y"/>
  </r>
  <r>
    <x v="88"/>
    <s v="Palakkad Superfast"/>
    <s v="TRL"/>
    <x v="472"/>
    <n v="8"/>
    <n v="90"/>
    <n v="10"/>
    <n v="0"/>
    <n v="0"/>
    <d v="2025-09-27T18:55:35"/>
    <s v="https://etrain.info/train/Palakkad-Superfast-22651/history?d=1y"/>
  </r>
  <r>
    <x v="88"/>
    <s v="Palakkad Superfast"/>
    <s v="KRR"/>
    <x v="437"/>
    <n v="11"/>
    <n v="80"/>
    <n v="20"/>
    <n v="0"/>
    <n v="0"/>
    <d v="2025-09-27T18:55:51"/>
    <s v="https://etrain.info/train/Palakkad-Superfast-22651/history?d=1y"/>
  </r>
  <r>
    <x v="88"/>
    <s v="Palakkad Superfast"/>
    <s v="POY"/>
    <x v="473"/>
    <n v="8"/>
    <n v="80"/>
    <n v="20"/>
    <n v="0"/>
    <n v="0"/>
    <d v="2025-09-27T18:55:59"/>
    <s v="https://etrain.info/train/Palakkad-Superfast-22651/history?d=1y"/>
  </r>
  <r>
    <x v="88"/>
    <s v="Palakkad Superfast"/>
    <s v="JTJ"/>
    <x v="194"/>
    <n v="12"/>
    <n v="73.33"/>
    <n v="26.67"/>
    <n v="0"/>
    <n v="0"/>
    <d v="2025-09-27T18:55:42"/>
    <s v="https://etrain.info/train/Palakkad-Superfast-22651/history?d=1y"/>
  </r>
  <r>
    <x v="88"/>
    <s v="Palakkad Superfast"/>
    <s v="RASP"/>
    <x v="474"/>
    <n v="14"/>
    <n v="70"/>
    <n v="30"/>
    <n v="0"/>
    <n v="0"/>
    <d v="2025-09-27T18:55:46"/>
    <s v="https://etrain.info/train/Palakkad-Superfast-22651/history?d=1y"/>
  </r>
  <r>
    <x v="88"/>
    <s v="Palakkad Superfast"/>
    <s v="AJJ"/>
    <x v="135"/>
    <n v="15"/>
    <n v="66.67"/>
    <n v="33.33"/>
    <n v="0"/>
    <n v="0"/>
    <d v="2025-09-27T18:55:37"/>
    <s v="https://etrain.info/train/Palakkad-Superfast-22651/history?d=1y"/>
  </r>
  <r>
    <x v="88"/>
    <s v="Palakkad Superfast"/>
    <s v="SA"/>
    <x v="15"/>
    <n v="14"/>
    <n v="66.67"/>
    <n v="33.33"/>
    <n v="0"/>
    <n v="0"/>
    <d v="2025-09-27T18:55:45"/>
    <s v="https://etrain.info/train/Palakkad-Superfast-22651/history?d=1y"/>
  </r>
  <r>
    <x v="88"/>
    <s v="Palakkad Superfast"/>
    <s v="NMKL"/>
    <x v="443"/>
    <n v="13"/>
    <n v="66.67"/>
    <n v="33.33"/>
    <n v="0"/>
    <n v="0"/>
    <d v="2025-09-27T18:55:48"/>
    <s v="https://etrain.info/train/Palakkad-Superfast-22651/history?d=1y"/>
  </r>
  <r>
    <x v="88"/>
    <s v="Palakkad Superfast"/>
    <s v="MONR"/>
    <x v="475"/>
    <n v="13"/>
    <n v="66.67"/>
    <n v="33.33"/>
    <n v="0"/>
    <n v="0"/>
    <d v="2025-09-27T18:55:49"/>
    <s v="https://etrain.info/train/Palakkad-Superfast-22651/history?d=1y"/>
  </r>
  <r>
    <x v="88"/>
    <s v="Palakkad Superfast"/>
    <s v="ODC"/>
    <x v="476"/>
    <n v="14"/>
    <n v="63.33"/>
    <n v="36.67"/>
    <n v="0"/>
    <n v="0"/>
    <d v="2025-09-27T18:55:54"/>
    <s v="https://etrain.info/train/Palakkad-Superfast-22651/history?d=1y"/>
  </r>
  <r>
    <x v="88"/>
    <s v="Palakkad Superfast"/>
    <s v="UDT"/>
    <x v="477"/>
    <n v="13"/>
    <n v="60"/>
    <n v="40"/>
    <n v="0"/>
    <n v="0"/>
    <d v="2025-09-27T18:55:57"/>
    <s v="https://etrain.info/train/Palakkad-Superfast-22651/history?d=1y"/>
  </r>
  <r>
    <x v="88"/>
    <s v="Palakkad Superfast"/>
    <s v="MAP"/>
    <x v="307"/>
    <n v="17"/>
    <n v="53.33"/>
    <n v="46.67"/>
    <n v="0"/>
    <n v="0"/>
    <d v="2025-09-27T18:55:43"/>
    <s v="https://etrain.info/train/Palakkad-Superfast-22651/history?d=1y"/>
  </r>
  <r>
    <x v="88"/>
    <s v="Palakkad Superfast"/>
    <s v="PLNI"/>
    <x v="478"/>
    <n v="0"/>
    <n v="53.33"/>
    <n v="46.67"/>
    <n v="0"/>
    <n v="0"/>
    <d v="2025-09-27T18:55:56"/>
    <s v="https://etrain.info/train/Palakkad-Superfast-22651/history?d=1y"/>
  </r>
  <r>
    <x v="88"/>
    <s v="Palakkad Superfast"/>
    <s v="KPD"/>
    <x v="190"/>
    <n v="18"/>
    <n v="50"/>
    <n v="50"/>
    <n v="0"/>
    <n v="0"/>
    <d v="2025-09-27T18:55:38"/>
    <s v="https://etrain.info/train/Palakkad-Superfast-22651/history?d=1y"/>
  </r>
  <r>
    <x v="88"/>
    <s v="Palakkad Superfast"/>
    <s v="DG"/>
    <x v="293"/>
    <n v="17"/>
    <n v="46.67"/>
    <n v="53.33"/>
    <n v="0"/>
    <n v="0"/>
    <d v="2025-09-27T18:55:52"/>
    <s v="https://etrain.info/train/Palakkad-Superfast-22651/history?d=1y"/>
  </r>
  <r>
    <x v="88"/>
    <s v="Palakkad Superfast"/>
    <s v="GYM"/>
    <x v="479"/>
    <n v="24"/>
    <n v="16.670000000000002"/>
    <n v="83.33"/>
    <n v="0"/>
    <n v="0"/>
    <d v="2025-09-27T18:55:40"/>
    <s v="https://etrain.info/train/Palakkad-Superfast-22651/history?d=1y"/>
  </r>
  <r>
    <x v="89"/>
    <s v="Palakkad Superfast"/>
    <s v="PGT"/>
    <x v="282"/>
    <n v="1"/>
    <n v="100"/>
    <n v="0"/>
    <n v="0"/>
    <n v="0"/>
    <d v="2025-09-27T18:56:05"/>
    <s v="https://etrain.info/train/Palakkad-Superfast-22652/history?d=1y"/>
  </r>
  <r>
    <x v="89"/>
    <s v="Palakkad Superfast"/>
    <s v="PGTN"/>
    <x v="471"/>
    <n v="3"/>
    <n v="100"/>
    <n v="0"/>
    <n v="0"/>
    <n v="0"/>
    <d v="2025-09-27T18:56:06"/>
    <s v="https://etrain.info/train/Palakkad-Superfast-22652/history?d=1y"/>
  </r>
  <r>
    <x v="89"/>
    <s v="Palakkad Superfast"/>
    <s v="POY"/>
    <x v="473"/>
    <n v="1"/>
    <n v="100"/>
    <n v="0"/>
    <n v="0"/>
    <n v="0"/>
    <d v="2025-09-27T18:56:08"/>
    <s v="https://etrain.info/train/Palakkad-Superfast-22652/history?d=1y"/>
  </r>
  <r>
    <x v="89"/>
    <s v="Palakkad Superfast"/>
    <s v="UDT"/>
    <x v="477"/>
    <n v="2"/>
    <n v="100"/>
    <n v="0"/>
    <n v="0"/>
    <n v="0"/>
    <d v="2025-09-27T18:56:09"/>
    <s v="https://etrain.info/train/Palakkad-Superfast-22652/history?d=1y"/>
  </r>
  <r>
    <x v="89"/>
    <s v="Palakkad Superfast"/>
    <s v="PLNI"/>
    <x v="478"/>
    <n v="7"/>
    <n v="96.67"/>
    <n v="3.33"/>
    <n v="0"/>
    <n v="0"/>
    <d v="2025-09-27T18:56:13"/>
    <s v="https://etrain.info/train/Palakkad-Superfast-22652/history?d=1y"/>
  </r>
  <r>
    <x v="89"/>
    <s v="Palakkad Superfast"/>
    <s v="DG"/>
    <x v="293"/>
    <n v="5"/>
    <n v="96.67"/>
    <n v="3.33"/>
    <n v="0"/>
    <n v="0"/>
    <d v="2025-09-27T18:56:18"/>
    <s v="https://etrain.info/train/Palakkad-Superfast-22652/history?d=1y"/>
  </r>
  <r>
    <x v="89"/>
    <s v="Palakkad Superfast"/>
    <s v="SA"/>
    <x v="15"/>
    <n v="5"/>
    <n v="96.67"/>
    <n v="3.33"/>
    <n v="0"/>
    <n v="0"/>
    <d v="2025-09-27T18:56:28"/>
    <s v="https://etrain.info/train/Palakkad-Superfast-22652/history?d=1y"/>
  </r>
  <r>
    <x v="89"/>
    <s v="Palakkad Superfast"/>
    <s v="JTJ"/>
    <x v="194"/>
    <n v="3"/>
    <n v="96.67"/>
    <n v="3.33"/>
    <n v="0"/>
    <n v="0"/>
    <d v="2025-09-27T18:56:36"/>
    <s v="https://etrain.info/train/Palakkad-Superfast-22652/history?d=1y"/>
  </r>
  <r>
    <x v="89"/>
    <s v="Palakkad Superfast"/>
    <s v="GYM"/>
    <x v="479"/>
    <n v="5"/>
    <n v="93.33"/>
    <n v="6.67"/>
    <n v="0"/>
    <n v="0"/>
    <d v="2025-09-27T18:56:39"/>
    <s v="https://etrain.info/train/Palakkad-Superfast-22652/history?d=1y"/>
  </r>
  <r>
    <x v="89"/>
    <s v="Palakkad Superfast"/>
    <s v="MAS"/>
    <x v="125"/>
    <n v="1"/>
    <n v="93.33"/>
    <n v="6.67"/>
    <n v="0"/>
    <n v="0"/>
    <d v="2025-09-27T18:56:49"/>
    <s v="https://etrain.info/train/Palakkad-Superfast-22652/history?d=1y"/>
  </r>
  <r>
    <x v="89"/>
    <s v="Palakkad Superfast"/>
    <s v="MAP"/>
    <x v="307"/>
    <n v="6"/>
    <n v="86.67"/>
    <n v="13.33"/>
    <n v="0"/>
    <n v="0"/>
    <d v="2025-09-27T18:56:32"/>
    <s v="https://etrain.info/train/Palakkad-Superfast-22652/history?d=1y"/>
  </r>
  <r>
    <x v="89"/>
    <s v="Palakkad Superfast"/>
    <s v="KRR"/>
    <x v="437"/>
    <n v="7"/>
    <n v="83.33"/>
    <n v="16.670000000000002"/>
    <n v="0"/>
    <n v="0"/>
    <d v="2025-09-27T18:56:20"/>
    <s v="https://etrain.info/train/Palakkad-Superfast-22652/history?d=1y"/>
  </r>
  <r>
    <x v="89"/>
    <s v="Palakkad Superfast"/>
    <s v="KPD"/>
    <x v="190"/>
    <n v="7"/>
    <n v="83.33"/>
    <n v="16.670000000000002"/>
    <n v="0"/>
    <n v="0"/>
    <d v="2025-09-27T18:56:41"/>
    <s v="https://etrain.info/train/Palakkad-Superfast-22652/history?d=1y"/>
  </r>
  <r>
    <x v="89"/>
    <s v="Palakkad Superfast"/>
    <s v="AJJ"/>
    <x v="135"/>
    <n v="10"/>
    <n v="83.33"/>
    <n v="16.670000000000002"/>
    <n v="0"/>
    <n v="0"/>
    <d v="2025-09-27T18:56:42"/>
    <s v="https://etrain.info/train/Palakkad-Superfast-22652/history?d=1y"/>
  </r>
  <r>
    <x v="89"/>
    <s v="Palakkad Superfast"/>
    <s v="ODC"/>
    <x v="476"/>
    <n v="11"/>
    <n v="73.33"/>
    <n v="26.67"/>
    <n v="0"/>
    <n v="0"/>
    <d v="2025-09-27T18:56:14"/>
    <s v="https://etrain.info/train/Palakkad-Superfast-22652/history?d=1y"/>
  </r>
  <r>
    <x v="89"/>
    <s v="Palakkad Superfast"/>
    <s v="MONR"/>
    <x v="475"/>
    <n v="11"/>
    <n v="70"/>
    <n v="30"/>
    <n v="0"/>
    <n v="0"/>
    <d v="2025-09-27T18:56:21"/>
    <s v="https://etrain.info/train/Palakkad-Superfast-22652/history?d=1y"/>
  </r>
  <r>
    <x v="89"/>
    <s v="Palakkad Superfast"/>
    <s v="TRL"/>
    <x v="472"/>
    <n v="12"/>
    <n v="66.67"/>
    <n v="33.33"/>
    <n v="0"/>
    <n v="0"/>
    <d v="2025-09-27T18:56:44"/>
    <s v="https://etrain.info/train/Palakkad-Superfast-22652/history?d=1y"/>
  </r>
  <r>
    <x v="89"/>
    <s v="Palakkad Superfast"/>
    <s v="NMKL"/>
    <x v="443"/>
    <n v="13"/>
    <n v="63.33"/>
    <n v="36.67"/>
    <n v="0"/>
    <n v="0"/>
    <d v="2025-09-27T18:56:23"/>
    <s v="https://etrain.info/train/Palakkad-Superfast-22652/history?d=1y"/>
  </r>
  <r>
    <x v="89"/>
    <s v="Palakkad Superfast"/>
    <s v="RASP"/>
    <x v="474"/>
    <n v="13"/>
    <n v="63.33"/>
    <n v="36.67"/>
    <n v="0"/>
    <n v="0"/>
    <d v="2025-09-27T18:56:25"/>
    <s v="https://etrain.info/train/Palakkad-Superfast-22652/history?d=1y"/>
  </r>
  <r>
    <x v="89"/>
    <s v="Palakkad Superfast"/>
    <s v="PER"/>
    <x v="136"/>
    <n v="18"/>
    <n v="46.67"/>
    <n v="53.33"/>
    <n v="0"/>
    <n v="0"/>
    <d v="2025-09-27T18:56:45"/>
    <s v="https://etrain.info/train/Palakkad-Superfast-22652/history?d=1y"/>
  </r>
  <r>
    <x v="90"/>
    <n v="0"/>
    <n v="0"/>
    <x v="480"/>
    <n v="0"/>
    <n v="0"/>
    <n v="0"/>
    <n v="0"/>
    <n v="0"/>
    <d v="1899-12-30T00:00:0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9">
  <r>
    <x v="0"/>
    <s v="Cheran Express"/>
    <s v="MAS"/>
    <x v="0"/>
    <n v="2"/>
    <n v="98.9"/>
    <n v="0.27"/>
    <n v="0"/>
    <n v="0.83"/>
    <d v="2025-09-27T17:55:38"/>
    <s v="https://etrain.info/train/Cheran-Express-12673/history?d=1y"/>
    <n v="1"/>
    <x v="0"/>
  </r>
  <r>
    <x v="0"/>
    <s v="Cheran Express"/>
    <s v="AVD"/>
    <x v="1"/>
    <n v="0"/>
    <n v="0.27"/>
    <n v="0"/>
    <n v="0"/>
    <n v="99.73"/>
    <d v="2025-09-27T17:55:39"/>
    <s v="https://etrain.info/train/Cheran-Express-12673/history?d=1y"/>
    <n v="2"/>
    <x v="1"/>
  </r>
  <r>
    <x v="0"/>
    <s v="Cheran Express"/>
    <s v="AJJ"/>
    <x v="2"/>
    <n v="16"/>
    <n v="55.34"/>
    <n v="44.38"/>
    <n v="0.27"/>
    <n v="0.01"/>
    <d v="2025-09-27T17:55:41"/>
    <s v="https://etrain.info/train/Cheran-Express-12673/history?d=1y"/>
    <n v="3"/>
    <x v="2"/>
  </r>
  <r>
    <x v="0"/>
    <s v="Cheran Express"/>
    <s v="KPD"/>
    <x v="3"/>
    <n v="17"/>
    <n v="48.49"/>
    <n v="49.86"/>
    <n v="1.64"/>
    <n v="0.01"/>
    <d v="2025-09-27T17:55:42"/>
    <s v="https://etrain.info/train/Cheran-Express-12673/history?d=1y"/>
    <n v="4"/>
    <x v="3"/>
  </r>
  <r>
    <x v="0"/>
    <s v="Cheran Express"/>
    <s v="JTJ"/>
    <x v="4"/>
    <m/>
    <n v="70.959999999999994"/>
    <n v="27.67"/>
    <n v="1.37"/>
    <n v="0"/>
    <d v="2025-09-27T17:55:45"/>
    <s v="https://etrain.info/train/Cheran-Express-12673/history?d=1y"/>
    <n v="5"/>
    <x v="4"/>
  </r>
  <r>
    <x v="0"/>
    <s v="Cheran Express"/>
    <s v="SA"/>
    <x v="5"/>
    <n v="25"/>
    <n v="23.01"/>
    <n v="74.790000000000006"/>
    <n v="2.19"/>
    <n v="0.01"/>
    <d v="2025-09-27T17:55:46"/>
    <s v="https://etrain.info/train/Cheran-Express-12673/history?d=1y"/>
    <n v="6"/>
    <x v="5"/>
  </r>
  <r>
    <x v="0"/>
    <s v="Cheran Express"/>
    <s v="ED"/>
    <x v="6"/>
    <n v="25"/>
    <n v="21.37"/>
    <n v="76.44"/>
    <n v="2.19"/>
    <n v="0"/>
    <d v="2025-09-27T17:55:50"/>
    <s v="https://etrain.info/train/Cheran-Express-12673/history?d=1y"/>
    <n v="7"/>
    <x v="6"/>
  </r>
  <r>
    <x v="0"/>
    <s v="Cheran Express"/>
    <s v="TUP"/>
    <x v="7"/>
    <n v="24"/>
    <n v="22.74"/>
    <n v="75.34"/>
    <n v="1.92"/>
    <n v="0"/>
    <d v="2025-09-27T17:55:54"/>
    <s v="https://etrain.info/train/Cheran-Express-12673/history?d=1y"/>
    <n v="8"/>
    <x v="7"/>
  </r>
  <r>
    <x v="0"/>
    <s v="Cheran Express"/>
    <s v="CBF"/>
    <x v="8"/>
    <n v="13"/>
    <n v="70.680000000000007"/>
    <n v="28.49"/>
    <n v="0.82"/>
    <n v="0.01"/>
    <d v="2025-09-27T17:55:55"/>
    <s v="https://etrain.info/train/Cheran-Express-12673/history?d=1y"/>
    <n v="9"/>
    <x v="8"/>
  </r>
  <r>
    <x v="0"/>
    <s v="Cheran Express"/>
    <s v="CBE"/>
    <x v="9"/>
    <m/>
    <n v="96.16"/>
    <n v="3.56"/>
    <n v="0.27"/>
    <n v="0.01"/>
    <d v="2025-09-27T17:55:57"/>
    <s v="https://etrain.info/train/Cheran-Express-12673/history?d=1y"/>
    <n v="10"/>
    <x v="9"/>
  </r>
  <r>
    <x v="1"/>
    <s v="Cheran Express"/>
    <s v="CBE"/>
    <x v="9"/>
    <n v="5"/>
    <n v="97.26"/>
    <n v="2.4700000000000002"/>
    <n v="0.27"/>
    <n v="0"/>
    <d v="2025-09-27T17:56:02"/>
    <s v="https://etrain.info/train/Cheran-Express-12674/history?d=1y"/>
    <n v="11"/>
    <x v="0"/>
  </r>
  <r>
    <x v="1"/>
    <s v="Cheran Express"/>
    <s v="TUP"/>
    <x v="7"/>
    <m/>
    <n v="81.92"/>
    <n v="17.53"/>
    <n v="0.55000000000000004"/>
    <n v="0"/>
    <d v="2025-09-27T17:56:05"/>
    <s v="https://etrain.info/train/Cheran-Express-12674/history?d=1y"/>
    <n v="12"/>
    <x v="1"/>
  </r>
  <r>
    <x v="1"/>
    <s v="Cheran Express"/>
    <s v="ED"/>
    <x v="6"/>
    <n v="21"/>
    <n v="35.340000000000003"/>
    <n v="64.11"/>
    <n v="0.55000000000000004"/>
    <n v="0"/>
    <d v="2025-09-27T17:56:08"/>
    <s v="https://etrain.info/train/Cheran-Express-12674/history?d=1y"/>
    <n v="13"/>
    <x v="2"/>
  </r>
  <r>
    <x v="1"/>
    <s v="Cheran Express"/>
    <s v="SA"/>
    <x v="5"/>
    <n v="24"/>
    <n v="27.67"/>
    <n v="71.510000000000005"/>
    <n v="0.82"/>
    <n v="0"/>
    <d v="2025-09-27T17:56:12"/>
    <s v="https://etrain.info/train/Cheran-Express-12674/history?d=1y"/>
    <n v="14"/>
    <x v="3"/>
  </r>
  <r>
    <x v="1"/>
    <s v="Cheran Express"/>
    <s v="JTJ"/>
    <x v="4"/>
    <n v="7"/>
    <n v="93.15"/>
    <n v="6.3"/>
    <n v="0.55000000000000004"/>
    <n v="0"/>
    <d v="2025-09-27T17:56:16"/>
    <s v="https://etrain.info/train/Cheran-Express-12674/history?d=1y"/>
    <n v="15"/>
    <x v="4"/>
  </r>
  <r>
    <x v="1"/>
    <s v="Cheran Express"/>
    <s v="KPD"/>
    <x v="3"/>
    <n v="14"/>
    <n v="74.790000000000006"/>
    <n v="24.38"/>
    <n v="0.82"/>
    <n v="0.01"/>
    <d v="2025-09-27T17:56:17"/>
    <s v="https://etrain.info/train/Cheran-Express-12674/history?d=1y"/>
    <n v="16"/>
    <x v="5"/>
  </r>
  <r>
    <x v="1"/>
    <s v="Cheran Express"/>
    <s v="AJJ"/>
    <x v="2"/>
    <n v="28"/>
    <n v="17.260000000000002"/>
    <n v="80.55"/>
    <n v="2.19"/>
    <n v="0"/>
    <d v="2025-09-27T17:56:21"/>
    <s v="https://etrain.info/train/Cheran-Express-12674/history?d=1y"/>
    <n v="17"/>
    <x v="6"/>
  </r>
  <r>
    <x v="1"/>
    <s v="Cheran Express"/>
    <s v="PER"/>
    <x v="10"/>
    <n v="32"/>
    <n v="9.86"/>
    <n v="86.58"/>
    <n v="3.01"/>
    <n v="0.55000000000000004"/>
    <d v="2025-09-27T17:56:23"/>
    <s v="https://etrain.info/train/Cheran-Express-12674/history?d=1y"/>
    <n v="18"/>
    <x v="7"/>
  </r>
  <r>
    <x v="1"/>
    <s v="Cheran Express"/>
    <s v="MAS"/>
    <x v="0"/>
    <m/>
    <n v="94.52"/>
    <n v="3.56"/>
    <n v="1.37"/>
    <n v="0.55000000000000004"/>
    <d v="2025-09-27T17:56:26"/>
    <s v="https://etrain.info/train/Cheran-Express-12674/history?d=1y"/>
    <n v="19"/>
    <x v="8"/>
  </r>
  <r>
    <x v="2"/>
    <s v="Kovai Express"/>
    <s v="MAS"/>
    <x v="0"/>
    <n v="4"/>
    <n v="100"/>
    <n v="0"/>
    <n v="0"/>
    <n v="0"/>
    <d v="2025-09-27T17:56:30"/>
    <s v="https://etrain.info/train/Kovai-Express-12681/history?d=1y"/>
    <n v="20"/>
    <x v="0"/>
  </r>
  <r>
    <x v="2"/>
    <s v="Kovai Express"/>
    <s v="AJJ"/>
    <x v="2"/>
    <n v="15"/>
    <n v="60"/>
    <n v="40"/>
    <n v="0"/>
    <n v="0"/>
    <d v="2025-09-27T17:56:31"/>
    <s v="https://etrain.info/train/Kovai-Express-12681/history?d=1y"/>
    <n v="21"/>
    <x v="1"/>
  </r>
  <r>
    <x v="2"/>
    <s v="Kovai Express"/>
    <s v="KPD"/>
    <x v="3"/>
    <n v="11"/>
    <n v="80"/>
    <n v="20"/>
    <n v="0"/>
    <n v="0"/>
    <d v="2025-09-27T17:56:33"/>
    <s v="https://etrain.info/train/Kovai-Express-12681/history?d=1y"/>
    <n v="22"/>
    <x v="2"/>
  </r>
  <r>
    <x v="2"/>
    <s v="Kovai Express"/>
    <s v="SA"/>
    <x v="5"/>
    <m/>
    <n v="100"/>
    <n v="0"/>
    <n v="0"/>
    <n v="0"/>
    <d v="2025-09-27T17:56:35"/>
    <s v="https://etrain.info/train/Kovai-Express-12681/history?d=1y"/>
    <n v="23"/>
    <x v="3"/>
  </r>
  <r>
    <x v="2"/>
    <s v="Kovai Express"/>
    <s v="ED"/>
    <x v="6"/>
    <m/>
    <n v="80"/>
    <n v="20"/>
    <n v="0"/>
    <n v="0"/>
    <d v="2025-09-27T17:56:37"/>
    <s v="https://etrain.info/train/Kovai-Express-12681/history?d=1y"/>
    <n v="24"/>
    <x v="4"/>
  </r>
  <r>
    <x v="2"/>
    <s v="Kovai Express"/>
    <s v="TUP"/>
    <x v="7"/>
    <n v="8"/>
    <n v="80"/>
    <n v="20"/>
    <n v="0"/>
    <n v="0"/>
    <d v="2025-09-27T17:56:38"/>
    <s v="https://etrain.info/train/Kovai-Express-12681/history?d=1y"/>
    <n v="25"/>
    <x v="5"/>
  </r>
  <r>
    <x v="2"/>
    <s v="Kovai Express"/>
    <s v="CBF"/>
    <x v="8"/>
    <n v="7"/>
    <n v="80"/>
    <n v="20"/>
    <n v="0"/>
    <n v="0"/>
    <d v="2025-09-27T17:56:40"/>
    <s v="https://etrain.info/train/Kovai-Express-12681/history?d=1y"/>
    <n v="26"/>
    <x v="6"/>
  </r>
  <r>
    <x v="2"/>
    <s v="Kovai Express"/>
    <s v="CBE"/>
    <x v="9"/>
    <n v="0"/>
    <n v="100"/>
    <n v="0"/>
    <n v="0"/>
    <n v="0"/>
    <d v="2025-09-27T17:56:41"/>
    <s v="https://etrain.info/train/Kovai-Express-12681/history?d=1y"/>
    <n v="27"/>
    <x v="7"/>
  </r>
  <r>
    <x v="3"/>
    <s v="Kovai Express"/>
    <s v="CBE"/>
    <x v="9"/>
    <n v="3"/>
    <n v="100"/>
    <n v="0"/>
    <n v="0"/>
    <n v="0"/>
    <d v="2025-09-27T17:56:45"/>
    <s v="https://etrain.info/train/Kovai-Express-12682/history?d=1y"/>
    <n v="28"/>
    <x v="0"/>
  </r>
  <r>
    <x v="3"/>
    <s v="Kovai Express"/>
    <s v="TUP"/>
    <x v="7"/>
    <n v="16"/>
    <n v="40"/>
    <n v="60"/>
    <n v="0"/>
    <n v="0"/>
    <d v="2025-09-27T17:56:47"/>
    <s v="https://etrain.info/train/Kovai-Express-12682/history?d=1y"/>
    <n v="29"/>
    <x v="1"/>
  </r>
  <r>
    <x v="3"/>
    <s v="Kovai Express"/>
    <s v="ED"/>
    <x v="6"/>
    <n v="43"/>
    <n v="0"/>
    <n v="100"/>
    <n v="0"/>
    <n v="0"/>
    <d v="2025-09-27T17:56:48"/>
    <s v="https://etrain.info/train/Kovai-Express-12682/history?d=1y"/>
    <n v="30"/>
    <x v="2"/>
  </r>
  <r>
    <x v="3"/>
    <s v="Kovai Express"/>
    <s v="SA"/>
    <x v="5"/>
    <n v="41"/>
    <n v="0"/>
    <n v="100"/>
    <n v="0"/>
    <n v="0"/>
    <d v="2025-09-27T17:56:50"/>
    <s v="https://etrain.info/train/Kovai-Express-12682/history?d=1y"/>
    <n v="31"/>
    <x v="3"/>
  </r>
  <r>
    <x v="3"/>
    <s v="Kovai Express"/>
    <s v="KPD"/>
    <x v="3"/>
    <n v="1"/>
    <n v="100"/>
    <n v="0"/>
    <n v="0"/>
    <n v="0"/>
    <d v="2025-09-27T17:56:52"/>
    <s v="https://etrain.info/train/Kovai-Express-12682/history?d=1y"/>
    <n v="32"/>
    <x v="4"/>
  </r>
  <r>
    <x v="3"/>
    <s v="Kovai Express"/>
    <s v="AJJ"/>
    <x v="2"/>
    <m/>
    <n v="100"/>
    <n v="0"/>
    <n v="0"/>
    <n v="0"/>
    <d v="2025-09-27T17:56:55"/>
    <s v="https://etrain.info/train/Kovai-Express-12682/history?d=1y"/>
    <n v="33"/>
    <x v="5"/>
  </r>
  <r>
    <x v="3"/>
    <s v="Kovai Express"/>
    <s v="PER"/>
    <x v="10"/>
    <n v="11"/>
    <n v="80"/>
    <n v="20"/>
    <n v="0"/>
    <n v="0"/>
    <d v="2025-09-27T17:56:57"/>
    <s v="https://etrain.info/train/Kovai-Express-12682/history?d=1y"/>
    <n v="34"/>
    <x v="6"/>
  </r>
  <r>
    <x v="3"/>
    <s v="Kovai Express"/>
    <s v="MAS"/>
    <x v="0"/>
    <n v="9"/>
    <n v="100"/>
    <n v="0"/>
    <n v="0"/>
    <n v="0"/>
    <d v="2025-09-27T17:56:59"/>
    <s v="https://etrain.info/train/Kovai-Express-12682/history?d=1y"/>
    <n v="35"/>
    <x v="7"/>
  </r>
  <r>
    <x v="4"/>
    <s v="Pandian Exp"/>
    <s v="MS"/>
    <x v="11"/>
    <n v="2"/>
    <n v="99.45"/>
    <n v="0.55000000000000004"/>
    <n v="0"/>
    <n v="0"/>
    <d v="2025-09-27T17:57:04"/>
    <s v="https://etrain.info/train/Pandian-Exp-12637/history?d=1y"/>
    <n v="36"/>
    <x v="0"/>
  </r>
  <r>
    <x v="4"/>
    <s v="Pandian Exp"/>
    <s v="TBM"/>
    <x v="12"/>
    <n v="4"/>
    <n v="99.18"/>
    <n v="0.82"/>
    <n v="0"/>
    <n v="0"/>
    <d v="2025-09-27T17:57:08"/>
    <s v="https://etrain.info/train/Pandian-Exp-12637/history?d=1y"/>
    <n v="37"/>
    <x v="1"/>
  </r>
  <r>
    <x v="4"/>
    <s v="Pandian Exp"/>
    <s v="CGL"/>
    <x v="13"/>
    <m/>
    <n v="98.9"/>
    <n v="1.1000000000000001"/>
    <n v="0"/>
    <n v="0"/>
    <d v="2025-09-27T17:57:12"/>
    <s v="https://etrain.info/train/Pandian-Exp-12637/history?d=1y"/>
    <n v="38"/>
    <x v="2"/>
  </r>
  <r>
    <x v="4"/>
    <s v="Pandian Exp"/>
    <s v="MLMR"/>
    <x v="14"/>
    <m/>
    <n v="16.16"/>
    <n v="0.27"/>
    <n v="0"/>
    <n v="83.56"/>
    <d v="2025-09-27T17:57:15"/>
    <s v="https://etrain.info/train/Pandian-Exp-12637/history?d=1y"/>
    <n v="39"/>
    <x v="3"/>
  </r>
  <r>
    <x v="4"/>
    <s v="Pandian Exp"/>
    <s v="VM"/>
    <x v="15"/>
    <n v="6"/>
    <n v="95.07"/>
    <n v="4.66"/>
    <n v="0.27"/>
    <n v="0"/>
    <d v="2025-09-27T17:57:19"/>
    <s v="https://etrain.info/train/Pandian-Exp-12637/history?d=1y"/>
    <n v="40"/>
    <x v="4"/>
  </r>
  <r>
    <x v="4"/>
    <s v="Pandian Exp"/>
    <s v="VRI"/>
    <x v="16"/>
    <n v="7"/>
    <n v="96.44"/>
    <n v="3.29"/>
    <n v="0.27"/>
    <n v="0"/>
    <d v="2025-09-27T17:57:23"/>
    <s v="https://etrain.info/train/Pandian-Exp-12637/history?d=1y"/>
    <n v="41"/>
    <x v="5"/>
  </r>
  <r>
    <x v="4"/>
    <s v="Pandian Exp"/>
    <s v="TPJ"/>
    <x v="17"/>
    <n v="8"/>
    <n v="84.93"/>
    <n v="14.79"/>
    <n v="0.27"/>
    <n v="0.01"/>
    <d v="2025-09-27T17:57:25"/>
    <s v="https://etrain.info/train/Pandian-Exp-12637/history?d=1y"/>
    <n v="42"/>
    <x v="6"/>
  </r>
  <r>
    <x v="4"/>
    <s v="Pandian Exp"/>
    <s v="MPA"/>
    <x v="18"/>
    <n v="14"/>
    <n v="63.29"/>
    <n v="36.44"/>
    <n v="0.27"/>
    <n v="0"/>
    <d v="2025-09-27T17:57:29"/>
    <s v="https://etrain.info/train/Pandian-Exp-12637/history?d=1y"/>
    <n v="43"/>
    <x v="7"/>
  </r>
  <r>
    <x v="4"/>
    <s v="Pandian Exp"/>
    <s v="DG"/>
    <x v="19"/>
    <n v="17"/>
    <n v="55.62"/>
    <n v="43.56"/>
    <n v="0.82"/>
    <n v="0"/>
    <d v="2025-09-27T17:57:33"/>
    <s v="https://etrain.info/train/Pandian-Exp-12637/history?d=1y"/>
    <n v="44"/>
    <x v="8"/>
  </r>
  <r>
    <x v="4"/>
    <s v="Pandian Exp"/>
    <s v="ABI"/>
    <x v="20"/>
    <n v="19"/>
    <n v="44.66"/>
    <n v="54.52"/>
    <n v="0.82"/>
    <n v="0"/>
    <d v="2025-09-27T17:57:37"/>
    <s v="https://etrain.info/train/Pandian-Exp-12637/history?d=1y"/>
    <n v="45"/>
    <x v="9"/>
  </r>
  <r>
    <x v="4"/>
    <s v="Pandian Exp"/>
    <s v="KQN"/>
    <x v="21"/>
    <n v="21"/>
    <n v="33.700000000000003"/>
    <n v="65.209999999999994"/>
    <n v="1.1000000000000001"/>
    <n v="0"/>
    <d v="2025-09-27T17:57:41"/>
    <s v="https://etrain.info/train/Pandian-Exp-12637/history?d=1y"/>
    <n v="46"/>
    <x v="10"/>
  </r>
  <r>
    <x v="4"/>
    <s v="Pandian Exp"/>
    <s v="MDU"/>
    <x v="22"/>
    <m/>
    <n v="98.36"/>
    <n v="1.64"/>
    <n v="0"/>
    <n v="0"/>
    <d v="2025-09-27T17:57:45"/>
    <s v="https://etrain.info/train/Pandian-Exp-12637/history?d=1y"/>
    <n v="47"/>
    <x v="11"/>
  </r>
  <r>
    <x v="5"/>
    <s v="Pandian Exp"/>
    <s v="MDU"/>
    <x v="22"/>
    <n v="1"/>
    <n v="100"/>
    <n v="0"/>
    <n v="0"/>
    <n v="0"/>
    <d v="2025-09-27T17:57:49"/>
    <s v="https://etrain.info/train/Pandian-Exp-12638/history?d=1y"/>
    <n v="48"/>
    <x v="0"/>
  </r>
  <r>
    <x v="5"/>
    <s v="Pandian Exp"/>
    <s v="KQN"/>
    <x v="21"/>
    <n v="6"/>
    <n v="95.89"/>
    <n v="4.1100000000000003"/>
    <n v="0"/>
    <n v="0"/>
    <d v="2025-09-27T17:57:53"/>
    <s v="https://etrain.info/train/Pandian-Exp-12638/history?d=1y"/>
    <n v="49"/>
    <x v="1"/>
  </r>
  <r>
    <x v="5"/>
    <s v="Pandian Exp"/>
    <s v="ABI"/>
    <x v="20"/>
    <n v="10"/>
    <n v="91.78"/>
    <n v="8.2200000000000006"/>
    <n v="0"/>
    <n v="0"/>
    <d v="2025-09-27T17:57:57"/>
    <s v="https://etrain.info/train/Pandian-Exp-12638/history?d=1y"/>
    <n v="50"/>
    <x v="2"/>
  </r>
  <r>
    <x v="5"/>
    <s v="Pandian Exp"/>
    <s v="DG"/>
    <x v="19"/>
    <n v="7"/>
    <n v="96.44"/>
    <n v="3.56"/>
    <n v="0"/>
    <n v="0"/>
    <d v="2025-09-27T17:58:01"/>
    <s v="https://etrain.info/train/Pandian-Exp-12638/history?d=1y"/>
    <n v="51"/>
    <x v="3"/>
  </r>
  <r>
    <x v="5"/>
    <s v="Pandian Exp"/>
    <s v="MPA"/>
    <x v="18"/>
    <n v="8"/>
    <n v="93.7"/>
    <n v="6.3"/>
    <n v="0"/>
    <n v="0"/>
    <d v="2025-09-27T17:58:05"/>
    <s v="https://etrain.info/train/Pandian-Exp-12638/history?d=1y"/>
    <n v="52"/>
    <x v="4"/>
  </r>
  <r>
    <x v="5"/>
    <s v="Pandian Exp"/>
    <s v="TPJ"/>
    <x v="17"/>
    <n v="6"/>
    <n v="95.89"/>
    <n v="4.1100000000000003"/>
    <n v="0"/>
    <n v="0"/>
    <d v="2025-09-27T17:58:09"/>
    <s v="https://etrain.info/train/Pandian-Exp-12638/history?d=1y"/>
    <n v="53"/>
    <x v="5"/>
  </r>
  <r>
    <x v="5"/>
    <s v="Pandian Exp"/>
    <s v="VRI"/>
    <x v="16"/>
    <n v="21"/>
    <n v="36.99"/>
    <n v="62.47"/>
    <n v="0.55000000000000004"/>
    <n v="0"/>
    <d v="2025-09-27T17:58:13"/>
    <s v="https://etrain.info/train/Pandian-Exp-12638/history?d=1y"/>
    <n v="54"/>
    <x v="6"/>
  </r>
  <r>
    <x v="5"/>
    <s v="Pandian Exp"/>
    <s v="VM"/>
    <x v="15"/>
    <n v="12"/>
    <n v="84.38"/>
    <n v="14.79"/>
    <n v="0.82"/>
    <n v="0.01"/>
    <d v="2025-09-27T17:58:15"/>
    <s v="https://etrain.info/train/Pandian-Exp-12638/history?d=1y"/>
    <n v="55"/>
    <x v="7"/>
  </r>
  <r>
    <x v="5"/>
    <s v="Pandian Exp"/>
    <s v="MLMR"/>
    <x v="14"/>
    <n v="16"/>
    <n v="10.41"/>
    <n v="5.75"/>
    <n v="0.55000000000000004"/>
    <n v="83.29"/>
    <d v="2025-09-27T17:58:17"/>
    <s v="https://etrain.info/train/Pandian-Exp-12638/history?d=1y"/>
    <n v="56"/>
    <x v="8"/>
  </r>
  <r>
    <x v="5"/>
    <s v="Pandian Exp"/>
    <s v="CGL"/>
    <x v="13"/>
    <n v="18"/>
    <n v="49.04"/>
    <n v="48.77"/>
    <n v="1.92"/>
    <n v="0.27"/>
    <d v="2025-09-27T17:58:19"/>
    <s v="https://etrain.info/train/Pandian-Exp-12638/history?d=1y"/>
    <n v="57"/>
    <x v="9"/>
  </r>
  <r>
    <x v="5"/>
    <s v="Pandian Exp"/>
    <s v="TBM"/>
    <x v="12"/>
    <n v="23"/>
    <n v="32.33"/>
    <n v="64.930000000000007"/>
    <n v="2.4700000000000002"/>
    <n v="0.27"/>
    <d v="2025-09-27T17:58:20"/>
    <s v="https://etrain.info/train/Pandian-Exp-12638/history?d=1y"/>
    <n v="58"/>
    <x v="10"/>
  </r>
  <r>
    <x v="5"/>
    <s v="Pandian Exp"/>
    <s v="MBM"/>
    <x v="23"/>
    <n v="7"/>
    <n v="93.15"/>
    <n v="5.75"/>
    <n v="0.82"/>
    <n v="0.28000000000000003"/>
    <d v="2025-09-27T17:58:22"/>
    <s v="https://etrain.info/train/Pandian-Exp-12638/history?d=1y"/>
    <n v="59"/>
    <x v="11"/>
  </r>
  <r>
    <x v="5"/>
    <s v="Pandian Exp"/>
    <s v="MS"/>
    <x v="11"/>
    <m/>
    <n v="95.07"/>
    <n v="3.84"/>
    <n v="1.1000000000000001"/>
    <n v="0"/>
    <d v="2025-09-27T17:58:25"/>
    <s v="https://etrain.info/train/Pandian-Exp-12638/history?d=1y"/>
    <n v="60"/>
    <x v="12"/>
  </r>
  <r>
    <x v="6"/>
    <s v="Nellai Express"/>
    <s v="MS"/>
    <x v="11"/>
    <n v="3"/>
    <n v="99.45"/>
    <n v="0.27"/>
    <n v="0.27"/>
    <n v="0.01"/>
    <d v="2025-09-27T17:58:29"/>
    <s v="https://etrain.info/train/Nellai-Express-12631/history?d=1y"/>
    <n v="61"/>
    <x v="0"/>
  </r>
  <r>
    <x v="6"/>
    <s v="Nellai Express"/>
    <s v="TBM"/>
    <x v="12"/>
    <n v="6"/>
    <n v="97.26"/>
    <n v="2.19"/>
    <n v="0.55000000000000004"/>
    <n v="0"/>
    <d v="2025-09-27T17:58:33"/>
    <s v="https://etrain.info/train/Nellai-Express-12631/history?d=1y"/>
    <n v="62"/>
    <x v="1"/>
  </r>
  <r>
    <x v="6"/>
    <s v="Nellai Express"/>
    <s v="CGL"/>
    <x v="13"/>
    <n v="7"/>
    <n v="96.16"/>
    <n v="3.29"/>
    <n v="0.55000000000000004"/>
    <n v="0"/>
    <d v="2025-09-27T17:58:37"/>
    <s v="https://etrain.info/train/Nellai-Express-12631/history?d=1y"/>
    <n v="63"/>
    <x v="2"/>
  </r>
  <r>
    <x v="6"/>
    <s v="Nellai Express"/>
    <s v="MLMR"/>
    <x v="14"/>
    <n v="11"/>
    <n v="82.47"/>
    <n v="16.989999999999998"/>
    <n v="0.55000000000000004"/>
    <n v="0"/>
    <d v="2025-09-27T17:58:41"/>
    <s v="https://etrain.info/train/Nellai-Express-12631/history?d=1y"/>
    <n v="64"/>
    <x v="3"/>
  </r>
  <r>
    <x v="6"/>
    <s v="Nellai Express"/>
    <s v="TMV"/>
    <x v="24"/>
    <n v="17"/>
    <n v="59.45"/>
    <n v="40"/>
    <n v="0.55000000000000004"/>
    <n v="0"/>
    <d v="2025-09-27T17:58:45"/>
    <s v="https://etrain.info/train/Nellai-Express-12631/history?d=1y"/>
    <n v="65"/>
    <x v="4"/>
  </r>
  <r>
    <x v="6"/>
    <s v="Nellai Express"/>
    <s v="VM"/>
    <x v="15"/>
    <n v="10"/>
    <n v="82.74"/>
    <n v="16.71"/>
    <n v="0.55000000000000004"/>
    <n v="0"/>
    <d v="2025-09-27T17:58:49"/>
    <s v="https://etrain.info/train/Nellai-Express-12631/history?d=1y"/>
    <n v="66"/>
    <x v="5"/>
  </r>
  <r>
    <x v="6"/>
    <s v="Nellai Express"/>
    <s v="VRI"/>
    <x v="16"/>
    <n v="12"/>
    <n v="75.62"/>
    <n v="23.56"/>
    <n v="0.82"/>
    <n v="0"/>
    <d v="2025-09-27T17:58:53"/>
    <s v="https://etrain.info/train/Nellai-Express-12631/history?d=1y"/>
    <n v="67"/>
    <x v="6"/>
  </r>
  <r>
    <x v="6"/>
    <s v="Nellai Express"/>
    <s v="TPJ"/>
    <x v="17"/>
    <n v="11"/>
    <n v="78.36"/>
    <n v="20.55"/>
    <n v="1.1000000000000001"/>
    <n v="0"/>
    <d v="2025-09-27T17:58:57"/>
    <s v="https://etrain.info/train/Nellai-Express-12631/history?d=1y"/>
    <n v="68"/>
    <x v="7"/>
  </r>
  <r>
    <x v="6"/>
    <s v="Nellai Express"/>
    <s v="DG"/>
    <x v="19"/>
    <n v="13"/>
    <n v="72.05"/>
    <n v="26.58"/>
    <n v="1.37"/>
    <n v="0"/>
    <d v="2025-09-27T17:59:01"/>
    <s v="https://etrain.info/train/Nellai-Express-12631/history?d=1y"/>
    <n v="69"/>
    <x v="8"/>
  </r>
  <r>
    <x v="6"/>
    <s v="Nellai Express"/>
    <s v="SDN"/>
    <x v="25"/>
    <n v="16"/>
    <n v="58.36"/>
    <n v="40.270000000000003"/>
    <n v="1.37"/>
    <n v="0"/>
    <d v="2025-09-27T17:59:05"/>
    <s v="https://etrain.info/train/Nellai-Express-12631/history?d=1y"/>
    <n v="70"/>
    <x v="9"/>
  </r>
  <r>
    <x v="6"/>
    <s v="Nellai Express"/>
    <s v="MDU"/>
    <x v="22"/>
    <n v="13"/>
    <n v="68.22"/>
    <n v="30.68"/>
    <n v="1.1000000000000001"/>
    <n v="0"/>
    <d v="2025-09-27T17:59:09"/>
    <s v="https://etrain.info/train/Nellai-Express-12631/history?d=1y"/>
    <n v="71"/>
    <x v="10"/>
  </r>
  <r>
    <x v="6"/>
    <s v="Nellai Express"/>
    <s v="VPT"/>
    <x v="26"/>
    <n v="16"/>
    <n v="61.64"/>
    <n v="37.53"/>
    <n v="0.82"/>
    <n v="0.01"/>
    <d v="2025-09-27T17:59:10"/>
    <s v="https://etrain.info/train/Nellai-Express-12631/history?d=1y"/>
    <n v="72"/>
    <x v="11"/>
  </r>
  <r>
    <x v="6"/>
    <s v="Nellai Express"/>
    <s v="SRT"/>
    <x v="27"/>
    <n v="15"/>
    <n v="60.55"/>
    <n v="38.36"/>
    <n v="1.1000000000000001"/>
    <n v="0"/>
    <d v="2025-09-27T17:59:14"/>
    <s v="https://etrain.info/train/Nellai-Express-12631/history?d=1y"/>
    <n v="73"/>
    <x v="12"/>
  </r>
  <r>
    <x v="6"/>
    <s v="Nellai Express"/>
    <s v="CVP"/>
    <x v="28"/>
    <n v="17"/>
    <n v="56.44"/>
    <n v="42.47"/>
    <n v="1.1000000000000001"/>
    <n v="0"/>
    <d v="2025-09-27T17:59:18"/>
    <s v="https://etrain.info/train/Nellai-Express-12631/history?d=1y"/>
    <n v="74"/>
    <x v="13"/>
  </r>
  <r>
    <x v="6"/>
    <s v="Nellai Express"/>
    <s v="TEN"/>
    <x v="29"/>
    <m/>
    <n v="98.63"/>
    <n v="0.82"/>
    <n v="0.55000000000000004"/>
    <n v="0"/>
    <d v="2025-09-27T17:59:22"/>
    <s v="https://etrain.info/train/Nellai-Express-12631/history?d=1y"/>
    <n v="75"/>
    <x v="14"/>
  </r>
  <r>
    <x v="7"/>
    <s v="Nellai Express"/>
    <s v="TEN"/>
    <x v="29"/>
    <n v="3"/>
    <n v="99.18"/>
    <n v="0.82"/>
    <n v="0"/>
    <n v="0"/>
    <d v="2025-09-27T17:59:28"/>
    <s v="https://etrain.info/train/Nellai-Express-12632/history?d=1y"/>
    <n v="76"/>
    <x v="0"/>
  </r>
  <r>
    <x v="7"/>
    <s v="Nellai Express"/>
    <s v="CVP"/>
    <x v="28"/>
    <n v="8"/>
    <n v="96.16"/>
    <n v="3.84"/>
    <n v="0"/>
    <n v="0"/>
    <d v="2025-09-27T17:59:32"/>
    <s v="https://etrain.info/train/Nellai-Express-12632/history?d=1y"/>
    <n v="77"/>
    <x v="1"/>
  </r>
  <r>
    <x v="7"/>
    <s v="Nellai Express"/>
    <s v="SRT"/>
    <x v="27"/>
    <n v="9"/>
    <n v="90.96"/>
    <n v="9.0399999999999991"/>
    <n v="0"/>
    <n v="0"/>
    <d v="2025-09-27T17:59:36"/>
    <s v="https://etrain.info/train/Nellai-Express-12632/history?d=1y"/>
    <n v="78"/>
    <x v="2"/>
  </r>
  <r>
    <x v="7"/>
    <s v="Nellai Express"/>
    <s v="VPT"/>
    <x v="26"/>
    <n v="7"/>
    <n v="96.16"/>
    <n v="3.84"/>
    <n v="0"/>
    <n v="0"/>
    <d v="2025-09-27T17:59:40"/>
    <s v="https://etrain.info/train/Nellai-Express-12632/history?d=1y"/>
    <n v="79"/>
    <x v="3"/>
  </r>
  <r>
    <x v="7"/>
    <s v="Nellai Express"/>
    <s v="MDU"/>
    <x v="22"/>
    <n v="11"/>
    <n v="78.900000000000006"/>
    <n v="21.1"/>
    <n v="0"/>
    <n v="0"/>
    <d v="2025-09-27T17:59:44"/>
    <s v="https://etrain.info/train/Nellai-Express-12632/history?d=1y"/>
    <n v="80"/>
    <x v="4"/>
  </r>
  <r>
    <x v="7"/>
    <s v="Nellai Express"/>
    <s v="SDN"/>
    <x v="25"/>
    <n v="13"/>
    <n v="71.23"/>
    <n v="28.77"/>
    <n v="0"/>
    <n v="0"/>
    <d v="2025-09-27T17:59:48"/>
    <s v="https://etrain.info/train/Nellai-Express-12632/history?d=1y"/>
    <n v="81"/>
    <x v="5"/>
  </r>
  <r>
    <x v="7"/>
    <s v="Nellai Express"/>
    <s v="DG"/>
    <x v="19"/>
    <n v="9"/>
    <n v="85.21"/>
    <n v="14.79"/>
    <n v="0"/>
    <n v="0"/>
    <d v="2025-09-27T17:59:52"/>
    <s v="https://etrain.info/train/Nellai-Express-12632/history?d=1y"/>
    <n v="82"/>
    <x v="6"/>
  </r>
  <r>
    <x v="7"/>
    <s v="Nellai Express"/>
    <s v="TPJ"/>
    <x v="17"/>
    <n v="7"/>
    <n v="91.78"/>
    <n v="8.2200000000000006"/>
    <n v="0"/>
    <n v="0"/>
    <d v="2025-09-27T17:59:56"/>
    <s v="https://etrain.info/train/Nellai-Express-12632/history?d=1y"/>
    <n v="83"/>
    <x v="7"/>
  </r>
  <r>
    <x v="7"/>
    <s v="Nellai Express"/>
    <s v="VRI"/>
    <x v="16"/>
    <n v="22"/>
    <n v="36.159999999999997"/>
    <n v="62.74"/>
    <n v="1.1000000000000001"/>
    <n v="0"/>
    <d v="2025-09-27T18:00:01"/>
    <s v="https://etrain.info/train/Nellai-Express-12632/history?d=1y"/>
    <n v="84"/>
    <x v="8"/>
  </r>
  <r>
    <x v="7"/>
    <s v="Nellai Express"/>
    <s v="VM"/>
    <x v="15"/>
    <n v="16"/>
    <n v="54.79"/>
    <n v="43.56"/>
    <n v="1.64"/>
    <n v="0.01"/>
    <d v="2025-09-27T18:00:02"/>
    <s v="https://etrain.info/train/Nellai-Express-12632/history?d=1y"/>
    <n v="85"/>
    <x v="9"/>
  </r>
  <r>
    <x v="7"/>
    <s v="Nellai Express"/>
    <s v="TMV"/>
    <x v="24"/>
    <n v="19"/>
    <n v="39.18"/>
    <n v="58.9"/>
    <n v="1.64"/>
    <n v="0.28000000000000003"/>
    <d v="2025-09-27T18:00:05"/>
    <s v="https://etrain.info/train/Nellai-Express-12632/history?d=1y"/>
    <n v="86"/>
    <x v="10"/>
  </r>
  <r>
    <x v="7"/>
    <s v="Nellai Express"/>
    <s v="MLMR"/>
    <x v="14"/>
    <n v="20"/>
    <n v="37.53"/>
    <n v="60.55"/>
    <n v="1.64"/>
    <n v="0.28000000000000003"/>
    <d v="2025-09-27T18:00:06"/>
    <s v="https://etrain.info/train/Nellai-Express-12632/history?d=1y"/>
    <n v="87"/>
    <x v="11"/>
  </r>
  <r>
    <x v="7"/>
    <s v="Nellai Express"/>
    <s v="CGL"/>
    <x v="13"/>
    <n v="19"/>
    <n v="44.38"/>
    <n v="53.42"/>
    <n v="1.92"/>
    <n v="0.28000000000000003"/>
    <d v="2025-09-27T18:00:08"/>
    <s v="https://etrain.info/train/Nellai-Express-12632/history?d=1y"/>
    <n v="88"/>
    <x v="12"/>
  </r>
  <r>
    <x v="7"/>
    <s v="Nellai Express"/>
    <s v="TBM"/>
    <x v="12"/>
    <n v="24"/>
    <n v="27.12"/>
    <n v="69.59"/>
    <n v="2.74"/>
    <n v="0.55000000000000004"/>
    <d v="2025-09-27T18:00:10"/>
    <s v="https://etrain.info/train/Nellai-Express-12632/history?d=1y"/>
    <n v="89"/>
    <x v="13"/>
  </r>
  <r>
    <x v="7"/>
    <s v="Nellai Express"/>
    <s v="MBM"/>
    <x v="23"/>
    <n v="9"/>
    <n v="89.32"/>
    <n v="9.0399999999999991"/>
    <n v="1.1000000000000001"/>
    <n v="0.54"/>
    <d v="2025-09-27T18:00:12"/>
    <s v="https://etrain.info/train/Nellai-Express-12632/history?d=1y"/>
    <n v="90"/>
    <x v="14"/>
  </r>
  <r>
    <x v="7"/>
    <s v="Nellai Express"/>
    <s v="MS"/>
    <x v="11"/>
    <m/>
    <n v="94.52"/>
    <n v="3.01"/>
    <n v="2.19"/>
    <n v="0.28000000000000003"/>
    <d v="2025-09-27T18:00:14"/>
    <s v="https://etrain.info/train/Nellai-Express-12632/history?d=1y"/>
    <n v="91"/>
    <x v="15"/>
  </r>
  <r>
    <x v="8"/>
    <s v="Vande Bharat"/>
    <s v="MS"/>
    <x v="11"/>
    <n v="1"/>
    <n v="100"/>
    <n v="0"/>
    <n v="0"/>
    <n v="0"/>
    <d v="2025-09-27T18:00:17"/>
    <s v="https://etrain.info/train/Vande-Bharat-20665/history?d=1y"/>
    <n v="92"/>
    <x v="0"/>
  </r>
  <r>
    <x v="8"/>
    <s v="Vande Bharat"/>
    <s v="TBM"/>
    <x v="12"/>
    <n v="3"/>
    <n v="100"/>
    <n v="0"/>
    <n v="0"/>
    <n v="0"/>
    <d v="2025-09-27T18:00:19"/>
    <s v="https://etrain.info/train/Vande-Bharat-20665/history?d=1y"/>
    <n v="93"/>
    <x v="1"/>
  </r>
  <r>
    <x v="8"/>
    <s v="Vande Bharat"/>
    <s v="VM"/>
    <x v="15"/>
    <n v="7"/>
    <n v="92.31"/>
    <n v="7.69"/>
    <n v="0"/>
    <n v="0"/>
    <d v="2025-09-27T18:00:23"/>
    <s v="https://etrain.info/train/Vande-Bharat-20665/history?d=1y"/>
    <n v="94"/>
    <x v="2"/>
  </r>
  <r>
    <x v="8"/>
    <s v="Vande Bharat"/>
    <s v="TPJ"/>
    <x v="17"/>
    <n v="7"/>
    <n v="92.31"/>
    <n v="7.69"/>
    <n v="0"/>
    <n v="0"/>
    <d v="2025-09-27T18:00:26"/>
    <s v="https://etrain.info/train/Vande-Bharat-20665/history?d=1y"/>
    <n v="95"/>
    <x v="3"/>
  </r>
  <r>
    <x v="8"/>
    <s v="Vande Bharat"/>
    <s v="DG"/>
    <x v="19"/>
    <n v="11"/>
    <n v="88.46"/>
    <n v="7.69"/>
    <n v="3.85"/>
    <n v="0"/>
    <d v="2025-09-27T18:00:30"/>
    <s v="https://etrain.info/train/Vande-Bharat-20665/history?d=1y"/>
    <n v="96"/>
    <x v="4"/>
  </r>
  <r>
    <x v="8"/>
    <s v="Vande Bharat"/>
    <s v="MDU"/>
    <x v="22"/>
    <n v="15"/>
    <n v="80.77"/>
    <n v="15.38"/>
    <n v="3.85"/>
    <n v="0"/>
    <d v="2025-09-27T18:00:34"/>
    <s v="https://etrain.info/train/Vande-Bharat-20665/history?d=1y"/>
    <n v="97"/>
    <x v="5"/>
  </r>
  <r>
    <x v="8"/>
    <s v="Vande Bharat"/>
    <s v="VPT"/>
    <x v="26"/>
    <n v="17"/>
    <n v="61.54"/>
    <n v="34.619999999999997"/>
    <n v="3.85"/>
    <n v="0"/>
    <d v="2025-09-27T18:00:38"/>
    <s v="https://etrain.info/train/Vande-Bharat-20665/history?d=1y"/>
    <n v="98"/>
    <x v="6"/>
  </r>
  <r>
    <x v="8"/>
    <s v="Vande Bharat"/>
    <s v="TEN"/>
    <x v="29"/>
    <m/>
    <n v="96.15"/>
    <n v="0"/>
    <n v="3.85"/>
    <n v="0"/>
    <d v="2025-09-27T18:00:41"/>
    <s v="https://etrain.info/train/Vande-Bharat-20665/history?d=1y"/>
    <n v="99"/>
    <x v="7"/>
  </r>
  <r>
    <x v="9"/>
    <s v="Vande Bharat"/>
    <s v="TEN"/>
    <x v="29"/>
    <n v="0"/>
    <n v="100"/>
    <n v="0"/>
    <n v="0"/>
    <n v="0"/>
    <d v="2025-09-27T18:00:45"/>
    <s v="https://etrain.info/train/Vande-Bharat-20666/history?d=1y"/>
    <n v="100"/>
    <x v="0"/>
  </r>
  <r>
    <x v="9"/>
    <s v="Vande Bharat"/>
    <s v="VPT"/>
    <x v="26"/>
    <m/>
    <n v="100"/>
    <n v="0"/>
    <n v="0"/>
    <n v="0"/>
    <d v="2025-09-27T18:00:48"/>
    <s v="https://etrain.info/train/Vande-Bharat-20666/history?d=1y"/>
    <n v="101"/>
    <x v="1"/>
  </r>
  <r>
    <x v="9"/>
    <s v="Vande Bharat"/>
    <s v="MDU"/>
    <x v="22"/>
    <n v="2"/>
    <n v="100"/>
    <n v="0"/>
    <n v="0"/>
    <n v="0"/>
    <d v="2025-09-27T18:00:50"/>
    <s v="https://etrain.info/train/Vande-Bharat-20666/history?d=1y"/>
    <n v="102"/>
    <x v="2"/>
  </r>
  <r>
    <x v="9"/>
    <s v="Vande Bharat"/>
    <s v="DG"/>
    <x v="19"/>
    <n v="9"/>
    <n v="96.15"/>
    <n v="3.85"/>
    <n v="0"/>
    <n v="0"/>
    <d v="2025-09-27T18:00:54"/>
    <s v="https://etrain.info/train/Vande-Bharat-20666/history?d=1y"/>
    <n v="103"/>
    <x v="3"/>
  </r>
  <r>
    <x v="9"/>
    <s v="Vande Bharat"/>
    <s v="TPJ"/>
    <x v="17"/>
    <n v="3"/>
    <n v="100"/>
    <n v="0"/>
    <n v="0"/>
    <n v="0"/>
    <d v="2025-09-27T18:00:56"/>
    <s v="https://etrain.info/train/Vande-Bharat-20666/history?d=1y"/>
    <n v="104"/>
    <x v="4"/>
  </r>
  <r>
    <x v="9"/>
    <s v="Vande Bharat"/>
    <s v="VM"/>
    <x v="15"/>
    <n v="10"/>
    <n v="92.31"/>
    <n v="7.69"/>
    <n v="0"/>
    <n v="0"/>
    <d v="2025-09-27T18:01:00"/>
    <s v="https://etrain.info/train/Vande-Bharat-20666/history?d=1y"/>
    <n v="105"/>
    <x v="5"/>
  </r>
  <r>
    <x v="9"/>
    <s v="Vande Bharat"/>
    <s v="TBM"/>
    <x v="12"/>
    <n v="20"/>
    <n v="19.23"/>
    <n v="80.77"/>
    <n v="0"/>
    <n v="0"/>
    <d v="2025-09-27T18:01:01"/>
    <s v="https://etrain.info/train/Vande-Bharat-20666/history?d=1y"/>
    <n v="106"/>
    <x v="6"/>
  </r>
  <r>
    <x v="9"/>
    <s v="Vande Bharat"/>
    <s v="MS"/>
    <x v="11"/>
    <n v="4"/>
    <n v="92.31"/>
    <n v="7.69"/>
    <n v="0"/>
    <n v="0"/>
    <d v="2025-09-27T18:01:05"/>
    <s v="https://etrain.info/train/Vande-Bharat-20666/history?d=1y"/>
    <n v="107"/>
    <x v="7"/>
  </r>
  <r>
    <x v="10"/>
    <s v="Tamil Nadu Exp"/>
    <s v="MAS"/>
    <x v="0"/>
    <m/>
    <n v="96.99"/>
    <n v="2.74"/>
    <n v="0.27"/>
    <n v="0"/>
    <d v="2025-09-27T18:01:11"/>
    <s v="https://etrain.info/train/Tamil-Nadu-Exp-12621/history?d=1y"/>
    <n v="108"/>
    <x v="0"/>
  </r>
  <r>
    <x v="10"/>
    <s v="Tamil Nadu Exp"/>
    <s v="BZA"/>
    <x v="30"/>
    <n v="17"/>
    <n v="59.18"/>
    <n v="37.26"/>
    <n v="3.01"/>
    <n v="0.55000000000000004"/>
    <d v="2025-09-27T18:01:13"/>
    <s v="https://etrain.info/train/Tamil-Nadu-Exp-12621/history?d=1y"/>
    <n v="109"/>
    <x v="1"/>
  </r>
  <r>
    <x v="10"/>
    <s v="Tamil Nadu Exp"/>
    <s v="KMT"/>
    <x v="31"/>
    <n v="17"/>
    <n v="62.47"/>
    <n v="33.42"/>
    <n v="3.29"/>
    <n v="0.82"/>
    <d v="2025-09-27T18:01:15"/>
    <s v="https://etrain.info/train/Tamil-Nadu-Exp-12621/history?d=1y"/>
    <n v="110"/>
    <x v="2"/>
  </r>
  <r>
    <x v="10"/>
    <s v="Tamil Nadu Exp"/>
    <s v="WL"/>
    <x v="32"/>
    <n v="28"/>
    <n v="32.6"/>
    <n v="61.64"/>
    <n v="4.93"/>
    <n v="0.83"/>
    <d v="2025-09-27T18:01:17"/>
    <s v="https://etrain.info/train/Tamil-Nadu-Exp-12621/history?d=1y"/>
    <n v="111"/>
    <x v="3"/>
  </r>
  <r>
    <x v="10"/>
    <s v="Tamil Nadu Exp"/>
    <s v="BPQ"/>
    <x v="33"/>
    <n v="22"/>
    <n v="53.97"/>
    <n v="38.9"/>
    <n v="6.3"/>
    <n v="0.83"/>
    <d v="2025-09-27T18:01:19"/>
    <s v="https://etrain.info/train/Tamil-Nadu-Exp-12621/history?d=1y"/>
    <n v="112"/>
    <x v="4"/>
  </r>
  <r>
    <x v="10"/>
    <s v="Tamil Nadu Exp"/>
    <s v="NGP"/>
    <x v="34"/>
    <n v="37"/>
    <n v="26.58"/>
    <n v="63.29"/>
    <n v="9.59"/>
    <n v="0.54"/>
    <d v="2025-09-27T18:01:21"/>
    <s v="https://etrain.info/train/Tamil-Nadu-Exp-12621/history?d=1y"/>
    <n v="113"/>
    <x v="5"/>
  </r>
  <r>
    <x v="10"/>
    <s v="Tamil Nadu Exp"/>
    <s v="ET"/>
    <x v="35"/>
    <n v="29"/>
    <n v="67.95"/>
    <n v="20.27"/>
    <n v="11.78"/>
    <n v="0"/>
    <d v="2025-09-27T18:01:24"/>
    <s v="https://etrain.info/train/Tamil-Nadu-Exp-12621/history?d=1y"/>
    <n v="114"/>
    <x v="6"/>
  </r>
  <r>
    <x v="10"/>
    <s v="Tamil Nadu Exp"/>
    <s v="BPL"/>
    <x v="36"/>
    <m/>
    <n v="67.400000000000006"/>
    <n v="20.82"/>
    <n v="11.78"/>
    <n v="0"/>
    <d v="2025-09-27T18:01:28"/>
    <s v="https://etrain.info/train/Tamil-Nadu-Exp-12621/history?d=1y"/>
    <n v="115"/>
    <x v="7"/>
  </r>
  <r>
    <x v="10"/>
    <s v="Tamil Nadu Exp"/>
    <s v="VGLJ"/>
    <x v="37"/>
    <n v="34"/>
    <n v="51.78"/>
    <n v="36.99"/>
    <n v="11.23"/>
    <n v="0"/>
    <d v="2025-09-27T18:01:32"/>
    <s v="https://etrain.info/train/Tamil-Nadu-Exp-12621/history?d=1y"/>
    <n v="116"/>
    <x v="8"/>
  </r>
  <r>
    <x v="10"/>
    <s v="Tamil Nadu Exp"/>
    <s v="GWL"/>
    <x v="38"/>
    <n v="51"/>
    <n v="15.07"/>
    <n v="66.3"/>
    <n v="18.63"/>
    <n v="0"/>
    <d v="2025-09-27T18:01:36"/>
    <s v="https://etrain.info/train/Tamil-Nadu-Exp-12621/history?d=1y"/>
    <n v="117"/>
    <x v="9"/>
  </r>
  <r>
    <x v="10"/>
    <s v="Tamil Nadu Exp"/>
    <s v="AGC"/>
    <x v="39"/>
    <n v="49"/>
    <n v="43.01"/>
    <n v="37.26"/>
    <n v="19.73"/>
    <n v="0"/>
    <d v="2025-09-27T18:01:40"/>
    <s v="https://etrain.info/train/Tamil-Nadu-Exp-12621/history?d=1y"/>
    <n v="118"/>
    <x v="10"/>
  </r>
  <r>
    <x v="10"/>
    <s v="Tamil Nadu Exp"/>
    <s v="NZM"/>
    <x v="40"/>
    <n v="53"/>
    <n v="47.95"/>
    <n v="33.42"/>
    <n v="18.63"/>
    <n v="0"/>
    <d v="2025-09-27T18:01:45"/>
    <s v="https://etrain.info/train/Tamil-Nadu-Exp-12621/history?d=1y"/>
    <n v="119"/>
    <x v="11"/>
  </r>
  <r>
    <x v="10"/>
    <s v="Tamil Nadu Exp"/>
    <s v="NDLS"/>
    <x v="41"/>
    <n v="54"/>
    <n v="44.93"/>
    <n v="35.89"/>
    <n v="19.18"/>
    <n v="0"/>
    <d v="2025-09-27T18:01:46"/>
    <s v="https://etrain.info/train/Tamil-Nadu-Exp-12621/history?d=1y"/>
    <n v="120"/>
    <x v="12"/>
  </r>
  <r>
    <x v="11"/>
    <s v="Tamil Nadu Exp"/>
    <s v="NDLS"/>
    <x v="41"/>
    <n v="16"/>
    <n v="93.97"/>
    <n v="1.37"/>
    <n v="4.66"/>
    <n v="0"/>
    <d v="2025-09-27T18:01:52"/>
    <s v="https://etrain.info/train/Tamil-Nadu-Exp-12622/history?d=1y"/>
    <n v="121"/>
    <x v="0"/>
  </r>
  <r>
    <x v="11"/>
    <s v="Tamil Nadu Exp"/>
    <s v="AGC"/>
    <x v="39"/>
    <n v="37"/>
    <n v="25.21"/>
    <n v="67.400000000000006"/>
    <n v="7.4"/>
    <n v="0"/>
    <d v="2025-09-27T18:01:56"/>
    <s v="https://etrain.info/train/Tamil-Nadu-Exp-12622/history?d=1y"/>
    <n v="122"/>
    <x v="1"/>
  </r>
  <r>
    <x v="11"/>
    <s v="Tamil Nadu Exp"/>
    <s v="GWL"/>
    <x v="38"/>
    <n v="31"/>
    <n v="61.64"/>
    <n v="29.04"/>
    <n v="9.32"/>
    <n v="0"/>
    <d v="2025-09-27T18:01:58"/>
    <s v="https://etrain.info/train/Tamil-Nadu-Exp-12622/history?d=1y"/>
    <n v="123"/>
    <x v="2"/>
  </r>
  <r>
    <x v="11"/>
    <s v="Tamil Nadu Exp"/>
    <s v="VGLJ"/>
    <x v="37"/>
    <n v="37"/>
    <n v="53.42"/>
    <n v="36.71"/>
    <n v="9.86"/>
    <n v="0.01"/>
    <d v="2025-09-27T18:02:00"/>
    <s v="https://etrain.info/train/Tamil-Nadu-Exp-12622/history?d=1y"/>
    <n v="124"/>
    <x v="3"/>
  </r>
  <r>
    <x v="11"/>
    <s v="Tamil Nadu Exp"/>
    <s v="BPL"/>
    <x v="36"/>
    <n v="39"/>
    <n v="59.18"/>
    <n v="27.4"/>
    <n v="13.42"/>
    <n v="0"/>
    <d v="2025-09-27T18:02:04"/>
    <s v="https://etrain.info/train/Tamil-Nadu-Exp-12622/history?d=1y"/>
    <n v="125"/>
    <x v="4"/>
  </r>
  <r>
    <x v="11"/>
    <s v="Tamil Nadu Exp"/>
    <s v="ET"/>
    <x v="35"/>
    <n v="35"/>
    <n v="78.36"/>
    <n v="7.95"/>
    <n v="13.7"/>
    <n v="0"/>
    <d v="2025-09-27T18:02:08"/>
    <s v="https://etrain.info/train/Tamil-Nadu-Exp-12622/history?d=1y"/>
    <n v="126"/>
    <x v="5"/>
  </r>
  <r>
    <x v="11"/>
    <s v="Tamil Nadu Exp"/>
    <s v="NGP"/>
    <x v="34"/>
    <n v="45"/>
    <n v="58.36"/>
    <n v="28.22"/>
    <n v="13.42"/>
    <n v="0"/>
    <d v="2025-09-27T18:02:12"/>
    <s v="https://etrain.info/train/Tamil-Nadu-Exp-12622/history?d=1y"/>
    <n v="127"/>
    <x v="6"/>
  </r>
  <r>
    <x v="11"/>
    <s v="Tamil Nadu Exp"/>
    <s v="BPQ"/>
    <x v="33"/>
    <n v="46"/>
    <n v="61.92"/>
    <n v="22.19"/>
    <n v="15.62"/>
    <n v="0.27"/>
    <d v="2025-09-27T18:02:14"/>
    <s v="https://etrain.info/train/Tamil-Nadu-Exp-12622/history?d=1y"/>
    <n v="128"/>
    <x v="7"/>
  </r>
  <r>
    <x v="11"/>
    <s v="Tamil Nadu Exp"/>
    <s v="WL"/>
    <x v="32"/>
    <n v="64"/>
    <n v="23.56"/>
    <n v="55.07"/>
    <n v="21.1"/>
    <n v="0.27"/>
    <d v="2025-09-27T18:02:16"/>
    <s v="https://etrain.info/train/Tamil-Nadu-Exp-12622/history?d=1y"/>
    <n v="129"/>
    <x v="8"/>
  </r>
  <r>
    <x v="11"/>
    <s v="Tamil Nadu Exp"/>
    <s v="KMT"/>
    <x v="31"/>
    <n v="82"/>
    <n v="5.75"/>
    <n v="59.73"/>
    <n v="34.25"/>
    <n v="0.27"/>
    <d v="2025-09-27T18:02:18"/>
    <s v="https://etrain.info/train/Tamil-Nadu-Exp-12622/history?d=1y"/>
    <n v="130"/>
    <x v="9"/>
  </r>
  <r>
    <x v="11"/>
    <s v="Tamil Nadu Exp"/>
    <s v="BZA"/>
    <x v="30"/>
    <n v="67"/>
    <n v="25.75"/>
    <n v="53.15"/>
    <n v="21.1"/>
    <n v="0"/>
    <d v="2025-09-27T18:02:20"/>
    <s v="https://etrain.info/train/Tamil-Nadu-Exp-12622/history?d=1y"/>
    <n v="131"/>
    <x v="10"/>
  </r>
  <r>
    <x v="11"/>
    <s v="Tamil Nadu Exp"/>
    <s v="MAS"/>
    <x v="0"/>
    <n v="36"/>
    <n v="79.45"/>
    <n v="7.4"/>
    <n v="13.15"/>
    <n v="0"/>
    <d v="2025-09-27T18:02:24"/>
    <s v="https://etrain.info/train/Tamil-Nadu-Exp-12622/history?d=1y"/>
    <n v="132"/>
    <x v="11"/>
  </r>
  <r>
    <x v="12"/>
    <s v="Howrah Mail"/>
    <s v="HWH"/>
    <x v="42"/>
    <n v="45"/>
    <n v="36.67"/>
    <n v="46.67"/>
    <n v="16.670000000000002"/>
    <n v="0"/>
    <d v="2025-09-27T18:02:29"/>
    <s v="https://etrain.info/train/Howrah-Mail-12839/history?d=1y"/>
    <n v="133"/>
    <x v="0"/>
  </r>
  <r>
    <x v="12"/>
    <s v="Howrah Mail"/>
    <s v="KGP"/>
    <x v="43"/>
    <n v="68"/>
    <n v="10"/>
    <n v="50"/>
    <n v="40"/>
    <n v="0"/>
    <d v="2025-09-27T18:02:31"/>
    <s v="https://etrain.info/train/Howrah-Mail-12839/history?d=1y"/>
    <n v="134"/>
    <x v="1"/>
  </r>
  <r>
    <x v="12"/>
    <s v="Howrah Mail"/>
    <s v="BLS"/>
    <x v="44"/>
    <n v="87"/>
    <n v="0"/>
    <n v="46.67"/>
    <n v="53.33"/>
    <n v="0"/>
    <d v="2025-09-27T18:02:33"/>
    <s v="https://etrain.info/train/Howrah-Mail-12839/history?d=1y"/>
    <n v="135"/>
    <x v="2"/>
  </r>
  <r>
    <x v="12"/>
    <s v="Howrah Mail"/>
    <s v="BHC"/>
    <x v="45"/>
    <n v="81"/>
    <n v="16.670000000000002"/>
    <n v="40"/>
    <n v="43.33"/>
    <n v="0"/>
    <d v="2025-09-27T18:02:35"/>
    <s v="https://etrain.info/train/Howrah-Mail-12839/history?d=1y"/>
    <n v="136"/>
    <x v="3"/>
  </r>
  <r>
    <x v="12"/>
    <s v="Howrah Mail"/>
    <s v="JJKR"/>
    <x v="46"/>
    <n v="90"/>
    <n v="6.67"/>
    <n v="36.67"/>
    <n v="56.67"/>
    <n v="0"/>
    <d v="2025-09-27T18:02:39"/>
    <s v="https://etrain.info/train/Howrah-Mail-12839/history?d=1y"/>
    <n v="137"/>
    <x v="4"/>
  </r>
  <r>
    <x v="12"/>
    <s v="Howrah Mail"/>
    <s v="CTC"/>
    <x v="47"/>
    <n v="104"/>
    <n v="0"/>
    <n v="26.67"/>
    <n v="73.33"/>
    <n v="0"/>
    <d v="2025-09-27T18:02:41"/>
    <s v="https://etrain.info/train/Howrah-Mail-12839/history?d=1y"/>
    <n v="138"/>
    <x v="5"/>
  </r>
  <r>
    <x v="12"/>
    <s v="Howrah Mail"/>
    <s v="BBS"/>
    <x v="48"/>
    <n v="111"/>
    <n v="0"/>
    <n v="26.67"/>
    <n v="73.33"/>
    <n v="0"/>
    <d v="2025-09-27T18:02:43"/>
    <s v="https://etrain.info/train/Howrah-Mail-12839/history?d=1y"/>
    <n v="139"/>
    <x v="6"/>
  </r>
  <r>
    <x v="12"/>
    <s v="Howrah Mail"/>
    <s v="KUR"/>
    <x v="49"/>
    <n v="104"/>
    <n v="3.33"/>
    <n v="23.33"/>
    <n v="73.33"/>
    <n v="0.01"/>
    <d v="2025-09-27T18:02:44"/>
    <s v="https://etrain.info/train/Howrah-Mail-12839/history?d=1y"/>
    <n v="140"/>
    <x v="7"/>
  </r>
  <r>
    <x v="12"/>
    <s v="Howrah Mail"/>
    <s v="BALU"/>
    <x v="50"/>
    <n v="115"/>
    <n v="0"/>
    <n v="16.670000000000002"/>
    <n v="83.33"/>
    <n v="0"/>
    <d v="2025-09-27T18:02:46"/>
    <s v="https://etrain.info/train/Howrah-Mail-12839/history?d=1y"/>
    <n v="141"/>
    <x v="8"/>
  </r>
  <r>
    <x v="12"/>
    <s v="Howrah Mail"/>
    <s v="CAP"/>
    <x v="51"/>
    <n v="119"/>
    <n v="0"/>
    <n v="20"/>
    <n v="80"/>
    <n v="0"/>
    <d v="2025-09-27T18:02:48"/>
    <s v="https://etrain.info/train/Howrah-Mail-12839/history?d=1y"/>
    <n v="142"/>
    <x v="9"/>
  </r>
  <r>
    <x v="12"/>
    <s v="Howrah Mail"/>
    <s v="BAM"/>
    <x v="52"/>
    <n v="139"/>
    <n v="0"/>
    <n v="10"/>
    <n v="90"/>
    <n v="0"/>
    <d v="2025-09-27T18:02:50"/>
    <s v="https://etrain.info/train/Howrah-Mail-12839/history?d=1y"/>
    <n v="143"/>
    <x v="10"/>
  </r>
  <r>
    <x v="12"/>
    <s v="Howrah Mail"/>
    <s v="IPM"/>
    <x v="53"/>
    <n v="135"/>
    <n v="0"/>
    <n v="13.33"/>
    <n v="86.67"/>
    <n v="0"/>
    <d v="2025-09-27T18:02:52"/>
    <s v="https://etrain.info/train/Howrah-Mail-12839/history?d=1y"/>
    <n v="144"/>
    <x v="11"/>
  </r>
  <r>
    <x v="12"/>
    <s v="Howrah Mail"/>
    <s v="SPT"/>
    <x v="54"/>
    <n v="135"/>
    <n v="0"/>
    <n v="13.33"/>
    <n v="86.67"/>
    <n v="0"/>
    <d v="2025-09-27T18:02:54"/>
    <s v="https://etrain.info/train/Howrah-Mail-12839/history?d=1y"/>
    <n v="145"/>
    <x v="12"/>
  </r>
  <r>
    <x v="12"/>
    <s v="Howrah Mail"/>
    <s v="PSA"/>
    <x v="55"/>
    <n v="104"/>
    <n v="6.67"/>
    <n v="33.33"/>
    <n v="60"/>
    <n v="0"/>
    <d v="2025-09-27T18:02:56"/>
    <s v="https://etrain.info/train/Howrah-Mail-12839/history?d=1y"/>
    <n v="146"/>
    <x v="13"/>
  </r>
  <r>
    <x v="12"/>
    <s v="Howrah Mail"/>
    <s v="NWP"/>
    <x v="56"/>
    <n v="99"/>
    <n v="6.67"/>
    <n v="33.33"/>
    <n v="60"/>
    <n v="0"/>
    <d v="2025-09-27T18:02:58"/>
    <s v="https://etrain.info/train/Howrah-Mail-12839/history?d=1y"/>
    <n v="147"/>
    <x v="14"/>
  </r>
  <r>
    <x v="12"/>
    <s v="Howrah Mail"/>
    <s v="CHE"/>
    <x v="57"/>
    <n v="98"/>
    <n v="10"/>
    <n v="33.33"/>
    <n v="56.67"/>
    <n v="0"/>
    <d v="2025-09-27T18:03:00"/>
    <s v="https://etrain.info/train/Howrah-Mail-12839/history?d=1y"/>
    <n v="148"/>
    <x v="15"/>
  </r>
  <r>
    <x v="12"/>
    <s v="Howrah Mail"/>
    <s v="CPP"/>
    <x v="58"/>
    <n v="106"/>
    <n v="6.67"/>
    <n v="26.67"/>
    <n v="66.67"/>
    <n v="0"/>
    <d v="2025-09-27T18:03:04"/>
    <s v="https://etrain.info/train/Howrah-Mail-12839/history?d=1y"/>
    <n v="149"/>
    <x v="16"/>
  </r>
  <r>
    <x v="12"/>
    <s v="Howrah Mail"/>
    <s v="VZM"/>
    <x v="59"/>
    <n v="98"/>
    <n v="16.670000000000002"/>
    <n v="30"/>
    <n v="53.33"/>
    <n v="0"/>
    <d v="2025-09-27T18:03:06"/>
    <s v="https://etrain.info/train/Howrah-Mail-12839/history?d=1y"/>
    <n v="150"/>
    <x v="17"/>
  </r>
  <r>
    <x v="12"/>
    <s v="Howrah Mail"/>
    <s v="VSKP"/>
    <x v="60"/>
    <n v="103"/>
    <n v="13.33"/>
    <n v="30"/>
    <n v="56.67"/>
    <n v="0"/>
    <d v="2025-09-27T18:03:07"/>
    <s v="https://etrain.info/train/Howrah-Mail-12839/history?d=1y"/>
    <n v="151"/>
    <x v="18"/>
  </r>
  <r>
    <x v="12"/>
    <s v="Howrah Mail"/>
    <s v="AKP"/>
    <x v="61"/>
    <n v="106"/>
    <n v="10"/>
    <n v="30"/>
    <n v="60"/>
    <n v="0"/>
    <d v="2025-09-27T18:03:09"/>
    <s v="https://etrain.info/train/Howrah-Mail-12839/history?d=1y"/>
    <n v="152"/>
    <x v="19"/>
  </r>
  <r>
    <x v="12"/>
    <s v="Howrah Mail"/>
    <s v="TUNI"/>
    <x v="62"/>
    <n v="112"/>
    <n v="3.33"/>
    <n v="33.33"/>
    <n v="63.33"/>
    <n v="0.01"/>
    <d v="2025-09-27T18:03:11"/>
    <s v="https://etrain.info/train/Howrah-Mail-12839/history?d=1y"/>
    <n v="153"/>
    <x v="20"/>
  </r>
  <r>
    <x v="12"/>
    <s v="Howrah Mail"/>
    <s v="ANV"/>
    <x v="63"/>
    <n v="114"/>
    <n v="0"/>
    <n v="33.33"/>
    <n v="66.67"/>
    <n v="0"/>
    <d v="2025-09-27T18:03:13"/>
    <s v="https://etrain.info/train/Howrah-Mail-12839/history?d=1y"/>
    <n v="154"/>
    <x v="21"/>
  </r>
  <r>
    <x v="12"/>
    <s v="Howrah Mail"/>
    <s v="SLO"/>
    <x v="64"/>
    <n v="132"/>
    <n v="0"/>
    <n v="13.33"/>
    <n v="86.67"/>
    <n v="0"/>
    <d v="2025-09-27T18:03:14"/>
    <s v="https://etrain.info/train/Howrah-Mail-12839/history?d=1y"/>
    <n v="155"/>
    <x v="22"/>
  </r>
  <r>
    <x v="12"/>
    <s v="Howrah Mail"/>
    <s v="RJY"/>
    <x v="65"/>
    <n v="140"/>
    <n v="0"/>
    <n v="13.33"/>
    <n v="86.67"/>
    <n v="0"/>
    <d v="2025-09-27T18:03:16"/>
    <s v="https://etrain.info/train/Howrah-Mail-12839/history?d=1y"/>
    <n v="156"/>
    <x v="23"/>
  </r>
  <r>
    <x v="12"/>
    <s v="Howrah Mail"/>
    <s v="NDD"/>
    <x v="66"/>
    <n v="145"/>
    <n v="0"/>
    <n v="13.33"/>
    <n v="86.67"/>
    <n v="0"/>
    <d v="2025-09-27T18:03:18"/>
    <s v="https://etrain.info/train/Howrah-Mail-12839/history?d=1y"/>
    <n v="157"/>
    <x v="24"/>
  </r>
  <r>
    <x v="12"/>
    <s v="Howrah Mail"/>
    <s v="TDD"/>
    <x v="67"/>
    <n v="144"/>
    <n v="0"/>
    <n v="13.33"/>
    <n v="86.67"/>
    <n v="0"/>
    <d v="2025-09-27T18:03:20"/>
    <s v="https://etrain.info/train/Howrah-Mail-12839/history?d=1y"/>
    <n v="158"/>
    <x v="25"/>
  </r>
  <r>
    <x v="12"/>
    <s v="Howrah Mail"/>
    <s v="EE"/>
    <x v="68"/>
    <n v="147"/>
    <n v="3.33"/>
    <n v="10"/>
    <n v="86.67"/>
    <n v="0"/>
    <d v="2025-09-27T18:03:22"/>
    <s v="https://etrain.info/train/Howrah-Mail-12839/history?d=1y"/>
    <n v="159"/>
    <x v="26"/>
  </r>
  <r>
    <x v="12"/>
    <s v="Howrah Mail"/>
    <s v="BZA"/>
    <x v="30"/>
    <n v="106"/>
    <n v="3.33"/>
    <n v="43.33"/>
    <n v="53.33"/>
    <n v="0.01"/>
    <d v="2025-09-27T18:03:24"/>
    <s v="https://etrain.info/train/Howrah-Mail-12839/history?d=1y"/>
    <n v="160"/>
    <x v="27"/>
  </r>
  <r>
    <x v="12"/>
    <s v="Howrah Mail"/>
    <s v="TEL"/>
    <x v="69"/>
    <n v="127"/>
    <n v="0"/>
    <n v="26.67"/>
    <n v="73.33"/>
    <n v="0"/>
    <d v="2025-09-27T18:03:26"/>
    <s v="https://etrain.info/train/Howrah-Mail-12839/history?d=1y"/>
    <n v="161"/>
    <x v="28"/>
  </r>
  <r>
    <x v="12"/>
    <s v="Howrah Mail"/>
    <s v="BPP"/>
    <x v="70"/>
    <n v="133"/>
    <n v="0"/>
    <n v="20"/>
    <n v="80"/>
    <n v="0"/>
    <d v="2025-09-27T18:03:28"/>
    <s v="https://etrain.info/train/Howrah-Mail-12839/history?d=1y"/>
    <n v="162"/>
    <x v="29"/>
  </r>
  <r>
    <x v="12"/>
    <s v="Howrah Mail"/>
    <s v="CLX"/>
    <x v="71"/>
    <n v="133"/>
    <n v="0"/>
    <n v="20"/>
    <n v="80"/>
    <n v="0"/>
    <d v="2025-09-27T18:03:29"/>
    <s v="https://etrain.info/train/Howrah-Mail-12839/history?d=1y"/>
    <n v="163"/>
    <x v="30"/>
  </r>
  <r>
    <x v="12"/>
    <s v="Howrah Mail"/>
    <s v="OGL"/>
    <x v="72"/>
    <m/>
    <n v="0"/>
    <n v="26.67"/>
    <n v="73.33"/>
    <n v="0"/>
    <d v="2025-09-27T18:03:32"/>
    <s v="https://etrain.info/train/Howrah-Mail-12839/history?d=1y"/>
    <n v="164"/>
    <x v="31"/>
  </r>
  <r>
    <x v="12"/>
    <s v="Howrah Mail"/>
    <s v="NLR"/>
    <x v="73"/>
    <n v="113"/>
    <n v="13.33"/>
    <n v="23.33"/>
    <n v="63.33"/>
    <n v="0.01"/>
    <d v="2025-09-27T18:03:33"/>
    <s v="https://etrain.info/train/Howrah-Mail-12839/history?d=1y"/>
    <n v="165"/>
    <x v="32"/>
  </r>
  <r>
    <x v="12"/>
    <s v="Howrah Mail"/>
    <s v="GDR"/>
    <x v="74"/>
    <n v="90"/>
    <n v="30"/>
    <n v="26.67"/>
    <n v="43.33"/>
    <n v="0"/>
    <d v="2025-09-27T18:03:36"/>
    <s v="https://etrain.info/train/Howrah-Mail-12839/history?d=1y"/>
    <n v="166"/>
    <x v="33"/>
  </r>
  <r>
    <x v="12"/>
    <s v="Howrah Mail"/>
    <s v="MAS"/>
    <x v="0"/>
    <n v="73"/>
    <n v="40"/>
    <n v="13.33"/>
    <n v="46.67"/>
    <n v="0"/>
    <d v="2025-09-27T18:03:37"/>
    <s v="https://etrain.info/train/Howrah-Mail-12839/history?d=1y"/>
    <n v="167"/>
    <x v="34"/>
  </r>
  <r>
    <x v="13"/>
    <s v="Howrah Mail"/>
    <s v="MAS"/>
    <x v="0"/>
    <n v="56"/>
    <n v="61.92"/>
    <n v="11.51"/>
    <n v="26.3"/>
    <n v="0.27"/>
    <d v="2025-09-27T18:03:41"/>
    <s v="https://etrain.info/train/Howrah-Mail-12840/history?d=1y"/>
    <n v="168"/>
    <x v="0"/>
  </r>
  <r>
    <x v="13"/>
    <s v="Howrah Mail"/>
    <s v="GDR"/>
    <x v="74"/>
    <n v="73"/>
    <n v="33.97"/>
    <n v="33.97"/>
    <n v="31.78"/>
    <n v="0.28000000000000003"/>
    <d v="2025-09-27T18:03:43"/>
    <s v="https://etrain.info/train/Howrah-Mail-12840/history?d=1y"/>
    <n v="169"/>
    <x v="1"/>
  </r>
  <r>
    <x v="13"/>
    <s v="Howrah Mail"/>
    <s v="NLR"/>
    <x v="73"/>
    <n v="81"/>
    <n v="14.79"/>
    <n v="52.05"/>
    <n v="32.880000000000003"/>
    <n v="0.28000000000000003"/>
    <d v="2025-09-27T18:03:45"/>
    <s v="https://etrain.info/train/Howrah-Mail-12840/history?d=1y"/>
    <n v="170"/>
    <x v="2"/>
  </r>
  <r>
    <x v="13"/>
    <s v="Howrah Mail"/>
    <s v="OGL"/>
    <x v="72"/>
    <n v="82"/>
    <n v="17.53"/>
    <n v="48.22"/>
    <n v="33.97"/>
    <n v="0.28000000000000003"/>
    <d v="2025-09-27T18:03:47"/>
    <s v="https://etrain.info/train/Howrah-Mail-12840/history?d=1y"/>
    <n v="171"/>
    <x v="3"/>
  </r>
  <r>
    <x v="13"/>
    <s v="Howrah Mail"/>
    <s v="CLX"/>
    <x v="71"/>
    <n v="84"/>
    <n v="17.53"/>
    <n v="47.95"/>
    <n v="34.25"/>
    <n v="0.27"/>
    <d v="2025-09-27T18:03:49"/>
    <s v="https://etrain.info/train/Howrah-Mail-12840/history?d=1y"/>
    <n v="172"/>
    <x v="4"/>
  </r>
  <r>
    <x v="13"/>
    <s v="Howrah Mail"/>
    <s v="BPP"/>
    <x v="70"/>
    <n v="85"/>
    <n v="18.079999999999998"/>
    <n v="45.48"/>
    <n v="36.159999999999997"/>
    <n v="0.28000000000000003"/>
    <d v="2025-09-27T18:03:51"/>
    <s v="https://etrain.info/train/Howrah-Mail-12840/history?d=1y"/>
    <n v="173"/>
    <x v="5"/>
  </r>
  <r>
    <x v="13"/>
    <s v="Howrah Mail"/>
    <s v="TEL"/>
    <x v="69"/>
    <n v="77"/>
    <n v="31.78"/>
    <n v="33.42"/>
    <n v="34.520000000000003"/>
    <n v="0.28000000000000003"/>
    <d v="2025-09-27T18:03:53"/>
    <s v="https://etrain.info/train/Howrah-Mail-12840/history?d=1y"/>
    <n v="174"/>
    <x v="6"/>
  </r>
  <r>
    <x v="13"/>
    <s v="Howrah Mail"/>
    <s v="BZA"/>
    <x v="30"/>
    <n v="84"/>
    <n v="23.84"/>
    <n v="39.729999999999997"/>
    <n v="36.159999999999997"/>
    <n v="0.27"/>
    <d v="2025-09-27T18:03:55"/>
    <s v="https://etrain.info/train/Howrah-Mail-12840/history?d=1y"/>
    <n v="175"/>
    <x v="7"/>
  </r>
  <r>
    <x v="13"/>
    <s v="Howrah Mail"/>
    <s v="EE"/>
    <x v="68"/>
    <n v="94"/>
    <n v="16.440000000000001"/>
    <n v="38.36"/>
    <n v="44.93"/>
    <n v="0.27"/>
    <d v="2025-09-27T18:03:57"/>
    <s v="https://etrain.info/train/Howrah-Mail-12840/history?d=1y"/>
    <n v="176"/>
    <x v="8"/>
  </r>
  <r>
    <x v="13"/>
    <s v="Howrah Mail"/>
    <s v="TDD"/>
    <x v="67"/>
    <n v="99"/>
    <n v="14.79"/>
    <n v="36.159999999999997"/>
    <n v="48.77"/>
    <n v="0.28000000000000003"/>
    <d v="2025-09-27T18:03:59"/>
    <s v="https://etrain.info/train/Howrah-Mail-12840/history?d=1y"/>
    <n v="177"/>
    <x v="9"/>
  </r>
  <r>
    <x v="13"/>
    <s v="Howrah Mail"/>
    <s v="NDD"/>
    <x v="66"/>
    <n v="103"/>
    <n v="13.97"/>
    <n v="30.68"/>
    <n v="55.07"/>
    <n v="0.28000000000000003"/>
    <d v="2025-09-27T18:04:00"/>
    <s v="https://etrain.info/train/Howrah-Mail-12840/history?d=1y"/>
    <n v="178"/>
    <x v="10"/>
  </r>
  <r>
    <x v="13"/>
    <s v="Howrah Mail"/>
    <s v="RJY"/>
    <x v="65"/>
    <m/>
    <n v="8.2200000000000006"/>
    <n v="20.82"/>
    <n v="70.680000000000007"/>
    <n v="0.27"/>
    <d v="2025-09-27T18:04:04"/>
    <s v="https://etrain.info/train/Howrah-Mail-12840/history?d=1y"/>
    <n v="179"/>
    <x v="11"/>
  </r>
  <r>
    <x v="13"/>
    <s v="Howrah Mail"/>
    <s v="SLO"/>
    <x v="64"/>
    <n v="121"/>
    <n v="16.440000000000001"/>
    <n v="10.14"/>
    <n v="73.150000000000006"/>
    <n v="0.27"/>
    <d v="2025-09-27T18:04:06"/>
    <s v="https://etrain.info/train/Howrah-Mail-12840/history?d=1y"/>
    <n v="180"/>
    <x v="12"/>
  </r>
  <r>
    <x v="13"/>
    <s v="Howrah Mail"/>
    <s v="ANV"/>
    <x v="63"/>
    <n v="124"/>
    <n v="13.97"/>
    <n v="12.05"/>
    <n v="73.7"/>
    <n v="0.28000000000000003"/>
    <d v="2025-09-27T18:04:07"/>
    <s v="https://etrain.info/train/Howrah-Mail-12840/history?d=1y"/>
    <n v="181"/>
    <x v="13"/>
  </r>
  <r>
    <x v="13"/>
    <s v="Howrah Mail"/>
    <s v="TUNI"/>
    <x v="62"/>
    <n v="124"/>
    <n v="14.25"/>
    <n v="11.78"/>
    <n v="73.7"/>
    <n v="0.27"/>
    <d v="2025-09-27T18:04:10"/>
    <s v="https://etrain.info/train/Howrah-Mail-12840/history?d=1y"/>
    <n v="182"/>
    <x v="14"/>
  </r>
  <r>
    <x v="13"/>
    <s v="Howrah Mail"/>
    <s v="AKP"/>
    <x v="61"/>
    <n v="128"/>
    <n v="14.25"/>
    <n v="9.32"/>
    <n v="76.16"/>
    <n v="0.27"/>
    <d v="2025-09-27T18:04:11"/>
    <s v="https://etrain.info/train/Howrah-Mail-12840/history?d=1y"/>
    <n v="183"/>
    <x v="15"/>
  </r>
  <r>
    <x v="13"/>
    <s v="Howrah Mail"/>
    <s v="VSKP"/>
    <x v="60"/>
    <n v="79"/>
    <n v="40.549999999999997"/>
    <n v="23.01"/>
    <n v="36.159999999999997"/>
    <n v="0.28000000000000003"/>
    <d v="2025-09-27T18:04:13"/>
    <s v="https://etrain.info/train/Howrah-Mail-12840/history?d=1y"/>
    <n v="184"/>
    <x v="16"/>
  </r>
  <r>
    <x v="13"/>
    <s v="Howrah Mail"/>
    <s v="VZM"/>
    <x v="59"/>
    <n v="89"/>
    <n v="21.64"/>
    <n v="39.729999999999997"/>
    <n v="38.36"/>
    <n v="0.27"/>
    <d v="2025-09-27T18:04:16"/>
    <s v="https://etrain.info/train/Howrah-Mail-12840/history?d=1y"/>
    <n v="185"/>
    <x v="17"/>
  </r>
  <r>
    <x v="13"/>
    <s v="Howrah Mail"/>
    <s v="CPP"/>
    <x v="58"/>
    <n v="91"/>
    <n v="17.809999999999999"/>
    <n v="42.47"/>
    <n v="39.450000000000003"/>
    <n v="0.27"/>
    <d v="2025-09-27T18:04:18"/>
    <s v="https://etrain.info/train/Howrah-Mail-12840/history?d=1y"/>
    <n v="186"/>
    <x v="18"/>
  </r>
  <r>
    <x v="13"/>
    <s v="Howrah Mail"/>
    <s v="CHE"/>
    <x v="57"/>
    <n v="91"/>
    <n v="20.27"/>
    <n v="40.549999999999997"/>
    <n v="38.9"/>
    <n v="0.28000000000000003"/>
    <d v="2025-09-27T18:04:19"/>
    <s v="https://etrain.info/train/Howrah-Mail-12840/history?d=1y"/>
    <n v="187"/>
    <x v="19"/>
  </r>
  <r>
    <x v="13"/>
    <s v="Howrah Mail"/>
    <s v="NWP"/>
    <x v="56"/>
    <n v="96"/>
    <n v="15.62"/>
    <n v="42.74"/>
    <n v="41.37"/>
    <n v="0.27"/>
    <d v="2025-09-27T18:04:21"/>
    <s v="https://etrain.info/train/Howrah-Mail-12840/history?d=1y"/>
    <n v="188"/>
    <x v="20"/>
  </r>
  <r>
    <x v="13"/>
    <s v="Howrah Mail"/>
    <s v="PSA"/>
    <x v="55"/>
    <n v="77"/>
    <n v="47.4"/>
    <n v="17.260000000000002"/>
    <n v="35.07"/>
    <n v="0.27"/>
    <d v="2025-09-27T18:04:23"/>
    <s v="https://etrain.info/train/Howrah-Mail-12840/history?d=1y"/>
    <n v="189"/>
    <x v="21"/>
  </r>
  <r>
    <x v="13"/>
    <s v="Howrah Mail"/>
    <s v="SPT"/>
    <x v="54"/>
    <n v="83"/>
    <n v="41.64"/>
    <n v="21.37"/>
    <n v="36.71"/>
    <n v="0.28000000000000003"/>
    <d v="2025-09-27T18:04:25"/>
    <s v="https://etrain.info/train/Howrah-Mail-12840/history?d=1y"/>
    <n v="190"/>
    <x v="22"/>
  </r>
  <r>
    <x v="13"/>
    <s v="Howrah Mail"/>
    <s v="IPM"/>
    <x v="53"/>
    <n v="88"/>
    <n v="31.23"/>
    <n v="30.68"/>
    <n v="37.81"/>
    <n v="0.28000000000000003"/>
    <d v="2025-09-27T18:04:27"/>
    <s v="https://etrain.info/train/Howrah-Mail-12840/history?d=1y"/>
    <n v="191"/>
    <x v="23"/>
  </r>
  <r>
    <x v="13"/>
    <s v="Howrah Mail"/>
    <s v="BAM"/>
    <x v="52"/>
    <n v="99"/>
    <n v="7.12"/>
    <n v="52.6"/>
    <n v="40"/>
    <n v="0.28000000000000003"/>
    <d v="2025-09-27T18:04:29"/>
    <s v="https://etrain.info/train/Howrah-Mail-12840/history?d=1y"/>
    <n v="192"/>
    <x v="24"/>
  </r>
  <r>
    <x v="13"/>
    <s v="Howrah Mail"/>
    <s v="CAP"/>
    <x v="51"/>
    <n v="103"/>
    <n v="2.4700000000000002"/>
    <n v="54.52"/>
    <n v="42.74"/>
    <n v="0.27"/>
    <d v="2025-09-27T18:04:31"/>
    <s v="https://etrain.info/train/Howrah-Mail-12840/history?d=1y"/>
    <n v="193"/>
    <x v="25"/>
  </r>
  <r>
    <x v="13"/>
    <s v="Howrah Mail"/>
    <s v="BALU"/>
    <x v="50"/>
    <n v="108"/>
    <n v="2.19"/>
    <n v="53.15"/>
    <n v="44.38"/>
    <n v="0.28000000000000003"/>
    <d v="2025-09-27T18:04:33"/>
    <s v="https://etrain.info/train/Howrah-Mail-12840/history?d=1y"/>
    <n v="194"/>
    <x v="26"/>
  </r>
  <r>
    <x v="13"/>
    <s v="Howrah Mail"/>
    <s v="KUR"/>
    <x v="49"/>
    <n v="117"/>
    <n v="4.66"/>
    <n v="43.01"/>
    <n v="52.05"/>
    <n v="0.28000000000000003"/>
    <d v="2025-09-27T18:04:34"/>
    <s v="https://etrain.info/train/Howrah-Mail-12840/history?d=1y"/>
    <n v="195"/>
    <x v="27"/>
  </r>
  <r>
    <x v="13"/>
    <s v="Howrah Mail"/>
    <s v="BBS"/>
    <x v="48"/>
    <n v="121"/>
    <n v="3.84"/>
    <n v="40.82"/>
    <n v="55.07"/>
    <n v="0.27"/>
    <d v="2025-09-27T18:04:36"/>
    <s v="https://etrain.info/train/Howrah-Mail-12840/history?d=1y"/>
    <n v="196"/>
    <x v="28"/>
  </r>
  <r>
    <x v="13"/>
    <s v="Howrah Mail"/>
    <s v="CTC"/>
    <x v="47"/>
    <n v="124"/>
    <n v="4.93"/>
    <n v="36.99"/>
    <n v="57.26"/>
    <n v="0.82"/>
    <d v="2025-09-27T18:04:38"/>
    <s v="https://etrain.info/train/Howrah-Mail-12840/history?d=1y"/>
    <n v="197"/>
    <x v="29"/>
  </r>
  <r>
    <x v="13"/>
    <s v="Howrah Mail"/>
    <s v="JJKR"/>
    <x v="46"/>
    <n v="127"/>
    <n v="3.84"/>
    <n v="37.26"/>
    <n v="58.63"/>
    <n v="0.27"/>
    <d v="2025-09-27T18:04:40"/>
    <s v="https://etrain.info/train/Howrah-Mail-12840/history?d=1y"/>
    <n v="198"/>
    <x v="30"/>
  </r>
  <r>
    <x v="13"/>
    <s v="Howrah Mail"/>
    <s v="BHC"/>
    <x v="45"/>
    <n v="87"/>
    <n v="41.64"/>
    <n v="17.260000000000002"/>
    <n v="40.82"/>
    <n v="0.28000000000000003"/>
    <d v="2025-09-27T18:04:42"/>
    <s v="https://etrain.info/train/Howrah-Mail-12840/history?d=1y"/>
    <n v="199"/>
    <x v="31"/>
  </r>
  <r>
    <x v="13"/>
    <s v="Howrah Mail"/>
    <s v="BLS"/>
    <x v="44"/>
    <n v="101"/>
    <n v="23.84"/>
    <n v="29.32"/>
    <n v="46.58"/>
    <n v="0.26"/>
    <d v="2025-09-27T18:04:43"/>
    <s v="https://etrain.info/train/Howrah-Mail-12840/history?d=1y"/>
    <n v="200"/>
    <x v="32"/>
  </r>
  <r>
    <x v="13"/>
    <s v="Howrah Mail"/>
    <s v="KGP"/>
    <x v="43"/>
    <n v="123"/>
    <n v="10.14"/>
    <n v="30.96"/>
    <n v="58.63"/>
    <n v="0.27"/>
    <d v="2025-09-27T18:04:45"/>
    <s v="https://etrain.info/train/Howrah-Mail-12840/history?d=1y"/>
    <n v="201"/>
    <x v="33"/>
  </r>
  <r>
    <x v="13"/>
    <s v="Howrah Mail"/>
    <s v="SRC"/>
    <x v="75"/>
    <n v="158"/>
    <n v="6.3"/>
    <n v="13.42"/>
    <n v="80"/>
    <n v="0.28000000000000003"/>
    <d v="2025-09-27T18:04:47"/>
    <s v="https://etrain.info/train/Howrah-Mail-12840/history?d=1y"/>
    <n v="202"/>
    <x v="34"/>
  </r>
  <r>
    <x v="13"/>
    <s v="Howrah Mail"/>
    <s v="HWH"/>
    <x v="42"/>
    <n v="129"/>
    <n v="18.63"/>
    <n v="10.68"/>
    <n v="69.59"/>
    <n v="1.1000000000000001"/>
    <d v="2025-09-27T18:04:48"/>
    <s v="https://etrain.info/train/Howrah-Mail-12840/history?d=1y"/>
    <n v="203"/>
    <x v="35"/>
  </r>
  <r>
    <x v="14"/>
    <s v="Rajdhani"/>
    <s v="MAS"/>
    <x v="0"/>
    <n v="2"/>
    <n v="100"/>
    <n v="0"/>
    <n v="0"/>
    <n v="0"/>
    <d v="2025-09-27T18:04:52"/>
    <s v="https://etrain.info/train/Rajdhani-12433/history?d=1y"/>
    <n v="204"/>
    <x v="0"/>
  </r>
  <r>
    <x v="14"/>
    <s v="Rajdhani"/>
    <s v="BZA"/>
    <x v="30"/>
    <n v="14"/>
    <n v="44.44"/>
    <n v="55.56"/>
    <n v="0"/>
    <n v="0"/>
    <d v="2025-09-27T18:04:54"/>
    <s v="https://etrain.info/train/Rajdhani-12433/history?d=1y"/>
    <n v="205"/>
    <x v="1"/>
  </r>
  <r>
    <x v="14"/>
    <s v="Rajdhani"/>
    <s v="WL"/>
    <x v="32"/>
    <n v="18"/>
    <n v="33.33"/>
    <n v="66.67"/>
    <n v="0"/>
    <n v="0"/>
    <d v="2025-09-27T18:04:55"/>
    <s v="https://etrain.info/train/Rajdhani-12433/history?d=1y"/>
    <n v="206"/>
    <x v="2"/>
  </r>
  <r>
    <x v="14"/>
    <s v="Rajdhani"/>
    <s v="BPQ"/>
    <x v="33"/>
    <n v="13"/>
    <n v="66.67"/>
    <n v="33.33"/>
    <n v="0"/>
    <n v="0"/>
    <d v="2025-09-27T18:04:57"/>
    <s v="https://etrain.info/train/Rajdhani-12433/history?d=1y"/>
    <n v="207"/>
    <x v="3"/>
  </r>
  <r>
    <x v="14"/>
    <s v="Rajdhani"/>
    <s v="NGP"/>
    <x v="34"/>
    <n v="16"/>
    <n v="77.78"/>
    <n v="22.22"/>
    <n v="0"/>
    <n v="0"/>
    <d v="2025-09-27T18:04:59"/>
    <s v="https://etrain.info/train/Rajdhani-12433/history?d=1y"/>
    <n v="208"/>
    <x v="4"/>
  </r>
  <r>
    <x v="14"/>
    <s v="Rajdhani"/>
    <s v="BPL"/>
    <x v="36"/>
    <n v="7"/>
    <n v="77.78"/>
    <n v="22.22"/>
    <n v="0"/>
    <n v="0"/>
    <d v="2025-09-27T18:05:01"/>
    <s v="https://etrain.info/train/Rajdhani-12433/history?d=1y"/>
    <n v="209"/>
    <x v="5"/>
  </r>
  <r>
    <x v="14"/>
    <s v="Rajdhani"/>
    <s v="VGLJ"/>
    <x v="37"/>
    <n v="5"/>
    <n v="100"/>
    <n v="0"/>
    <n v="0"/>
    <n v="0"/>
    <d v="2025-09-27T18:05:03"/>
    <s v="https://etrain.info/train/Rajdhani-12433/history?d=1y"/>
    <n v="210"/>
    <x v="6"/>
  </r>
  <r>
    <x v="14"/>
    <s v="Rajdhani"/>
    <s v="GWL"/>
    <x v="38"/>
    <n v="13"/>
    <n v="66.67"/>
    <n v="33.33"/>
    <n v="0"/>
    <n v="0"/>
    <d v="2025-09-27T18:05:05"/>
    <s v="https://etrain.info/train/Rajdhani-12433/history?d=1y"/>
    <n v="211"/>
    <x v="7"/>
  </r>
  <r>
    <x v="14"/>
    <s v="Rajdhani"/>
    <s v="AGC"/>
    <x v="39"/>
    <n v="7"/>
    <n v="88.89"/>
    <n v="11.11"/>
    <n v="0"/>
    <n v="0"/>
    <d v="2025-09-27T18:05:07"/>
    <s v="https://etrain.info/train/Rajdhani-12433/history?d=1y"/>
    <n v="212"/>
    <x v="8"/>
  </r>
  <r>
    <x v="14"/>
    <s v="Rajdhani"/>
    <s v="NZM"/>
    <x v="40"/>
    <n v="2"/>
    <n v="88.89"/>
    <n v="11.11"/>
    <n v="0"/>
    <n v="0"/>
    <d v="2025-09-27T18:05:08"/>
    <s v="https://etrain.info/train/Rajdhani-12433/history?d=1y"/>
    <n v="213"/>
    <x v="9"/>
  </r>
  <r>
    <x v="15"/>
    <s v="Rajdhani"/>
    <s v="NZM"/>
    <x v="40"/>
    <n v="0"/>
    <n v="100"/>
    <n v="0"/>
    <n v="0"/>
    <n v="0"/>
    <d v="2025-09-27T18:05:12"/>
    <s v="https://etrain.info/train/Rajdhani-12434/history?d=1y"/>
    <n v="214"/>
    <x v="0"/>
  </r>
  <r>
    <x v="15"/>
    <s v="Rajdhani"/>
    <s v="AGC"/>
    <x v="39"/>
    <n v="10"/>
    <n v="77.78"/>
    <n v="22.22"/>
    <n v="0"/>
    <n v="0"/>
    <d v="2025-09-27T18:05:14"/>
    <s v="https://etrain.info/train/Rajdhani-12434/history?d=1y"/>
    <n v="215"/>
    <x v="1"/>
  </r>
  <r>
    <x v="15"/>
    <s v="Rajdhani"/>
    <s v="GWL"/>
    <x v="38"/>
    <m/>
    <n v="88.89"/>
    <n v="11.11"/>
    <n v="0"/>
    <n v="0"/>
    <d v="2025-09-27T18:05:16"/>
    <s v="https://etrain.info/train/Rajdhani-12434/history?d=1y"/>
    <n v="216"/>
    <x v="2"/>
  </r>
  <r>
    <x v="15"/>
    <s v="Rajdhani"/>
    <s v="VGLJ"/>
    <x v="37"/>
    <n v="4"/>
    <n v="100"/>
    <n v="0"/>
    <n v="0"/>
    <n v="0"/>
    <d v="2025-09-27T18:05:18"/>
    <s v="https://etrain.info/train/Rajdhani-12434/history?d=1y"/>
    <n v="217"/>
    <x v="3"/>
  </r>
  <r>
    <x v="15"/>
    <s v="Rajdhani"/>
    <s v="BPL"/>
    <x v="36"/>
    <n v="10"/>
    <n v="100"/>
    <n v="0"/>
    <n v="0"/>
    <n v="0"/>
    <d v="2025-09-27T18:05:20"/>
    <s v="https://etrain.info/train/Rajdhani-12434/history?d=1y"/>
    <n v="218"/>
    <x v="4"/>
  </r>
  <r>
    <x v="15"/>
    <s v="Rajdhani"/>
    <s v="NGP"/>
    <x v="34"/>
    <n v="6"/>
    <n v="77.78"/>
    <n v="22.22"/>
    <n v="0"/>
    <n v="0"/>
    <d v="2025-09-27T18:05:22"/>
    <s v="https://etrain.info/train/Rajdhani-12434/history?d=1y"/>
    <n v="219"/>
    <x v="5"/>
  </r>
  <r>
    <x v="15"/>
    <s v="Rajdhani"/>
    <s v="BPQ"/>
    <x v="33"/>
    <n v="1"/>
    <n v="100"/>
    <n v="0"/>
    <n v="0"/>
    <n v="0"/>
    <d v="2025-09-27T18:05:24"/>
    <s v="https://etrain.info/train/Rajdhani-12434/history?d=1y"/>
    <n v="220"/>
    <x v="6"/>
  </r>
  <r>
    <x v="15"/>
    <s v="Rajdhani"/>
    <s v="WL"/>
    <x v="32"/>
    <n v="7"/>
    <n v="88.89"/>
    <n v="11.11"/>
    <n v="0"/>
    <n v="0"/>
    <d v="2025-09-27T18:05:26"/>
    <s v="https://etrain.info/train/Rajdhani-12434/history?d=1y"/>
    <n v="221"/>
    <x v="7"/>
  </r>
  <r>
    <x v="15"/>
    <s v="Rajdhani"/>
    <s v="BZA"/>
    <x v="30"/>
    <n v="16"/>
    <n v="66.67"/>
    <n v="33.33"/>
    <n v="0"/>
    <n v="0"/>
    <d v="2025-09-27T18:05:28"/>
    <s v="https://etrain.info/train/Rajdhani-12434/history?d=1y"/>
    <n v="222"/>
    <x v="8"/>
  </r>
  <r>
    <x v="15"/>
    <s v="Rajdhani"/>
    <s v="MAS"/>
    <x v="0"/>
    <m/>
    <n v="88.89"/>
    <n v="11.11"/>
    <n v="0"/>
    <n v="0"/>
    <d v="2025-09-27T18:05:30"/>
    <s v="https://etrain.info/train/Rajdhani-12434/history?d=1y"/>
    <n v="223"/>
    <x v="9"/>
  </r>
  <r>
    <x v="16"/>
    <s v="Sanghamitra Express"/>
    <s v="SMVB"/>
    <x v="76"/>
    <n v="19"/>
    <n v="76.67"/>
    <n v="16.670000000000002"/>
    <n v="6.67"/>
    <n v="0"/>
    <d v="2025-09-27T18:40:53"/>
    <s v="https://etrain.info/train/Sanghamitra-Express-12295/history?d=1y"/>
    <n v="224"/>
    <x v="0"/>
  </r>
  <r>
    <x v="16"/>
    <s v="Sanghamitra Express"/>
    <s v="KJM"/>
    <x v="77"/>
    <m/>
    <n v="70"/>
    <n v="23.33"/>
    <n v="6.67"/>
    <n v="0"/>
    <d v="2025-09-27T18:40:55"/>
    <s v="https://etrain.info/train/Sanghamitra-Express-12295/history?d=1y"/>
    <n v="225"/>
    <x v="1"/>
  </r>
  <r>
    <x v="16"/>
    <s v="Sanghamitra Express"/>
    <s v="BWT"/>
    <x v="78"/>
    <n v="31"/>
    <n v="43.33"/>
    <n v="46.67"/>
    <n v="10"/>
    <n v="0"/>
    <d v="2025-09-27T18:40:56"/>
    <s v="https://etrain.info/train/Sanghamitra-Express-12295/history?d=1y"/>
    <n v="226"/>
    <x v="2"/>
  </r>
  <r>
    <x v="16"/>
    <s v="Sanghamitra Express"/>
    <s v="KPN"/>
    <x v="79"/>
    <n v="30"/>
    <n v="63.33"/>
    <n v="26.67"/>
    <n v="10"/>
    <n v="0"/>
    <d v="2025-09-27T18:40:58"/>
    <s v="https://etrain.info/train/Sanghamitra-Express-12295/history?d=1y"/>
    <n v="227"/>
    <x v="3"/>
  </r>
  <r>
    <x v="16"/>
    <s v="Sanghamitra Express"/>
    <s v="JTJ"/>
    <x v="4"/>
    <n v="30"/>
    <n v="60"/>
    <n v="26.67"/>
    <n v="13.33"/>
    <n v="0"/>
    <d v="2025-09-27T18:41:01"/>
    <s v="https://etrain.info/train/Sanghamitra-Express-12295/history?d=1y"/>
    <n v="228"/>
    <x v="4"/>
  </r>
  <r>
    <x v="16"/>
    <s v="Sanghamitra Express"/>
    <s v="KPD"/>
    <x v="3"/>
    <n v="24"/>
    <n v="80"/>
    <n v="6.67"/>
    <n v="13.33"/>
    <n v="0"/>
    <d v="2025-09-27T18:41:03"/>
    <s v="https://etrain.info/train/Sanghamitra-Express-12295/history?d=1y"/>
    <n v="229"/>
    <x v="5"/>
  </r>
  <r>
    <x v="16"/>
    <s v="Sanghamitra Express"/>
    <s v="AJJ"/>
    <x v="2"/>
    <n v="29"/>
    <n v="63.33"/>
    <n v="23.33"/>
    <n v="13.33"/>
    <n v="0.01"/>
    <d v="2025-09-27T18:41:05"/>
    <s v="https://etrain.info/train/Sanghamitra-Express-12295/history?d=1y"/>
    <n v="230"/>
    <x v="6"/>
  </r>
  <r>
    <x v="16"/>
    <s v="Sanghamitra Express"/>
    <s v="PER"/>
    <x v="10"/>
    <n v="33"/>
    <n v="60"/>
    <n v="26.67"/>
    <n v="13.33"/>
    <n v="0"/>
    <d v="2025-09-27T18:41:08"/>
    <s v="https://etrain.info/train/Sanghamitra-Express-12295/history?d=1y"/>
    <n v="231"/>
    <x v="7"/>
  </r>
  <r>
    <x v="16"/>
    <s v="Sanghamitra Express"/>
    <s v="GDR"/>
    <x v="74"/>
    <n v="46"/>
    <n v="10"/>
    <n v="70"/>
    <n v="20"/>
    <n v="0"/>
    <d v="2025-09-27T18:41:10"/>
    <s v="https://etrain.info/train/Sanghamitra-Express-12295/history?d=1y"/>
    <n v="232"/>
    <x v="8"/>
  </r>
  <r>
    <x v="16"/>
    <s v="Sanghamitra Express"/>
    <s v="NLR"/>
    <x v="73"/>
    <n v="60"/>
    <n v="0"/>
    <n v="80"/>
    <n v="20"/>
    <n v="0"/>
    <d v="2025-09-27T18:41:11"/>
    <s v="https://etrain.info/train/Sanghamitra-Express-12295/history?d=1y"/>
    <n v="233"/>
    <x v="9"/>
  </r>
  <r>
    <x v="16"/>
    <s v="Sanghamitra Express"/>
    <s v="OGL"/>
    <x v="72"/>
    <n v="61"/>
    <n v="3.33"/>
    <n v="73.33"/>
    <n v="23.33"/>
    <n v="0.01"/>
    <d v="2025-09-27T18:41:13"/>
    <s v="https://etrain.info/train/Sanghamitra-Express-12295/history?d=1y"/>
    <n v="234"/>
    <x v="10"/>
  </r>
  <r>
    <x v="16"/>
    <s v="Sanghamitra Express"/>
    <s v="BZA"/>
    <x v="30"/>
    <n v="54"/>
    <n v="3.33"/>
    <n v="76.67"/>
    <n v="20"/>
    <n v="0"/>
    <d v="2025-09-27T18:41:14"/>
    <s v="https://etrain.info/train/Sanghamitra-Express-12295/history?d=1y"/>
    <n v="235"/>
    <x v="11"/>
  </r>
  <r>
    <x v="16"/>
    <s v="Sanghamitra Express"/>
    <s v="KMT"/>
    <x v="31"/>
    <n v="38"/>
    <n v="60"/>
    <n v="20"/>
    <n v="20"/>
    <n v="0"/>
    <d v="2025-09-27T18:41:16"/>
    <s v="https://etrain.info/train/Sanghamitra-Express-12295/history?d=1y"/>
    <n v="236"/>
    <x v="12"/>
  </r>
  <r>
    <x v="16"/>
    <s v="Sanghamitra Express"/>
    <s v="WL"/>
    <x v="32"/>
    <n v="62"/>
    <n v="0"/>
    <n v="80"/>
    <n v="20"/>
    <n v="0"/>
    <d v="2025-09-27T18:41:17"/>
    <s v="https://etrain.info/train/Sanghamitra-Express-12295/history?d=1y"/>
    <n v="237"/>
    <x v="13"/>
  </r>
  <r>
    <x v="16"/>
    <s v="Sanghamitra Express"/>
    <s v="RDM"/>
    <x v="80"/>
    <n v="57"/>
    <n v="13.33"/>
    <n v="63.33"/>
    <n v="23.33"/>
    <n v="0.01"/>
    <d v="2025-09-27T18:41:19"/>
    <s v="https://etrain.info/train/Sanghamitra-Express-12295/history?d=1y"/>
    <n v="238"/>
    <x v="14"/>
  </r>
  <r>
    <x v="16"/>
    <s v="Sanghamitra Express"/>
    <s v="SKZR"/>
    <x v="81"/>
    <n v="38"/>
    <n v="3.33"/>
    <n v="30"/>
    <n v="3.33"/>
    <n v="63.34"/>
    <d v="2025-09-27T18:41:20"/>
    <s v="https://etrain.info/train/Sanghamitra-Express-12295/history?d=1y"/>
    <n v="239"/>
    <x v="15"/>
  </r>
  <r>
    <x v="16"/>
    <s v="Sanghamitra Express"/>
    <s v="BPQ"/>
    <x v="33"/>
    <n v="32"/>
    <n v="70"/>
    <n v="13.33"/>
    <n v="16.670000000000002"/>
    <n v="0"/>
    <d v="2025-09-27T18:41:22"/>
    <s v="https://etrain.info/train/Sanghamitra-Express-12295/history?d=1y"/>
    <n v="240"/>
    <x v="16"/>
  </r>
  <r>
    <x v="16"/>
    <s v="Sanghamitra Express"/>
    <s v="CD"/>
    <x v="82"/>
    <n v="35"/>
    <n v="60"/>
    <n v="23.33"/>
    <n v="16.670000000000002"/>
    <n v="0"/>
    <d v="2025-09-27T18:41:24"/>
    <s v="https://etrain.info/train/Sanghamitra-Express-12295/history?d=1y"/>
    <n v="241"/>
    <x v="17"/>
  </r>
  <r>
    <x v="16"/>
    <s v="Sanghamitra Express"/>
    <s v="SEGM"/>
    <x v="83"/>
    <n v="44"/>
    <n v="36.67"/>
    <n v="46.67"/>
    <n v="16.670000000000002"/>
    <n v="0"/>
    <d v="2025-09-27T18:41:27"/>
    <s v="https://etrain.info/train/Sanghamitra-Express-12295/history?d=1y"/>
    <n v="242"/>
    <x v="18"/>
  </r>
  <r>
    <x v="16"/>
    <s v="Sanghamitra Express"/>
    <s v="NGP"/>
    <x v="34"/>
    <n v="31"/>
    <n v="63.33"/>
    <n v="20"/>
    <n v="16.670000000000002"/>
    <n v="0"/>
    <d v="2025-09-27T18:41:29"/>
    <s v="https://etrain.info/train/Sanghamitra-Express-12295/history?d=1y"/>
    <n v="243"/>
    <x v="19"/>
  </r>
  <r>
    <x v="16"/>
    <s v="Sanghamitra Express"/>
    <s v="BZU"/>
    <x v="84"/>
    <n v="64"/>
    <n v="6.67"/>
    <n v="63.33"/>
    <n v="30"/>
    <n v="0"/>
    <d v="2025-09-27T18:41:31"/>
    <s v="https://etrain.info/train/Sanghamitra-Express-12295/history?d=1y"/>
    <n v="244"/>
    <x v="20"/>
  </r>
  <r>
    <x v="16"/>
    <s v="Sanghamitra Express"/>
    <s v="GDYA"/>
    <x v="85"/>
    <n v="73"/>
    <n v="0"/>
    <n v="53.33"/>
    <n v="46.67"/>
    <n v="0"/>
    <d v="2025-09-27T18:41:32"/>
    <s v="https://etrain.info/train/Sanghamitra-Express-12295/history?d=1y"/>
    <n v="245"/>
    <x v="21"/>
  </r>
  <r>
    <x v="16"/>
    <s v="Sanghamitra Express"/>
    <s v="ET"/>
    <x v="35"/>
    <n v="26"/>
    <n v="80"/>
    <n v="6.67"/>
    <n v="13.33"/>
    <n v="0"/>
    <d v="2025-09-27T18:41:34"/>
    <s v="https://etrain.info/train/Sanghamitra-Express-12295/history?d=1y"/>
    <n v="246"/>
    <x v="22"/>
  </r>
  <r>
    <x v="16"/>
    <s v="Sanghamitra Express"/>
    <s v="PPI"/>
    <x v="86"/>
    <m/>
    <n v="50"/>
    <n v="36.67"/>
    <n v="13.33"/>
    <n v="0"/>
    <d v="2025-09-27T18:41:36"/>
    <s v="https://etrain.info/train/Sanghamitra-Express-12295/history?d=1y"/>
    <n v="247"/>
    <x v="23"/>
  </r>
  <r>
    <x v="16"/>
    <s v="Sanghamitra Express"/>
    <s v="NU"/>
    <x v="87"/>
    <n v="54"/>
    <n v="6.67"/>
    <n v="76.67"/>
    <n v="16.670000000000002"/>
    <n v="0"/>
    <d v="2025-09-27T18:41:39"/>
    <s v="https://etrain.info/train/Sanghamitra-Express-12295/history?d=1y"/>
    <n v="248"/>
    <x v="24"/>
  </r>
  <r>
    <x v="16"/>
    <s v="Sanghamitra Express"/>
    <s v="JBP"/>
    <x v="88"/>
    <n v="43"/>
    <n v="36.67"/>
    <n v="46.67"/>
    <n v="16.670000000000002"/>
    <n v="0"/>
    <d v="2025-09-27T18:41:43"/>
    <s v="https://etrain.info/train/Sanghamitra-Express-12295/history?d=1y"/>
    <n v="249"/>
    <x v="25"/>
  </r>
  <r>
    <x v="16"/>
    <s v="Sanghamitra Express"/>
    <s v="KTE"/>
    <x v="89"/>
    <n v="60"/>
    <n v="0"/>
    <n v="83.33"/>
    <n v="16.670000000000002"/>
    <n v="0"/>
    <d v="2025-09-27T18:41:44"/>
    <s v="https://etrain.info/train/Sanghamitra-Express-12295/history?d=1y"/>
    <n v="250"/>
    <x v="26"/>
  </r>
  <r>
    <x v="16"/>
    <s v="Sanghamitra Express"/>
    <s v="MYR"/>
    <x v="90"/>
    <n v="70"/>
    <n v="0"/>
    <n v="83.33"/>
    <n v="16.670000000000002"/>
    <n v="0"/>
    <d v="2025-09-27T18:41:46"/>
    <s v="https://etrain.info/train/Sanghamitra-Express-12295/history?d=1y"/>
    <n v="251"/>
    <x v="27"/>
  </r>
  <r>
    <x v="16"/>
    <s v="Sanghamitra Express"/>
    <s v="STA"/>
    <x v="91"/>
    <n v="62"/>
    <n v="0"/>
    <n v="83.33"/>
    <n v="16.670000000000002"/>
    <n v="0"/>
    <d v="2025-09-27T18:41:47"/>
    <s v="https://etrain.info/train/Sanghamitra-Express-12295/history?d=1y"/>
    <n v="252"/>
    <x v="28"/>
  </r>
  <r>
    <x v="16"/>
    <s v="Sanghamitra Express"/>
    <s v="PCOI"/>
    <x v="92"/>
    <n v="70"/>
    <n v="10"/>
    <n v="40"/>
    <n v="50"/>
    <n v="0"/>
    <d v="2025-09-27T18:41:49"/>
    <s v="https://etrain.info/train/Sanghamitra-Express-12295/history?d=1y"/>
    <n v="253"/>
    <x v="29"/>
  </r>
  <r>
    <x v="16"/>
    <s v="Sanghamitra Express"/>
    <s v="MZP"/>
    <x v="93"/>
    <n v="29"/>
    <n v="43.33"/>
    <n v="50"/>
    <n v="6.67"/>
    <n v="0"/>
    <d v="2025-09-27T18:41:53"/>
    <s v="https://etrain.info/train/Sanghamitra-Express-12295/history?d=1y"/>
    <n v="254"/>
    <x v="30"/>
  </r>
  <r>
    <x v="16"/>
    <s v="Sanghamitra Express"/>
    <s v="DDU"/>
    <x v="94"/>
    <n v="12"/>
    <n v="96.67"/>
    <n v="0"/>
    <n v="3.33"/>
    <n v="0"/>
    <d v="2025-09-27T18:41:56"/>
    <s v="https://etrain.info/train/Sanghamitra-Express-12295/history?d=1y"/>
    <n v="255"/>
    <x v="31"/>
  </r>
  <r>
    <x v="16"/>
    <s v="Sanghamitra Express"/>
    <s v="DLN"/>
    <x v="95"/>
    <m/>
    <n v="90"/>
    <n v="6.67"/>
    <n v="3.33"/>
    <n v="0"/>
    <d v="2025-09-27T18:41:59"/>
    <s v="https://etrain.info/train/Sanghamitra-Express-12295/history?d=1y"/>
    <n v="256"/>
    <x v="32"/>
  </r>
  <r>
    <x v="16"/>
    <s v="Sanghamitra Express"/>
    <s v="BXR"/>
    <x v="96"/>
    <n v="19"/>
    <n v="70"/>
    <n v="26.67"/>
    <n v="3.33"/>
    <n v="0"/>
    <d v="2025-09-27T18:42:02"/>
    <s v="https://etrain.info/train/Sanghamitra-Express-12295/history?d=1y"/>
    <n v="257"/>
    <x v="33"/>
  </r>
  <r>
    <x v="16"/>
    <s v="Sanghamitra Express"/>
    <s v="ARA"/>
    <x v="97"/>
    <n v="23"/>
    <n v="56.67"/>
    <n v="36.67"/>
    <n v="6.67"/>
    <n v="0"/>
    <d v="2025-09-27T18:42:06"/>
    <s v="https://etrain.info/train/Sanghamitra-Express-12295/history?d=1y"/>
    <n v="258"/>
    <x v="34"/>
  </r>
  <r>
    <x v="16"/>
    <s v="Sanghamitra Express"/>
    <s v="DNR"/>
    <x v="98"/>
    <n v="4"/>
    <n v="90"/>
    <n v="3.33"/>
    <n v="6.67"/>
    <n v="0"/>
    <d v="2025-09-27T18:42:07"/>
    <s v="https://etrain.info/train/Sanghamitra-Express-12295/history?d=1y"/>
    <n v="259"/>
    <x v="35"/>
  </r>
  <r>
    <x v="17"/>
    <s v="Sanghamitra Express"/>
    <s v="DNR"/>
    <x v="98"/>
    <n v="5"/>
    <n v="90"/>
    <n v="10"/>
    <n v="0"/>
    <n v="0"/>
    <d v="2025-09-27T18:42:11"/>
    <s v="https://etrain.info/train/Sanghamitra-Express-12296/history?d=1y"/>
    <n v="260"/>
    <x v="0"/>
  </r>
  <r>
    <x v="17"/>
    <s v="Sanghamitra Express"/>
    <s v="ARA"/>
    <x v="97"/>
    <n v="23"/>
    <n v="43.33"/>
    <n v="46.67"/>
    <n v="10"/>
    <n v="0"/>
    <d v="2025-09-27T18:42:13"/>
    <s v="https://etrain.info/train/Sanghamitra-Express-12296/history?d=1y"/>
    <n v="261"/>
    <x v="1"/>
  </r>
  <r>
    <x v="17"/>
    <s v="Sanghamitra Express"/>
    <s v="BXR"/>
    <x v="96"/>
    <n v="34"/>
    <n v="16.670000000000002"/>
    <n v="73.33"/>
    <n v="10"/>
    <n v="0"/>
    <d v="2025-09-27T18:42:14"/>
    <s v="https://etrain.info/train/Sanghamitra-Express-12296/history?d=1y"/>
    <n v="262"/>
    <x v="2"/>
  </r>
  <r>
    <x v="17"/>
    <s v="Sanghamitra Express"/>
    <s v="DLN"/>
    <x v="95"/>
    <n v="45"/>
    <n v="3.33"/>
    <n v="76.67"/>
    <n v="20"/>
    <n v="0"/>
    <d v="2025-09-27T18:42:15"/>
    <s v="https://etrain.info/train/Sanghamitra-Express-12296/history?d=1y"/>
    <n v="263"/>
    <x v="3"/>
  </r>
  <r>
    <x v="17"/>
    <s v="Sanghamitra Express"/>
    <s v="DDU"/>
    <x v="94"/>
    <n v="21"/>
    <n v="66.67"/>
    <n v="23.33"/>
    <n v="10"/>
    <n v="0"/>
    <d v="2025-09-27T18:42:17"/>
    <s v="https://etrain.info/train/Sanghamitra-Express-12296/history?d=1y"/>
    <n v="264"/>
    <x v="4"/>
  </r>
  <r>
    <x v="17"/>
    <s v="Sanghamitra Express"/>
    <s v="MZP"/>
    <x v="93"/>
    <n v="21"/>
    <n v="60"/>
    <n v="30"/>
    <n v="10"/>
    <n v="0"/>
    <d v="2025-09-27T18:42:18"/>
    <s v="https://etrain.info/train/Sanghamitra-Express-12296/history?d=1y"/>
    <n v="265"/>
    <x v="5"/>
  </r>
  <r>
    <x v="17"/>
    <s v="Sanghamitra Express"/>
    <s v="PCOI"/>
    <x v="92"/>
    <n v="28"/>
    <n v="43.33"/>
    <n v="46.67"/>
    <n v="10"/>
    <n v="0"/>
    <d v="2025-09-27T18:42:20"/>
    <s v="https://etrain.info/train/Sanghamitra-Express-12296/history?d=1y"/>
    <n v="266"/>
    <x v="6"/>
  </r>
  <r>
    <x v="17"/>
    <s v="Sanghamitra Express"/>
    <s v="STA"/>
    <x v="91"/>
    <n v="20"/>
    <n v="56.67"/>
    <n v="36.67"/>
    <n v="6.67"/>
    <n v="0"/>
    <d v="2025-09-27T18:42:24"/>
    <s v="https://etrain.info/train/Sanghamitra-Express-12296/history?d=1y"/>
    <n v="267"/>
    <x v="7"/>
  </r>
  <r>
    <x v="17"/>
    <s v="Sanghamitra Express"/>
    <s v="MYR"/>
    <x v="90"/>
    <n v="29"/>
    <n v="30"/>
    <n v="60"/>
    <n v="10"/>
    <n v="0"/>
    <d v="2025-09-27T18:42:26"/>
    <s v="https://etrain.info/train/Sanghamitra-Express-12296/history?d=1y"/>
    <n v="268"/>
    <x v="8"/>
  </r>
  <r>
    <x v="17"/>
    <s v="Sanghamitra Express"/>
    <s v="KTE"/>
    <x v="89"/>
    <n v="47"/>
    <n v="3.33"/>
    <n v="76.67"/>
    <n v="20"/>
    <n v="0"/>
    <d v="2025-09-27T18:42:27"/>
    <s v="https://etrain.info/train/Sanghamitra-Express-12296/history?d=1y"/>
    <n v="269"/>
    <x v="9"/>
  </r>
  <r>
    <x v="17"/>
    <s v="Sanghamitra Express"/>
    <s v="JBP"/>
    <x v="88"/>
    <n v="38"/>
    <n v="23.33"/>
    <n v="63.33"/>
    <n v="13.33"/>
    <n v="0.01"/>
    <d v="2025-09-27T18:42:28"/>
    <s v="https://etrain.info/train/Sanghamitra-Express-12296/history?d=1y"/>
    <n v="270"/>
    <x v="10"/>
  </r>
  <r>
    <x v="17"/>
    <s v="Sanghamitra Express"/>
    <s v="NU"/>
    <x v="87"/>
    <m/>
    <n v="13.33"/>
    <n v="70"/>
    <n v="16.670000000000002"/>
    <n v="0"/>
    <d v="2025-09-27T18:42:30"/>
    <s v="https://etrain.info/train/Sanghamitra-Express-12296/history?d=1y"/>
    <n v="271"/>
    <x v="11"/>
  </r>
  <r>
    <x v="17"/>
    <s v="Sanghamitra Express"/>
    <s v="PPI"/>
    <x v="86"/>
    <m/>
    <n v="10"/>
    <n v="73.33"/>
    <n v="16.670000000000002"/>
    <n v="0"/>
    <d v="2025-09-27T18:42:32"/>
    <s v="https://etrain.info/train/Sanghamitra-Express-12296/history?d=1y"/>
    <n v="272"/>
    <x v="12"/>
  </r>
  <r>
    <x v="17"/>
    <s v="Sanghamitra Express"/>
    <s v="ET"/>
    <x v="35"/>
    <n v="8"/>
    <n v="83.33"/>
    <n v="13.33"/>
    <n v="3.33"/>
    <n v="0.01"/>
    <d v="2025-09-27T18:42:33"/>
    <s v="https://etrain.info/train/Sanghamitra-Express-12296/history?d=1y"/>
    <n v="273"/>
    <x v="13"/>
  </r>
  <r>
    <x v="17"/>
    <s v="Sanghamitra Express"/>
    <s v="GDYA"/>
    <x v="85"/>
    <n v="13"/>
    <n v="80"/>
    <n v="13.33"/>
    <n v="6.67"/>
    <n v="0"/>
    <d v="2025-09-27T18:42:35"/>
    <s v="https://etrain.info/train/Sanghamitra-Express-12296/history?d=1y"/>
    <n v="274"/>
    <x v="14"/>
  </r>
  <r>
    <x v="17"/>
    <s v="Sanghamitra Express"/>
    <s v="BZU"/>
    <x v="84"/>
    <n v="27"/>
    <n v="36.67"/>
    <n v="53.33"/>
    <n v="10"/>
    <n v="0"/>
    <d v="2025-09-27T18:42:36"/>
    <s v="https://etrain.info/train/Sanghamitra-Express-12296/history?d=1y"/>
    <n v="275"/>
    <x v="15"/>
  </r>
  <r>
    <x v="17"/>
    <s v="Sanghamitra Express"/>
    <s v="NGP"/>
    <x v="34"/>
    <n v="22"/>
    <n v="53.33"/>
    <n v="36.67"/>
    <n v="10"/>
    <n v="0"/>
    <d v="2025-09-27T18:42:38"/>
    <s v="https://etrain.info/train/Sanghamitra-Express-12296/history?d=1y"/>
    <n v="276"/>
    <x v="16"/>
  </r>
  <r>
    <x v="17"/>
    <s v="Sanghamitra Express"/>
    <s v="SEGM"/>
    <x v="83"/>
    <n v="41"/>
    <n v="13.33"/>
    <n v="63.33"/>
    <n v="23.33"/>
    <n v="0.01"/>
    <d v="2025-09-27T18:42:39"/>
    <s v="https://etrain.info/train/Sanghamitra-Express-12296/history?d=1y"/>
    <n v="277"/>
    <x v="17"/>
  </r>
  <r>
    <x v="17"/>
    <s v="Sanghamitra Express"/>
    <s v="CD"/>
    <x v="82"/>
    <m/>
    <n v="6.67"/>
    <n v="70"/>
    <n v="23.33"/>
    <n v="0"/>
    <d v="2025-09-27T18:42:41"/>
    <s v="https://etrain.info/train/Sanghamitra-Express-12296/history?d=1y"/>
    <n v="278"/>
    <x v="18"/>
  </r>
  <r>
    <x v="17"/>
    <s v="Sanghamitra Express"/>
    <s v="BPQ"/>
    <x v="33"/>
    <n v="10"/>
    <n v="83.33"/>
    <n v="16.670000000000002"/>
    <n v="0"/>
    <n v="0"/>
    <d v="2025-09-27T18:42:43"/>
    <s v="https://etrain.info/train/Sanghamitra-Express-12296/history?d=1y"/>
    <n v="279"/>
    <x v="19"/>
  </r>
  <r>
    <x v="17"/>
    <s v="Sanghamitra Express"/>
    <s v="SKZR"/>
    <x v="81"/>
    <n v="39"/>
    <n v="3.33"/>
    <n v="23.33"/>
    <n v="10"/>
    <n v="63.34"/>
    <d v="2025-09-27T18:42:45"/>
    <s v="https://etrain.info/train/Sanghamitra-Express-12296/history?d=1y"/>
    <n v="280"/>
    <x v="20"/>
  </r>
  <r>
    <x v="17"/>
    <s v="Sanghamitra Express"/>
    <s v="RDM"/>
    <x v="80"/>
    <n v="43"/>
    <n v="0"/>
    <n v="86.67"/>
    <n v="13.33"/>
    <n v="0"/>
    <d v="2025-09-27T18:42:49"/>
    <s v="https://etrain.info/train/Sanghamitra-Express-12296/history?d=1y"/>
    <n v="281"/>
    <x v="21"/>
  </r>
  <r>
    <x v="17"/>
    <s v="Sanghamitra Express"/>
    <s v="WL"/>
    <x v="32"/>
    <n v="51"/>
    <n v="6.67"/>
    <n v="73.33"/>
    <n v="20"/>
    <n v="0"/>
    <d v="2025-09-27T18:42:50"/>
    <s v="https://etrain.info/train/Sanghamitra-Express-12296/history?d=1y"/>
    <n v="282"/>
    <x v="22"/>
  </r>
  <r>
    <x v="17"/>
    <s v="Sanghamitra Express"/>
    <s v="KMT"/>
    <x v="31"/>
    <n v="57"/>
    <n v="3.33"/>
    <n v="63.33"/>
    <n v="33.33"/>
    <n v="0.01"/>
    <d v="2025-09-27T18:42:52"/>
    <s v="https://etrain.info/train/Sanghamitra-Express-12296/history?d=1y"/>
    <n v="283"/>
    <x v="23"/>
  </r>
  <r>
    <x v="17"/>
    <s v="Sanghamitra Express"/>
    <s v="BZA"/>
    <x v="30"/>
    <n v="23"/>
    <n v="46.67"/>
    <n v="46.67"/>
    <n v="6.67"/>
    <n v="0"/>
    <d v="2025-09-27T18:42:55"/>
    <s v="https://etrain.info/train/Sanghamitra-Express-12296/history?d=1y"/>
    <n v="284"/>
    <x v="24"/>
  </r>
  <r>
    <x v="17"/>
    <s v="Sanghamitra Express"/>
    <s v="OGL"/>
    <x v="72"/>
    <n v="29"/>
    <n v="36.67"/>
    <n v="53.33"/>
    <n v="10"/>
    <n v="0"/>
    <d v="2025-09-27T18:42:57"/>
    <s v="https://etrain.info/train/Sanghamitra-Express-12296/history?d=1y"/>
    <n v="285"/>
    <x v="25"/>
  </r>
  <r>
    <x v="17"/>
    <s v="Sanghamitra Express"/>
    <s v="NLR"/>
    <x v="73"/>
    <n v="25"/>
    <n v="46.67"/>
    <n v="46.67"/>
    <n v="6.67"/>
    <n v="0"/>
    <d v="2025-09-27T18:43:01"/>
    <s v="https://etrain.info/train/Sanghamitra-Express-12296/history?d=1y"/>
    <n v="286"/>
    <x v="26"/>
  </r>
  <r>
    <x v="17"/>
    <s v="Sanghamitra Express"/>
    <s v="GDR"/>
    <x v="74"/>
    <n v="14"/>
    <n v="80"/>
    <n v="13.33"/>
    <n v="6.67"/>
    <n v="0"/>
    <d v="2025-09-27T18:43:03"/>
    <s v="https://etrain.info/train/Sanghamitra-Express-12296/history?d=1y"/>
    <n v="287"/>
    <x v="27"/>
  </r>
  <r>
    <x v="17"/>
    <s v="Sanghamitra Express"/>
    <s v="PER"/>
    <x v="10"/>
    <m/>
    <n v="26.67"/>
    <n v="66.67"/>
    <n v="6.67"/>
    <n v="0"/>
    <d v="2025-09-27T18:43:05"/>
    <s v="https://etrain.info/train/Sanghamitra-Express-12296/history?d=1y"/>
    <n v="288"/>
    <x v="28"/>
  </r>
  <r>
    <x v="17"/>
    <s v="Sanghamitra Express"/>
    <s v="AJJ"/>
    <x v="2"/>
    <n v="32"/>
    <n v="26.67"/>
    <n v="66.67"/>
    <n v="6.67"/>
    <n v="0"/>
    <d v="2025-09-27T18:43:08"/>
    <s v="https://etrain.info/train/Sanghamitra-Express-12296/history?d=1y"/>
    <n v="289"/>
    <x v="29"/>
  </r>
  <r>
    <x v="17"/>
    <s v="Sanghamitra Express"/>
    <s v="KPD"/>
    <x v="3"/>
    <n v="37"/>
    <n v="46.67"/>
    <n v="40"/>
    <n v="13.33"/>
    <n v="0"/>
    <d v="2025-09-27T18:43:12"/>
    <s v="https://etrain.info/train/Sanghamitra-Express-12296/history?d=1y"/>
    <n v="290"/>
    <x v="30"/>
  </r>
  <r>
    <x v="17"/>
    <s v="Sanghamitra Express"/>
    <s v="JTJ"/>
    <x v="4"/>
    <n v="31"/>
    <n v="56.67"/>
    <n v="30"/>
    <n v="13.33"/>
    <n v="0"/>
    <d v="2025-09-27T18:43:16"/>
    <s v="https://etrain.info/train/Sanghamitra-Express-12296/history?d=1y"/>
    <n v="291"/>
    <x v="31"/>
  </r>
  <r>
    <x v="17"/>
    <s v="Sanghamitra Express"/>
    <s v="KPN"/>
    <x v="79"/>
    <n v="46"/>
    <n v="30"/>
    <n v="56.67"/>
    <n v="13.33"/>
    <n v="0"/>
    <d v="2025-09-27T18:43:19"/>
    <s v="https://etrain.info/train/Sanghamitra-Express-12296/history?d=1y"/>
    <n v="292"/>
    <x v="32"/>
  </r>
  <r>
    <x v="17"/>
    <s v="Sanghamitra Express"/>
    <s v="BWT"/>
    <x v="78"/>
    <n v="49"/>
    <n v="20"/>
    <n v="66.67"/>
    <n v="13.33"/>
    <n v="0"/>
    <d v="2025-09-27T18:43:23"/>
    <s v="https://etrain.info/train/Sanghamitra-Express-12296/history?d=1y"/>
    <n v="293"/>
    <x v="33"/>
  </r>
  <r>
    <x v="17"/>
    <s v="Sanghamitra Express"/>
    <s v="KJM"/>
    <x v="77"/>
    <n v="45"/>
    <n v="20"/>
    <n v="66.67"/>
    <n v="13.33"/>
    <n v="0"/>
    <d v="2025-09-27T18:43:27"/>
    <s v="https://etrain.info/train/Sanghamitra-Express-12296/history?d=1y"/>
    <n v="294"/>
    <x v="34"/>
  </r>
  <r>
    <x v="17"/>
    <s v="Sanghamitra Express"/>
    <s v="SMVB"/>
    <x v="76"/>
    <n v="10"/>
    <n v="86.67"/>
    <n v="0"/>
    <n v="13.33"/>
    <n v="0"/>
    <d v="2025-09-27T18:43:31"/>
    <s v="https://etrain.info/train/Sanghamitra-Express-12296/history?d=1y"/>
    <n v="295"/>
    <x v="35"/>
  </r>
  <r>
    <x v="18"/>
    <s v="Coromandel Express"/>
    <s v="HWH"/>
    <x v="42"/>
    <n v="18"/>
    <n v="53.33"/>
    <n v="30"/>
    <n v="6.67"/>
    <n v="10"/>
    <d v="2025-09-27T18:43:34"/>
    <s v="https://etrain.info/train/Coromandel-Express-12841/history?d=1y"/>
    <n v="296"/>
    <x v="0"/>
  </r>
  <r>
    <x v="18"/>
    <s v="Coromandel Express"/>
    <s v="SHM"/>
    <x v="99"/>
    <m/>
    <n v="10"/>
    <n v="0"/>
    <n v="0"/>
    <n v="90"/>
    <d v="2025-09-27T18:43:35"/>
    <s v="https://etrain.info/train/Coromandel-Express-12841/history?d=1y"/>
    <n v="297"/>
    <x v="1"/>
  </r>
  <r>
    <x v="18"/>
    <s v="Coromandel Express"/>
    <s v="SRC"/>
    <x v="75"/>
    <n v="20"/>
    <n v="63.33"/>
    <n v="26.67"/>
    <n v="10"/>
    <n v="0"/>
    <d v="2025-09-27T18:43:37"/>
    <s v="https://etrain.info/train/Coromandel-Express-12841/history?d=1y"/>
    <n v="298"/>
    <x v="2"/>
  </r>
  <r>
    <x v="18"/>
    <s v="Coromandel Express"/>
    <s v="KGP"/>
    <x v="43"/>
    <n v="34"/>
    <n v="23.33"/>
    <n v="60"/>
    <n v="16.670000000000002"/>
    <n v="0"/>
    <d v="2025-09-27T18:43:38"/>
    <s v="https://etrain.info/train/Coromandel-Express-12841/history?d=1y"/>
    <n v="299"/>
    <x v="3"/>
  </r>
  <r>
    <x v="18"/>
    <s v="Coromandel Express"/>
    <s v="BLS"/>
    <x v="44"/>
    <n v="53"/>
    <n v="10"/>
    <n v="60"/>
    <n v="30"/>
    <n v="0"/>
    <d v="2025-09-27T18:43:40"/>
    <s v="https://etrain.info/train/Coromandel-Express-12841/history?d=1y"/>
    <n v="300"/>
    <x v="4"/>
  </r>
  <r>
    <x v="18"/>
    <s v="Coromandel Express"/>
    <s v="BHC"/>
    <x v="45"/>
    <m/>
    <n v="46.67"/>
    <n v="33.33"/>
    <n v="20"/>
    <n v="0"/>
    <d v="2025-09-27T18:43:42"/>
    <s v="https://etrain.info/train/Coromandel-Express-12841/history?d=1y"/>
    <n v="301"/>
    <x v="5"/>
  </r>
  <r>
    <x v="18"/>
    <s v="Coromandel Express"/>
    <s v="JJKR"/>
    <x v="46"/>
    <n v="36"/>
    <n v="46.67"/>
    <n v="33.33"/>
    <n v="20"/>
    <n v="0"/>
    <d v="2025-09-27T18:43:44"/>
    <s v="https://etrain.info/train/Coromandel-Express-12841/history?d=1y"/>
    <n v="302"/>
    <x v="6"/>
  </r>
  <r>
    <x v="18"/>
    <s v="Coromandel Express"/>
    <s v="CTC"/>
    <x v="47"/>
    <n v="48"/>
    <n v="20"/>
    <n v="50"/>
    <n v="30"/>
    <n v="0"/>
    <d v="2025-09-27T18:43:45"/>
    <s v="https://etrain.info/train/Coromandel-Express-12841/history?d=1y"/>
    <n v="303"/>
    <x v="7"/>
  </r>
  <r>
    <x v="18"/>
    <s v="Coromandel Express"/>
    <s v="BBS"/>
    <x v="48"/>
    <n v="49"/>
    <n v="23.33"/>
    <n v="50"/>
    <n v="26.67"/>
    <n v="0"/>
    <d v="2025-09-27T18:43:47"/>
    <s v="https://etrain.info/train/Coromandel-Express-12841/history?d=1y"/>
    <n v="304"/>
    <x v="8"/>
  </r>
  <r>
    <x v="18"/>
    <s v="Coromandel Express"/>
    <s v="KUR"/>
    <x v="49"/>
    <n v="71"/>
    <n v="3.33"/>
    <n v="50"/>
    <n v="46.67"/>
    <n v="0"/>
    <d v="2025-09-27T18:43:49"/>
    <s v="https://etrain.info/train/Coromandel-Express-12841/history?d=1y"/>
    <n v="305"/>
    <x v="9"/>
  </r>
  <r>
    <x v="18"/>
    <s v="Coromandel Express"/>
    <s v="BAM"/>
    <x v="52"/>
    <n v="63"/>
    <n v="6.67"/>
    <n v="50"/>
    <n v="43.33"/>
    <n v="0"/>
    <d v="2025-09-27T18:43:50"/>
    <s v="https://etrain.info/train/Coromandel-Express-12841/history?d=1y"/>
    <n v="306"/>
    <x v="10"/>
  </r>
  <r>
    <x v="18"/>
    <s v="Coromandel Express"/>
    <s v="VSKP"/>
    <x v="60"/>
    <n v="48"/>
    <n v="50"/>
    <n v="23.33"/>
    <n v="26.67"/>
    <n v="0"/>
    <d v="2025-09-27T18:43:52"/>
    <s v="https://etrain.info/train/Coromandel-Express-12841/history?d=1y"/>
    <n v="307"/>
    <x v="11"/>
  </r>
  <r>
    <x v="18"/>
    <s v="Coromandel Express"/>
    <s v="RJY"/>
    <x v="65"/>
    <m/>
    <n v="0"/>
    <n v="63.33"/>
    <n v="36.67"/>
    <n v="0"/>
    <d v="2025-09-27T18:43:54"/>
    <s v="https://etrain.info/train/Coromandel-Express-12841/history?d=1y"/>
    <n v="308"/>
    <x v="12"/>
  </r>
  <r>
    <x v="18"/>
    <s v="Coromandel Express"/>
    <s v="TDD"/>
    <x v="67"/>
    <n v="71"/>
    <n v="6.67"/>
    <n v="60"/>
    <n v="33.33"/>
    <n v="0"/>
    <d v="2025-09-27T18:43:55"/>
    <s v="https://etrain.info/train/Coromandel-Express-12841/history?d=1y"/>
    <n v="309"/>
    <x v="13"/>
  </r>
  <r>
    <x v="18"/>
    <s v="Coromandel Express"/>
    <s v="EE"/>
    <x v="68"/>
    <n v="71"/>
    <n v="3.33"/>
    <n v="63.33"/>
    <n v="33.33"/>
    <n v="0.01"/>
    <d v="2025-09-27T18:43:57"/>
    <s v="https://etrain.info/train/Coromandel-Express-12841/history?d=1y"/>
    <n v="310"/>
    <x v="14"/>
  </r>
  <r>
    <x v="18"/>
    <s v="Coromandel Express"/>
    <s v="BZA"/>
    <x v="30"/>
    <n v="45"/>
    <n v="40"/>
    <n v="33.33"/>
    <n v="26.67"/>
    <n v="0"/>
    <d v="2025-09-27T18:43:58"/>
    <s v="https://etrain.info/train/Coromandel-Express-12841/history?d=1y"/>
    <n v="311"/>
    <x v="15"/>
  </r>
  <r>
    <x v="18"/>
    <s v="Coromandel Express"/>
    <s v="MAS"/>
    <x v="0"/>
    <n v="21"/>
    <n v="66.67"/>
    <n v="10"/>
    <n v="23.33"/>
    <n v="0"/>
    <d v="2025-09-27T18:44:00"/>
    <s v="https://etrain.info/train/Coromandel-Express-12841/history?d=1y"/>
    <n v="312"/>
    <x v="16"/>
  </r>
  <r>
    <x v="19"/>
    <s v="Coromandel Express"/>
    <s v="MAS"/>
    <x v="0"/>
    <n v="31"/>
    <n v="76.67"/>
    <n v="10"/>
    <n v="13.33"/>
    <n v="0"/>
    <d v="2025-09-27T18:44:05"/>
    <s v="https://etrain.info/train/Coromandel-Express-12842/history?d=1y"/>
    <n v="313"/>
    <x v="0"/>
  </r>
  <r>
    <x v="19"/>
    <s v="Coromandel Express"/>
    <s v="OGL"/>
    <x v="72"/>
    <n v="50"/>
    <n v="36.67"/>
    <n v="43.33"/>
    <n v="20"/>
    <n v="0"/>
    <d v="2025-09-27T18:44:07"/>
    <s v="https://etrain.info/train/Coromandel-Express-12842/history?d=1y"/>
    <n v="314"/>
    <x v="1"/>
  </r>
  <r>
    <x v="19"/>
    <s v="Coromandel Express"/>
    <s v="BZA"/>
    <x v="30"/>
    <n v="56"/>
    <n v="16.670000000000002"/>
    <n v="60"/>
    <n v="23.33"/>
    <n v="0"/>
    <d v="2025-09-27T18:44:09"/>
    <s v="https://etrain.info/train/Coromandel-Express-12842/history?d=1y"/>
    <n v="315"/>
    <x v="2"/>
  </r>
  <r>
    <x v="19"/>
    <s v="Coromandel Express"/>
    <s v="EE"/>
    <x v="68"/>
    <n v="68"/>
    <n v="3.33"/>
    <n v="70"/>
    <n v="26.67"/>
    <n v="0"/>
    <d v="2025-09-27T18:44:10"/>
    <s v="https://etrain.info/train/Coromandel-Express-12842/history?d=1y"/>
    <n v="316"/>
    <x v="3"/>
  </r>
  <r>
    <x v="19"/>
    <s v="Coromandel Express"/>
    <s v="TDD"/>
    <x v="67"/>
    <n v="75"/>
    <n v="3.33"/>
    <n v="56.67"/>
    <n v="40"/>
    <n v="0"/>
    <d v="2025-09-27T18:44:12"/>
    <s v="https://etrain.info/train/Coromandel-Express-12842/history?d=1y"/>
    <n v="317"/>
    <x v="4"/>
  </r>
  <r>
    <x v="19"/>
    <s v="Coromandel Express"/>
    <s v="RJY"/>
    <x v="65"/>
    <n v="100"/>
    <n v="0"/>
    <n v="16.670000000000002"/>
    <n v="83.33"/>
    <n v="0"/>
    <d v="2025-09-27T18:44:13"/>
    <s v="https://etrain.info/train/Coromandel-Express-12842/history?d=1y"/>
    <n v="318"/>
    <x v="5"/>
  </r>
  <r>
    <x v="19"/>
    <s v="Coromandel Express"/>
    <s v="VSKP"/>
    <x v="60"/>
    <n v="35"/>
    <n v="60"/>
    <n v="23.33"/>
    <n v="16.670000000000002"/>
    <n v="0"/>
    <d v="2025-09-27T18:44:15"/>
    <s v="https://etrain.info/train/Coromandel-Express-12842/history?d=1y"/>
    <n v="319"/>
    <x v="6"/>
  </r>
  <r>
    <x v="19"/>
    <s v="Coromandel Express"/>
    <s v="BAM"/>
    <x v="52"/>
    <m/>
    <n v="20"/>
    <n v="53.33"/>
    <n v="26.67"/>
    <n v="0"/>
    <d v="2025-09-27T18:44:17"/>
    <s v="https://etrain.info/train/Coromandel-Express-12842/history?d=1y"/>
    <n v="320"/>
    <x v="7"/>
  </r>
  <r>
    <x v="19"/>
    <s v="Coromandel Express"/>
    <s v="KUR"/>
    <x v="49"/>
    <n v="79"/>
    <n v="0"/>
    <n v="60"/>
    <n v="40"/>
    <n v="0"/>
    <d v="2025-09-27T18:44:18"/>
    <s v="https://etrain.info/train/Coromandel-Express-12842/history?d=1y"/>
    <n v="321"/>
    <x v="8"/>
  </r>
  <r>
    <x v="19"/>
    <s v="Coromandel Express"/>
    <s v="BBS"/>
    <x v="48"/>
    <n v="77"/>
    <n v="0"/>
    <n v="56.67"/>
    <n v="43.33"/>
    <n v="0"/>
    <d v="2025-09-27T18:44:20"/>
    <s v="https://etrain.info/train/Coromandel-Express-12842/history?d=1y"/>
    <n v="322"/>
    <x v="9"/>
  </r>
  <r>
    <x v="19"/>
    <s v="Coromandel Express"/>
    <s v="CTC"/>
    <x v="47"/>
    <n v="80"/>
    <n v="0"/>
    <n v="53.33"/>
    <n v="46.67"/>
    <n v="0"/>
    <d v="2025-09-27T18:44:21"/>
    <s v="https://etrain.info/train/Coromandel-Express-12842/history?d=1y"/>
    <n v="323"/>
    <x v="10"/>
  </r>
  <r>
    <x v="19"/>
    <s v="Coromandel Express"/>
    <s v="JJKR"/>
    <x v="46"/>
    <n v="104"/>
    <n v="0"/>
    <n v="13.33"/>
    <n v="86.67"/>
    <n v="0"/>
    <d v="2025-09-27T18:44:23"/>
    <s v="https://etrain.info/train/Coromandel-Express-12842/history?d=1y"/>
    <n v="324"/>
    <x v="11"/>
  </r>
  <r>
    <x v="19"/>
    <s v="Coromandel Express"/>
    <s v="BHC"/>
    <x v="45"/>
    <n v="45"/>
    <n v="40"/>
    <n v="36.67"/>
    <n v="23.33"/>
    <n v="0"/>
    <d v="2025-09-27T18:44:24"/>
    <s v="https://etrain.info/train/Coromandel-Express-12842/history?d=1y"/>
    <n v="325"/>
    <x v="12"/>
  </r>
  <r>
    <x v="19"/>
    <s v="Coromandel Express"/>
    <s v="BLS"/>
    <x v="44"/>
    <n v="58"/>
    <n v="13.33"/>
    <n v="63.33"/>
    <n v="23.33"/>
    <n v="0.01"/>
    <d v="2025-09-27T18:44:26"/>
    <s v="https://etrain.info/train/Coromandel-Express-12842/history?d=1y"/>
    <n v="326"/>
    <x v="13"/>
  </r>
  <r>
    <x v="19"/>
    <s v="Coromandel Express"/>
    <s v="KGP"/>
    <x v="43"/>
    <n v="89"/>
    <n v="0"/>
    <n v="56.67"/>
    <n v="43.33"/>
    <n v="0"/>
    <d v="2025-09-27T18:44:27"/>
    <s v="https://etrain.info/train/Coromandel-Express-12842/history?d=1y"/>
    <n v="327"/>
    <x v="14"/>
  </r>
  <r>
    <x v="19"/>
    <s v="Coromandel Express"/>
    <s v="SRC"/>
    <x v="75"/>
    <n v="51"/>
    <n v="36.67"/>
    <n v="33.33"/>
    <n v="30"/>
    <n v="0"/>
    <d v="2025-09-27T18:44:29"/>
    <s v="https://etrain.info/train/Coromandel-Express-12842/history?d=1y"/>
    <n v="328"/>
    <x v="15"/>
  </r>
  <r>
    <x v="19"/>
    <s v="Coromandel Express"/>
    <s v="HWH"/>
    <x v="42"/>
    <n v="63"/>
    <n v="53.33"/>
    <n v="10"/>
    <n v="26.67"/>
    <n v="10"/>
    <d v="2025-09-27T18:44:31"/>
    <s v="https://etrain.info/train/Coromandel-Express-12842/history?d=1y"/>
    <n v="329"/>
    <x v="16"/>
  </r>
  <r>
    <x v="19"/>
    <s v="Coromandel Express"/>
    <s v="SHM"/>
    <x v="99"/>
    <n v="53"/>
    <n v="3.33"/>
    <n v="0"/>
    <n v="6.67"/>
    <n v="90"/>
    <d v="2025-09-27T18:44:32"/>
    <s v="https://etrain.info/train/Coromandel-Express-12842/history?d=1y"/>
    <n v="330"/>
    <x v="17"/>
  </r>
  <r>
    <x v="20"/>
    <s v="Kerala Express"/>
    <s v="TVC"/>
    <x v="100"/>
    <n v="7"/>
    <n v="94.52"/>
    <n v="4.93"/>
    <n v="0.55000000000000004"/>
    <n v="0"/>
    <d v="2025-09-27T18:44:38"/>
    <s v="https://etrain.info/train/Kerala-Express-12625/history?d=1y"/>
    <n v="331"/>
    <x v="0"/>
  </r>
  <r>
    <x v="20"/>
    <s v="Kerala Express"/>
    <s v="VAK"/>
    <x v="101"/>
    <n v="8"/>
    <n v="89.59"/>
    <n v="9.59"/>
    <n v="0.82"/>
    <n v="0"/>
    <d v="2025-09-27T18:44:41"/>
    <s v="https://etrain.info/train/Kerala-Express-12625/history?d=1y"/>
    <n v="332"/>
    <x v="1"/>
  </r>
  <r>
    <x v="20"/>
    <s v="Kerala Express"/>
    <s v="QLN"/>
    <x v="102"/>
    <n v="10"/>
    <n v="87.12"/>
    <n v="12.05"/>
    <n v="0.82"/>
    <n v="0.01"/>
    <d v="2025-09-27T18:44:43"/>
    <s v="https://etrain.info/train/Kerala-Express-12625/history?d=1y"/>
    <n v="333"/>
    <x v="2"/>
  </r>
  <r>
    <x v="20"/>
    <s v="Kerala Express"/>
    <s v="KYJ"/>
    <x v="103"/>
    <m/>
    <n v="64.930000000000007"/>
    <n v="33.97"/>
    <n v="1.1000000000000001"/>
    <n v="0"/>
    <d v="2025-09-27T18:44:45"/>
    <s v="https://etrain.info/train/Kerala-Express-12625/history?d=1y"/>
    <n v="334"/>
    <x v="3"/>
  </r>
  <r>
    <x v="20"/>
    <s v="Kerala Express"/>
    <s v="MVLK"/>
    <x v="104"/>
    <n v="17"/>
    <n v="58.36"/>
    <n v="40.549999999999997"/>
    <n v="1.1000000000000001"/>
    <n v="0"/>
    <d v="2025-09-27T18:44:49"/>
    <s v="https://etrain.info/train/Kerala-Express-12625/history?d=1y"/>
    <n v="335"/>
    <x v="4"/>
  </r>
  <r>
    <x v="20"/>
    <s v="Kerala Express"/>
    <s v="CNGR"/>
    <x v="105"/>
    <n v="17"/>
    <n v="53.42"/>
    <n v="45.48"/>
    <n v="1.1000000000000001"/>
    <n v="0"/>
    <d v="2025-09-27T18:44:52"/>
    <s v="https://etrain.info/train/Kerala-Express-12625/history?d=1y"/>
    <n v="336"/>
    <x v="5"/>
  </r>
  <r>
    <x v="20"/>
    <s v="Kerala Express"/>
    <s v="TRVL"/>
    <x v="106"/>
    <n v="21"/>
    <n v="38.630000000000003"/>
    <n v="60"/>
    <n v="1.37"/>
    <n v="0"/>
    <d v="2025-09-27T18:44:56"/>
    <s v="https://etrain.info/train/Kerala-Express-12625/history?d=1y"/>
    <n v="337"/>
    <x v="6"/>
  </r>
  <r>
    <x v="20"/>
    <s v="Kerala Express"/>
    <s v="CGY"/>
    <x v="107"/>
    <n v="21"/>
    <n v="41.64"/>
    <n v="56.71"/>
    <n v="1.64"/>
    <n v="0.01"/>
    <d v="2025-09-27T18:44:58"/>
    <s v="https://etrain.info/train/Kerala-Express-12625/history?d=1y"/>
    <n v="338"/>
    <x v="7"/>
  </r>
  <r>
    <x v="20"/>
    <s v="Kerala Express"/>
    <s v="KTYM"/>
    <x v="108"/>
    <m/>
    <n v="33.700000000000003"/>
    <n v="63.84"/>
    <n v="2.4700000000000002"/>
    <n v="0"/>
    <d v="2025-09-27T18:45:00"/>
    <s v="https://etrain.info/train/Kerala-Express-12625/history?d=1y"/>
    <n v="339"/>
    <x v="8"/>
  </r>
  <r>
    <x v="20"/>
    <s v="Kerala Express"/>
    <s v="VARD"/>
    <x v="109"/>
    <n v="23"/>
    <n v="36.71"/>
    <n v="60.82"/>
    <n v="2.4700000000000002"/>
    <n v="0"/>
    <d v="2025-09-27T18:45:04"/>
    <s v="https://etrain.info/train/Kerala-Express-12625/history?d=1y"/>
    <n v="340"/>
    <x v="9"/>
  </r>
  <r>
    <x v="20"/>
    <s v="Kerala Express"/>
    <s v="ERN"/>
    <x v="110"/>
    <n v="25"/>
    <n v="31.23"/>
    <n v="65.48"/>
    <n v="3.29"/>
    <n v="0"/>
    <d v="2025-09-27T18:45:08"/>
    <s v="https://etrain.info/train/Kerala-Express-12625/history?d=1y"/>
    <n v="341"/>
    <x v="10"/>
  </r>
  <r>
    <x v="20"/>
    <s v="Kerala Express"/>
    <s v="AWY"/>
    <x v="111"/>
    <n v="27"/>
    <n v="24.93"/>
    <n v="70.959999999999994"/>
    <n v="4.1100000000000003"/>
    <n v="0"/>
    <d v="2025-09-27T18:45:12"/>
    <s v="https://etrain.info/train/Kerala-Express-12625/history?d=1y"/>
    <n v="342"/>
    <x v="11"/>
  </r>
  <r>
    <x v="20"/>
    <s v="Kerala Express"/>
    <s v="TCR"/>
    <x v="112"/>
    <n v="30"/>
    <n v="10.14"/>
    <n v="85.48"/>
    <n v="4.38"/>
    <n v="0"/>
    <d v="2025-09-27T18:45:15"/>
    <s v="https://etrain.info/train/Kerala-Express-12625/history?d=1y"/>
    <n v="343"/>
    <x v="12"/>
  </r>
  <r>
    <x v="20"/>
    <s v="Kerala Express"/>
    <s v="OTP"/>
    <x v="113"/>
    <n v="17"/>
    <n v="70.14"/>
    <n v="26.85"/>
    <n v="3.01"/>
    <n v="0"/>
    <d v="2025-09-27T18:45:19"/>
    <s v="https://etrain.info/train/Kerala-Express-12625/history?d=1y"/>
    <n v="344"/>
    <x v="13"/>
  </r>
  <r>
    <x v="20"/>
    <s v="Kerala Express"/>
    <s v="PGT"/>
    <x v="114"/>
    <n v="26"/>
    <n v="25.48"/>
    <n v="71.23"/>
    <n v="3.29"/>
    <n v="0"/>
    <d v="2025-09-27T18:45:23"/>
    <s v="https://etrain.info/train/Kerala-Express-12625/history?d=1y"/>
    <n v="345"/>
    <x v="14"/>
  </r>
  <r>
    <x v="20"/>
    <s v="Kerala Express"/>
    <s v="CBE"/>
    <x v="9"/>
    <n v="17"/>
    <n v="65.48"/>
    <n v="31.23"/>
    <n v="3.29"/>
    <n v="0"/>
    <d v="2025-09-27T18:45:26"/>
    <s v="https://etrain.info/train/Kerala-Express-12625/history?d=1y"/>
    <n v="346"/>
    <x v="15"/>
  </r>
  <r>
    <x v="20"/>
    <s v="Kerala Express"/>
    <s v="TUP"/>
    <x v="7"/>
    <n v="18"/>
    <n v="61.1"/>
    <n v="35.619999999999997"/>
    <n v="3.29"/>
    <n v="0"/>
    <d v="2025-09-27T18:45:30"/>
    <s v="https://etrain.info/train/Kerala-Express-12625/history?d=1y"/>
    <n v="347"/>
    <x v="16"/>
  </r>
  <r>
    <x v="20"/>
    <s v="Kerala Express"/>
    <s v="ED"/>
    <x v="6"/>
    <n v="20"/>
    <n v="53.42"/>
    <n v="43.29"/>
    <n v="3.29"/>
    <n v="0"/>
    <d v="2025-09-27T18:45:34"/>
    <s v="https://etrain.info/train/Kerala-Express-12625/history?d=1y"/>
    <n v="348"/>
    <x v="17"/>
  </r>
  <r>
    <x v="20"/>
    <s v="Kerala Express"/>
    <s v="SA"/>
    <x v="5"/>
    <n v="18"/>
    <n v="58.36"/>
    <n v="38.36"/>
    <n v="3.29"/>
    <n v="0"/>
    <d v="2025-09-27T18:45:37"/>
    <s v="https://etrain.info/train/Kerala-Express-12625/history?d=1y"/>
    <n v="349"/>
    <x v="18"/>
  </r>
  <r>
    <x v="20"/>
    <s v="Kerala Express"/>
    <s v="JTJ"/>
    <x v="4"/>
    <n v="12"/>
    <n v="89.86"/>
    <n v="7.4"/>
    <n v="2.74"/>
    <n v="0"/>
    <d v="2025-09-27T18:45:39"/>
    <s v="https://etrain.info/train/Kerala-Express-12625/history?d=1y"/>
    <n v="350"/>
    <x v="19"/>
  </r>
  <r>
    <x v="20"/>
    <s v="Kerala Express"/>
    <s v="KPD"/>
    <x v="3"/>
    <n v="9"/>
    <n v="93.7"/>
    <n v="4.1100000000000003"/>
    <n v="2.19"/>
    <n v="0"/>
    <d v="2025-09-27T18:45:43"/>
    <s v="https://etrain.info/train/Kerala-Express-12625/history?d=1y"/>
    <n v="351"/>
    <x v="20"/>
  </r>
  <r>
    <x v="20"/>
    <s v="Kerala Express"/>
    <s v="CTO"/>
    <x v="115"/>
    <n v="17"/>
    <n v="65.209999999999994"/>
    <n v="31.78"/>
    <n v="3.01"/>
    <n v="0"/>
    <d v="2025-09-27T18:45:46"/>
    <s v="https://etrain.info/train/Kerala-Express-12625/history?d=1y"/>
    <n v="352"/>
    <x v="21"/>
  </r>
  <r>
    <x v="20"/>
    <s v="Kerala Express"/>
    <s v="TPTY"/>
    <x v="116"/>
    <n v="20"/>
    <n v="56.16"/>
    <n v="40.82"/>
    <n v="3.01"/>
    <n v="0.01"/>
    <d v="2025-09-27T18:45:48"/>
    <s v="https://etrain.info/train/Kerala-Express-12625/history?d=1y"/>
    <n v="353"/>
    <x v="22"/>
  </r>
  <r>
    <x v="20"/>
    <s v="Kerala Express"/>
    <s v="RU"/>
    <x v="117"/>
    <n v="31"/>
    <n v="15.34"/>
    <n v="80.819999999999993"/>
    <n v="3.84"/>
    <n v="0"/>
    <d v="2025-09-27T18:45:52"/>
    <s v="https://etrain.info/train/Kerala-Express-12625/history?d=1y"/>
    <n v="354"/>
    <x v="23"/>
  </r>
  <r>
    <x v="20"/>
    <s v="Kerala Express"/>
    <s v="GDR"/>
    <x v="74"/>
    <n v="19"/>
    <n v="53.7"/>
    <n v="42.47"/>
    <n v="3.01"/>
    <n v="0.82"/>
    <d v="2025-09-27T18:45:53"/>
    <s v="https://etrain.info/train/Kerala-Express-12625/history?d=1y"/>
    <n v="355"/>
    <x v="24"/>
  </r>
  <r>
    <x v="20"/>
    <s v="Kerala Express"/>
    <s v="NLR"/>
    <x v="73"/>
    <n v="27"/>
    <n v="26.85"/>
    <n v="68.489999999999995"/>
    <n v="3.84"/>
    <n v="0.82"/>
    <d v="2025-09-27T18:45:55"/>
    <s v="https://etrain.info/train/Kerala-Express-12625/history?d=1y"/>
    <n v="356"/>
    <x v="25"/>
  </r>
  <r>
    <x v="20"/>
    <s v="Kerala Express"/>
    <s v="BZA"/>
    <x v="30"/>
    <n v="20"/>
    <n v="57.53"/>
    <n v="36.71"/>
    <n v="4.93"/>
    <n v="0.83"/>
    <d v="2025-09-27T18:45:57"/>
    <s v="https://etrain.info/train/Kerala-Express-12625/history?d=1y"/>
    <n v="357"/>
    <x v="26"/>
  </r>
  <r>
    <x v="20"/>
    <s v="Kerala Express"/>
    <s v="WL"/>
    <x v="32"/>
    <n v="84"/>
    <n v="1.1000000000000001"/>
    <n v="15.62"/>
    <n v="82.47"/>
    <n v="0.81"/>
    <d v="2025-09-27T18:45:58"/>
    <s v="https://etrain.info/train/Kerala-Express-12625/history?d=1y"/>
    <n v="358"/>
    <x v="27"/>
  </r>
  <r>
    <x v="20"/>
    <s v="Kerala Express"/>
    <s v="RDM"/>
    <x v="80"/>
    <n v="48"/>
    <n v="18.899999999999999"/>
    <n v="52.6"/>
    <n v="27.67"/>
    <n v="0.83"/>
    <d v="2025-09-27T18:46:00"/>
    <s v="https://etrain.info/train/Kerala-Express-12625/history?d=1y"/>
    <n v="359"/>
    <x v="28"/>
  </r>
  <r>
    <x v="20"/>
    <s v="Kerala Express"/>
    <s v="BPQ"/>
    <x v="33"/>
    <n v="18"/>
    <n v="75.62"/>
    <n v="18.36"/>
    <n v="5.21"/>
    <n v="0.81"/>
    <d v="2025-09-27T18:46:01"/>
    <s v="https://etrain.info/train/Kerala-Express-12625/history?d=1y"/>
    <n v="360"/>
    <x v="29"/>
  </r>
  <r>
    <x v="20"/>
    <s v="Kerala Express"/>
    <s v="CD"/>
    <x v="82"/>
    <n v="19"/>
    <n v="65.75"/>
    <n v="27.95"/>
    <n v="5.48"/>
    <n v="0.82"/>
    <d v="2025-09-27T18:46:03"/>
    <s v="https://etrain.info/train/Kerala-Express-12625/history?d=1y"/>
    <n v="361"/>
    <x v="30"/>
  </r>
  <r>
    <x v="20"/>
    <s v="Kerala Express"/>
    <s v="SEGM"/>
    <x v="83"/>
    <n v="38"/>
    <n v="15.07"/>
    <n v="72.05"/>
    <n v="12.05"/>
    <n v="0.83"/>
    <d v="2025-09-27T18:46:04"/>
    <s v="https://etrain.info/train/Kerala-Express-12625/history?d=1y"/>
    <n v="362"/>
    <x v="31"/>
  </r>
  <r>
    <x v="20"/>
    <s v="Kerala Express"/>
    <s v="NGP"/>
    <x v="34"/>
    <n v="50"/>
    <n v="6.3"/>
    <n v="71.78"/>
    <n v="21.1"/>
    <n v="0.82"/>
    <d v="2025-09-27T18:46:06"/>
    <s v="https://etrain.info/train/Kerala-Express-12625/history?d=1y"/>
    <n v="363"/>
    <x v="32"/>
  </r>
  <r>
    <x v="20"/>
    <s v="Kerala Express"/>
    <s v="ET"/>
    <x v="35"/>
    <n v="28"/>
    <n v="54.52"/>
    <n v="36.99"/>
    <n v="8.49"/>
    <n v="0"/>
    <d v="2025-09-27T18:46:09"/>
    <s v="https://etrain.info/train/Kerala-Express-12625/history?d=1y"/>
    <n v="364"/>
    <x v="33"/>
  </r>
  <r>
    <x v="20"/>
    <s v="Kerala Express"/>
    <s v="BPL"/>
    <x v="36"/>
    <n v="28"/>
    <n v="57.26"/>
    <n v="34.520000000000003"/>
    <n v="8.2200000000000006"/>
    <n v="0"/>
    <d v="2025-09-27T18:46:13"/>
    <s v="https://etrain.info/train/Kerala-Express-12625/history?d=1y"/>
    <n v="365"/>
    <x v="34"/>
  </r>
  <r>
    <x v="20"/>
    <s v="Kerala Express"/>
    <s v="BINA"/>
    <x v="118"/>
    <n v="25"/>
    <n v="70.959999999999994"/>
    <n v="20.27"/>
    <n v="8.77"/>
    <n v="0"/>
    <d v="2025-09-27T18:46:17"/>
    <s v="https://etrain.info/train/Kerala-Express-12625/history?d=1y"/>
    <n v="366"/>
    <x v="35"/>
  </r>
  <r>
    <x v="20"/>
    <s v="Kerala Express"/>
    <s v="VGLJ"/>
    <x v="37"/>
    <n v="38"/>
    <n v="44.66"/>
    <n v="41.64"/>
    <n v="13.7"/>
    <n v="0"/>
    <d v="2025-09-27T18:46:21"/>
    <s v="https://etrain.info/train/Kerala-Express-12625/history?d=1y"/>
    <n v="367"/>
    <x v="36"/>
  </r>
  <r>
    <x v="20"/>
    <s v="Kerala Express"/>
    <s v="GWL"/>
    <x v="38"/>
    <n v="45"/>
    <n v="39.450000000000003"/>
    <n v="43.29"/>
    <n v="17.260000000000002"/>
    <n v="0"/>
    <d v="2025-09-27T18:46:24"/>
    <s v="https://etrain.info/train/Kerala-Express-12625/history?d=1y"/>
    <n v="368"/>
    <x v="37"/>
  </r>
  <r>
    <x v="20"/>
    <s v="Kerala Express"/>
    <s v="AGC"/>
    <x v="39"/>
    <n v="43"/>
    <n v="58.36"/>
    <n v="23.01"/>
    <n v="18.63"/>
    <n v="0"/>
    <d v="2025-09-27T18:46:26"/>
    <s v="https://etrain.info/train/Kerala-Express-12625/history?d=1y"/>
    <n v="369"/>
    <x v="38"/>
  </r>
  <r>
    <x v="20"/>
    <s v="Kerala Express"/>
    <s v="MTJ"/>
    <x v="119"/>
    <n v="60"/>
    <n v="13.15"/>
    <n v="63.29"/>
    <n v="23.56"/>
    <n v="0"/>
    <d v="2025-09-27T18:46:30"/>
    <s v="https://etrain.info/train/Kerala-Express-12625/history?d=1y"/>
    <n v="370"/>
    <x v="39"/>
  </r>
  <r>
    <x v="20"/>
    <s v="Kerala Express"/>
    <s v="FDB"/>
    <x v="120"/>
    <n v="45"/>
    <n v="60.82"/>
    <n v="18.36"/>
    <n v="20.82"/>
    <n v="0"/>
    <d v="2025-09-27T18:46:32"/>
    <s v="https://etrain.info/train/Kerala-Express-12625/history?d=1y"/>
    <n v="371"/>
    <x v="40"/>
  </r>
  <r>
    <x v="20"/>
    <s v="Kerala Express"/>
    <s v="NZM"/>
    <x v="40"/>
    <n v="60"/>
    <n v="47.67"/>
    <n v="27.67"/>
    <n v="24.66"/>
    <n v="0"/>
    <d v="2025-09-27T18:46:35"/>
    <s v="https://etrain.info/train/Kerala-Express-12625/history?d=1y"/>
    <n v="372"/>
    <x v="41"/>
  </r>
  <r>
    <x v="20"/>
    <s v="Kerala Express"/>
    <s v="NDLS"/>
    <x v="41"/>
    <n v="50"/>
    <n v="62.74"/>
    <n v="16.440000000000001"/>
    <n v="20.82"/>
    <n v="0"/>
    <d v="2025-09-27T18:46:39"/>
    <s v="https://etrain.info/train/Kerala-Express-12625/history?d=1y"/>
    <n v="373"/>
    <x v="42"/>
  </r>
  <r>
    <x v="21"/>
    <s v="Kerala Express"/>
    <s v="NDLS"/>
    <x v="41"/>
    <n v="35"/>
    <n v="84.38"/>
    <n v="3.84"/>
    <n v="11.78"/>
    <n v="0"/>
    <d v="2025-09-27T18:46:44"/>
    <s v="https://etrain.info/train/Kerala-Express-12626/history?d=1y"/>
    <n v="374"/>
    <x v="0"/>
  </r>
  <r>
    <x v="21"/>
    <s v="Kerala Express"/>
    <s v="MTJ"/>
    <x v="119"/>
    <n v="63"/>
    <n v="13.7"/>
    <n v="70.959999999999994"/>
    <n v="15.34"/>
    <n v="0"/>
    <d v="2025-09-27T18:46:48"/>
    <s v="https://etrain.info/train/Kerala-Express-12626/history?d=1y"/>
    <n v="375"/>
    <x v="1"/>
  </r>
  <r>
    <x v="21"/>
    <s v="Kerala Express"/>
    <s v="AGC"/>
    <x v="39"/>
    <n v="68"/>
    <n v="5.75"/>
    <n v="77.53"/>
    <n v="16.16"/>
    <n v="0.56000000000000005"/>
    <d v="2025-09-27T18:46:50"/>
    <s v="https://etrain.info/train/Kerala-Express-12626/history?d=1y"/>
    <n v="376"/>
    <x v="2"/>
  </r>
  <r>
    <x v="21"/>
    <s v="Kerala Express"/>
    <s v="GWL"/>
    <x v="38"/>
    <n v="64"/>
    <n v="39.450000000000003"/>
    <n v="43.56"/>
    <n v="16.440000000000001"/>
    <n v="0.55000000000000004"/>
    <d v="2025-09-27T18:46:51"/>
    <s v="https://etrain.info/train/Kerala-Express-12626/history?d=1y"/>
    <n v="377"/>
    <x v="3"/>
  </r>
  <r>
    <x v="21"/>
    <s v="Kerala Express"/>
    <s v="VGLJ"/>
    <x v="37"/>
    <n v="64"/>
    <n v="53.15"/>
    <n v="28.77"/>
    <n v="17.53"/>
    <n v="0.55000000000000004"/>
    <d v="2025-09-27T18:46:53"/>
    <s v="https://etrain.info/train/Kerala-Express-12626/history?d=1y"/>
    <n v="378"/>
    <x v="4"/>
  </r>
  <r>
    <x v="21"/>
    <s v="Kerala Express"/>
    <s v="BINA"/>
    <x v="118"/>
    <n v="68"/>
    <n v="65.75"/>
    <n v="15.62"/>
    <n v="18.63"/>
    <n v="0"/>
    <d v="2025-09-27T18:46:57"/>
    <s v="https://etrain.info/train/Kerala-Express-12626/history?d=1y"/>
    <n v="379"/>
    <x v="5"/>
  </r>
  <r>
    <x v="21"/>
    <s v="Kerala Express"/>
    <s v="BPL"/>
    <x v="36"/>
    <n v="80"/>
    <n v="42.74"/>
    <n v="36.99"/>
    <n v="20.27"/>
    <n v="0"/>
    <d v="2025-09-27T18:47:01"/>
    <s v="https://etrain.info/train/Kerala-Express-12626/history?d=1y"/>
    <n v="380"/>
    <x v="6"/>
  </r>
  <r>
    <x v="21"/>
    <s v="Kerala Express"/>
    <s v="ET"/>
    <x v="35"/>
    <n v="76"/>
    <n v="54.25"/>
    <n v="26.03"/>
    <n v="19.73"/>
    <n v="0"/>
    <d v="2025-09-27T18:47:04"/>
    <s v="https://etrain.info/train/Kerala-Express-12626/history?d=1y"/>
    <n v="381"/>
    <x v="7"/>
  </r>
  <r>
    <x v="21"/>
    <s v="Kerala Express"/>
    <s v="NGP"/>
    <x v="34"/>
    <n v="88"/>
    <n v="30.96"/>
    <n v="48.22"/>
    <n v="20.55"/>
    <n v="0.27"/>
    <d v="2025-09-27T18:47:06"/>
    <s v="https://etrain.info/train/Kerala-Express-12626/history?d=1y"/>
    <n v="382"/>
    <x v="8"/>
  </r>
  <r>
    <x v="21"/>
    <s v="Kerala Express"/>
    <s v="SEGM"/>
    <x v="83"/>
    <n v="103"/>
    <n v="9.32"/>
    <n v="60.27"/>
    <n v="30.14"/>
    <n v="0.27"/>
    <d v="2025-09-27T18:47:07"/>
    <s v="https://etrain.info/train/Kerala-Express-12626/history?d=1y"/>
    <n v="383"/>
    <x v="9"/>
  </r>
  <r>
    <x v="21"/>
    <s v="Kerala Express"/>
    <s v="CD"/>
    <x v="82"/>
    <n v="116"/>
    <n v="1.92"/>
    <n v="58.36"/>
    <n v="39.450000000000003"/>
    <n v="0.27"/>
    <d v="2025-09-27T18:47:09"/>
    <s v="https://etrain.info/train/Kerala-Express-12626/history?d=1y"/>
    <n v="384"/>
    <x v="10"/>
  </r>
  <r>
    <x v="21"/>
    <s v="Kerala Express"/>
    <s v="BPQ"/>
    <x v="33"/>
    <m/>
    <n v="46.58"/>
    <n v="29.86"/>
    <n v="23.29"/>
    <n v="0.27"/>
    <d v="2025-09-27T18:47:11"/>
    <s v="https://etrain.info/train/Kerala-Express-12626/history?d=1y"/>
    <n v="385"/>
    <x v="11"/>
  </r>
  <r>
    <x v="21"/>
    <s v="Kerala Express"/>
    <s v="RDM"/>
    <x v="80"/>
    <n v="118"/>
    <n v="1.37"/>
    <n v="57.26"/>
    <n v="41.1"/>
    <n v="0.27"/>
    <d v="2025-09-27T18:47:13"/>
    <s v="https://etrain.info/train/Kerala-Express-12626/history?d=1y"/>
    <n v="386"/>
    <x v="12"/>
  </r>
  <r>
    <x v="21"/>
    <s v="Kerala Express"/>
    <s v="WL"/>
    <x v="32"/>
    <n v="128"/>
    <n v="1.37"/>
    <n v="47.12"/>
    <n v="51.23"/>
    <n v="0.28000000000000003"/>
    <d v="2025-09-27T18:47:14"/>
    <s v="https://etrain.info/train/Kerala-Express-12626/history?d=1y"/>
    <n v="387"/>
    <x v="13"/>
  </r>
  <r>
    <x v="21"/>
    <s v="Kerala Express"/>
    <s v="BZA"/>
    <x v="30"/>
    <n v="98"/>
    <n v="26.85"/>
    <n v="43.84"/>
    <n v="29.04"/>
    <n v="0.27"/>
    <d v="2025-09-27T18:47:16"/>
    <s v="https://etrain.info/train/Kerala-Express-12626/history?d=1y"/>
    <n v="388"/>
    <x v="14"/>
  </r>
  <r>
    <x v="21"/>
    <s v="Kerala Express"/>
    <s v="NLR"/>
    <x v="73"/>
    <n v="103"/>
    <n v="24.38"/>
    <n v="41.1"/>
    <n v="34.25"/>
    <n v="0.27"/>
    <d v="2025-09-27T18:47:17"/>
    <s v="https://etrain.info/train/Kerala-Express-12626/history?d=1y"/>
    <n v="389"/>
    <x v="15"/>
  </r>
  <r>
    <x v="21"/>
    <s v="Kerala Express"/>
    <s v="GDR"/>
    <x v="74"/>
    <n v="107"/>
    <n v="23.56"/>
    <n v="39.729999999999997"/>
    <n v="36.44"/>
    <n v="0.27"/>
    <d v="2025-09-27T18:47:19"/>
    <s v="https://etrain.info/train/Kerala-Express-12626/history?d=1y"/>
    <n v="390"/>
    <x v="16"/>
  </r>
  <r>
    <x v="21"/>
    <s v="Kerala Express"/>
    <s v="RU"/>
    <x v="117"/>
    <n v="107"/>
    <n v="33.15"/>
    <n v="31.23"/>
    <n v="35.619999999999997"/>
    <n v="0"/>
    <d v="2025-09-27T18:47:22"/>
    <s v="https://etrain.info/train/Kerala-Express-12626/history?d=1y"/>
    <n v="391"/>
    <x v="17"/>
  </r>
  <r>
    <x v="21"/>
    <s v="Kerala Express"/>
    <s v="TPTY"/>
    <x v="116"/>
    <n v="114"/>
    <n v="13.7"/>
    <n v="49.59"/>
    <n v="36.71"/>
    <n v="0"/>
    <d v="2025-09-27T18:47:26"/>
    <s v="https://etrain.info/train/Kerala-Express-12626/history?d=1y"/>
    <n v="392"/>
    <x v="18"/>
  </r>
  <r>
    <x v="21"/>
    <s v="Kerala Express"/>
    <s v="CTO"/>
    <x v="115"/>
    <n v="105"/>
    <n v="36.99"/>
    <n v="28.22"/>
    <n v="34.79"/>
    <n v="0"/>
    <d v="2025-09-27T18:47:28"/>
    <s v="https://etrain.info/train/Kerala-Express-12626/history?d=1y"/>
    <n v="393"/>
    <x v="19"/>
  </r>
  <r>
    <x v="21"/>
    <s v="Kerala Express"/>
    <s v="KPD"/>
    <x v="3"/>
    <n v="98"/>
    <n v="54.52"/>
    <n v="12.88"/>
    <n v="32.6"/>
    <n v="0"/>
    <d v="2025-09-27T18:47:31"/>
    <s v="https://etrain.info/train/Kerala-Express-12626/history?d=1y"/>
    <n v="394"/>
    <x v="20"/>
  </r>
  <r>
    <x v="21"/>
    <s v="Kerala Express"/>
    <s v="JTJ"/>
    <x v="4"/>
    <m/>
    <n v="57.26"/>
    <n v="9.32"/>
    <n v="33.42"/>
    <n v="0"/>
    <d v="2025-09-27T18:47:34"/>
    <s v="https://etrain.info/train/Kerala-Express-12626/history?d=1y"/>
    <n v="395"/>
    <x v="21"/>
  </r>
  <r>
    <x v="21"/>
    <s v="Kerala Express"/>
    <s v="SA"/>
    <x v="5"/>
    <n v="105"/>
    <n v="49.04"/>
    <n v="16.989999999999998"/>
    <n v="33.97"/>
    <n v="0"/>
    <d v="2025-09-27T18:47:36"/>
    <s v="https://etrain.info/train/Kerala-Express-12626/history?d=1y"/>
    <n v="396"/>
    <x v="22"/>
  </r>
  <r>
    <x v="21"/>
    <s v="Kerala Express"/>
    <s v="ED"/>
    <x v="6"/>
    <n v="105"/>
    <n v="46.58"/>
    <n v="19.45"/>
    <n v="33.97"/>
    <n v="0"/>
    <d v="2025-09-27T18:47:37"/>
    <s v="https://etrain.info/train/Kerala-Express-12626/history?d=1y"/>
    <n v="397"/>
    <x v="23"/>
  </r>
  <r>
    <x v="21"/>
    <s v="Kerala Express"/>
    <s v="TUP"/>
    <x v="7"/>
    <m/>
    <n v="42.19"/>
    <n v="22.74"/>
    <n v="35.07"/>
    <n v="0"/>
    <d v="2025-09-27T18:47:39"/>
    <s v="https://etrain.info/train/Kerala-Express-12626/history?d=1y"/>
    <n v="398"/>
    <x v="24"/>
  </r>
  <r>
    <x v="21"/>
    <s v="Kerala Express"/>
    <s v="CBE"/>
    <x v="9"/>
    <n v="110"/>
    <n v="37.81"/>
    <n v="27.4"/>
    <n v="34.25"/>
    <n v="0.54"/>
    <d v="2025-09-27T18:47:41"/>
    <s v="https://etrain.info/train/Kerala-Express-12626/history?d=1y"/>
    <n v="399"/>
    <x v="25"/>
  </r>
  <r>
    <x v="21"/>
    <s v="Kerala Express"/>
    <s v="PGT"/>
    <x v="114"/>
    <n v="108"/>
    <n v="44.66"/>
    <n v="23.01"/>
    <n v="32.33"/>
    <n v="0"/>
    <d v="2025-09-27T18:47:43"/>
    <s v="https://etrain.info/train/Kerala-Express-12626/history?d=1y"/>
    <n v="400"/>
    <x v="26"/>
  </r>
  <r>
    <x v="21"/>
    <s v="Kerala Express"/>
    <s v="OTP"/>
    <x v="113"/>
    <n v="117"/>
    <n v="16.71"/>
    <n v="49.32"/>
    <n v="33.97"/>
    <n v="0"/>
    <d v="2025-09-27T18:47:47"/>
    <s v="https://etrain.info/train/Kerala-Express-12626/history?d=1y"/>
    <n v="401"/>
    <x v="27"/>
  </r>
  <r>
    <x v="21"/>
    <s v="Kerala Express"/>
    <s v="TCR"/>
    <x v="112"/>
    <n v="110"/>
    <n v="20"/>
    <n v="49.04"/>
    <n v="30.96"/>
    <n v="0"/>
    <d v="2025-09-27T18:47:48"/>
    <s v="https://etrain.info/train/Kerala-Express-12626/history?d=1y"/>
    <n v="402"/>
    <x v="28"/>
  </r>
  <r>
    <x v="21"/>
    <s v="Kerala Express"/>
    <s v="AWY"/>
    <x v="111"/>
    <n v="121"/>
    <n v="5.75"/>
    <n v="60.55"/>
    <n v="33.700000000000003"/>
    <n v="0"/>
    <d v="2025-09-27T18:47:49"/>
    <s v="https://etrain.info/train/Kerala-Express-12626/history?d=1y"/>
    <n v="403"/>
    <x v="29"/>
  </r>
  <r>
    <x v="21"/>
    <s v="Kerala Express"/>
    <s v="ERN"/>
    <x v="110"/>
    <n v="116"/>
    <n v="18.079999999999998"/>
    <n v="49.04"/>
    <n v="32.880000000000003"/>
    <n v="0"/>
    <d v="2025-09-27T18:47:51"/>
    <s v="https://etrain.info/train/Kerala-Express-12626/history?d=1y"/>
    <n v="404"/>
    <x v="30"/>
  </r>
  <r>
    <x v="21"/>
    <s v="Kerala Express"/>
    <s v="VARD"/>
    <x v="109"/>
    <n v="112"/>
    <n v="38.630000000000003"/>
    <n v="29.86"/>
    <n v="31.51"/>
    <n v="0"/>
    <d v="2025-09-27T18:47:55"/>
    <s v="https://etrain.info/train/Kerala-Express-12626/history?d=1y"/>
    <n v="405"/>
    <x v="31"/>
  </r>
  <r>
    <x v="21"/>
    <s v="Kerala Express"/>
    <s v="KTYM"/>
    <x v="108"/>
    <n v="113"/>
    <n v="39.450000000000003"/>
    <n v="29.04"/>
    <n v="31.51"/>
    <n v="0"/>
    <d v="2025-09-27T18:47:59"/>
    <s v="https://etrain.info/train/Kerala-Express-12626/history?d=1y"/>
    <n v="406"/>
    <x v="32"/>
  </r>
  <r>
    <x v="21"/>
    <s v="Kerala Express"/>
    <s v="CGY"/>
    <x v="107"/>
    <n v="113"/>
    <n v="42.47"/>
    <n v="26.58"/>
    <n v="30.96"/>
    <n v="0"/>
    <d v="2025-09-27T18:48:02"/>
    <s v="https://etrain.info/train/Kerala-Express-12626/history?d=1y"/>
    <n v="407"/>
    <x v="33"/>
  </r>
  <r>
    <x v="21"/>
    <s v="Kerala Express"/>
    <s v="TRVL"/>
    <x v="106"/>
    <n v="113"/>
    <n v="42.19"/>
    <n v="26.3"/>
    <n v="31.51"/>
    <n v="0"/>
    <d v="2025-09-27T18:48:04"/>
    <s v="https://etrain.info/train/Kerala-Express-12626/history?d=1y"/>
    <n v="408"/>
    <x v="34"/>
  </r>
  <r>
    <x v="21"/>
    <s v="Kerala Express"/>
    <s v="CNGR"/>
    <x v="105"/>
    <n v="114"/>
    <n v="39.450000000000003"/>
    <n v="29.04"/>
    <n v="31.51"/>
    <n v="0"/>
    <d v="2025-09-27T18:48:07"/>
    <s v="https://etrain.info/train/Kerala-Express-12626/history?d=1y"/>
    <n v="409"/>
    <x v="35"/>
  </r>
  <r>
    <x v="21"/>
    <s v="Kerala Express"/>
    <s v="MVLK"/>
    <x v="104"/>
    <n v="115"/>
    <n v="38.36"/>
    <n v="30.41"/>
    <n v="31.23"/>
    <n v="0"/>
    <d v="2025-09-27T18:48:09"/>
    <s v="https://etrain.info/train/Kerala-Express-12626/history?d=1y"/>
    <n v="410"/>
    <x v="36"/>
  </r>
  <r>
    <x v="21"/>
    <s v="Kerala Express"/>
    <s v="KYJ"/>
    <x v="103"/>
    <n v="117"/>
    <n v="32.049999999999997"/>
    <n v="36.99"/>
    <n v="30.96"/>
    <n v="0"/>
    <d v="2025-09-27T18:48:11"/>
    <s v="https://etrain.info/train/Kerala-Express-12626/history?d=1y"/>
    <n v="411"/>
    <x v="37"/>
  </r>
  <r>
    <x v="21"/>
    <s v="Kerala Express"/>
    <s v="QLN"/>
    <x v="102"/>
    <n v="123"/>
    <n v="16.989999999999998"/>
    <n v="51.78"/>
    <n v="31.23"/>
    <n v="0"/>
    <d v="2025-09-27T18:48:14"/>
    <s v="https://etrain.info/train/Kerala-Express-12626/history?d=1y"/>
    <n v="412"/>
    <x v="38"/>
  </r>
  <r>
    <x v="21"/>
    <s v="Kerala Express"/>
    <s v="VAK"/>
    <x v="101"/>
    <n v="126"/>
    <n v="13.15"/>
    <n v="53.42"/>
    <n v="33.42"/>
    <n v="0.01"/>
    <d v="2025-09-27T18:48:16"/>
    <s v="https://etrain.info/train/Kerala-Express-12626/history?d=1y"/>
    <n v="413"/>
    <x v="39"/>
  </r>
  <r>
    <x v="21"/>
    <s v="Kerala Express"/>
    <s v="TVP"/>
    <x v="121"/>
    <n v="107"/>
    <n v="55.89"/>
    <n v="17.260000000000002"/>
    <n v="26.85"/>
    <n v="0"/>
    <d v="2025-09-27T18:48:19"/>
    <s v="https://etrain.info/train/Kerala-Express-12626/history?d=1y"/>
    <n v="414"/>
    <x v="40"/>
  </r>
  <r>
    <x v="21"/>
    <s v="Kerala Express"/>
    <s v="TVC"/>
    <x v="100"/>
    <n v="93"/>
    <n v="63.29"/>
    <n v="10.41"/>
    <n v="26.3"/>
    <n v="0"/>
    <d v="2025-09-27T18:48:20"/>
    <s v="https://etrain.info/train/Kerala-Express-12626/history?d=1y"/>
    <n v="415"/>
    <x v="41"/>
  </r>
  <r>
    <x v="22"/>
    <s v="Mumbai Rajdhani"/>
    <s v="MMCT"/>
    <x v="122"/>
    <n v="7"/>
    <n v="98.63"/>
    <n v="0.27"/>
    <n v="1.1000000000000001"/>
    <n v="0"/>
    <d v="2025-09-27T18:48:26"/>
    <s v="https://etrain.info/train/Mumbai-Rajdhani-12951/history?d=1y"/>
    <n v="416"/>
    <x v="0"/>
  </r>
  <r>
    <x v="22"/>
    <s v="Mumbai Rajdhani"/>
    <s v="BVI"/>
    <x v="123"/>
    <n v="15"/>
    <n v="93.7"/>
    <n v="5.21"/>
    <n v="1.1000000000000001"/>
    <n v="0"/>
    <d v="2025-09-27T18:48:30"/>
    <s v="https://etrain.info/train/Mumbai-Rajdhani-12951/history?d=1y"/>
    <n v="417"/>
    <x v="1"/>
  </r>
  <r>
    <x v="22"/>
    <s v="Mumbai Rajdhani"/>
    <s v="ST"/>
    <x v="124"/>
    <n v="16"/>
    <n v="81.92"/>
    <n v="16.16"/>
    <n v="1.92"/>
    <n v="0"/>
    <d v="2025-09-27T18:48:34"/>
    <s v="https://etrain.info/train/Mumbai-Rajdhani-12951/history?d=1y"/>
    <n v="418"/>
    <x v="2"/>
  </r>
  <r>
    <x v="22"/>
    <s v="Mumbai Rajdhani"/>
    <s v="BRC"/>
    <x v="125"/>
    <n v="17"/>
    <n v="74.52"/>
    <n v="23.84"/>
    <n v="1.64"/>
    <n v="0"/>
    <d v="2025-09-27T18:48:37"/>
    <s v="https://etrain.info/train/Mumbai-Rajdhani-12951/history?d=1y"/>
    <n v="419"/>
    <x v="3"/>
  </r>
  <r>
    <x v="22"/>
    <s v="Mumbai Rajdhani"/>
    <s v="RTM"/>
    <x v="126"/>
    <n v="15"/>
    <n v="83.56"/>
    <n v="14.25"/>
    <n v="2.19"/>
    <n v="0"/>
    <d v="2025-09-27T18:48:41"/>
    <s v="https://etrain.info/train/Mumbai-Rajdhani-12951/history?d=1y"/>
    <n v="420"/>
    <x v="4"/>
  </r>
  <r>
    <x v="22"/>
    <s v="Mumbai Rajdhani"/>
    <s v="NAD"/>
    <x v="127"/>
    <n v="11"/>
    <n v="92.05"/>
    <n v="6.3"/>
    <n v="1.64"/>
    <n v="0.01"/>
    <d v="2025-09-27T18:48:43"/>
    <s v="https://etrain.info/train/Mumbai-Rajdhani-12951/history?d=1y"/>
    <n v="421"/>
    <x v="5"/>
  </r>
  <r>
    <x v="22"/>
    <s v="Mumbai Rajdhani"/>
    <s v="KOTA"/>
    <x v="128"/>
    <n v="16"/>
    <n v="80.27"/>
    <n v="17.809999999999999"/>
    <n v="1.92"/>
    <n v="0"/>
    <d v="2025-09-27T18:48:47"/>
    <s v="https://etrain.info/train/Mumbai-Rajdhani-12951/history?d=1y"/>
    <n v="422"/>
    <x v="6"/>
  </r>
  <r>
    <x v="22"/>
    <s v="Mumbai Rajdhani"/>
    <s v="NDLS"/>
    <x v="41"/>
    <n v="27"/>
    <n v="82.47"/>
    <n v="11.51"/>
    <n v="6.03"/>
    <n v="0"/>
    <d v="2025-09-27T18:48:51"/>
    <s v="https://etrain.info/train/Mumbai-Rajdhani-12951/history?d=1y"/>
    <n v="423"/>
    <x v="7"/>
  </r>
  <r>
    <x v="23"/>
    <s v="Mumbai Rajdhani"/>
    <s v="NDLS"/>
    <x v="41"/>
    <n v="8"/>
    <n v="97.26"/>
    <n v="0.55000000000000004"/>
    <n v="2.19"/>
    <n v="0"/>
    <d v="2025-09-27T18:48:57"/>
    <s v="https://etrain.info/train/Mumbai-Rajdhani-12952/history?d=1y"/>
    <n v="424"/>
    <x v="0"/>
  </r>
  <r>
    <x v="23"/>
    <s v="Mumbai Rajdhani"/>
    <s v="KOTA"/>
    <x v="128"/>
    <n v="20"/>
    <n v="57.81"/>
    <n v="38.9"/>
    <n v="3.29"/>
    <n v="0"/>
    <d v="2025-09-27T18:49:00"/>
    <s v="https://etrain.info/train/Mumbai-Rajdhani-12952/history?d=1y"/>
    <n v="425"/>
    <x v="1"/>
  </r>
  <r>
    <x v="23"/>
    <s v="Mumbai Rajdhani"/>
    <s v="NAD"/>
    <x v="127"/>
    <n v="15"/>
    <n v="76.709999999999994"/>
    <n v="20"/>
    <n v="3.29"/>
    <n v="0"/>
    <d v="2025-09-27T18:49:04"/>
    <s v="https://etrain.info/train/Mumbai-Rajdhani-12952/history?d=1y"/>
    <n v="426"/>
    <x v="2"/>
  </r>
  <r>
    <x v="23"/>
    <s v="Mumbai Rajdhani"/>
    <s v="RTM"/>
    <x v="126"/>
    <n v="20"/>
    <n v="64.930000000000007"/>
    <n v="31.51"/>
    <n v="3.56"/>
    <n v="0"/>
    <d v="2025-09-27T18:49:08"/>
    <s v="https://etrain.info/train/Mumbai-Rajdhani-12952/history?d=1y"/>
    <n v="427"/>
    <x v="3"/>
  </r>
  <r>
    <x v="23"/>
    <s v="Mumbai Rajdhani"/>
    <s v="BRC"/>
    <x v="125"/>
    <n v="13"/>
    <n v="87.12"/>
    <n v="9.86"/>
    <n v="3.01"/>
    <n v="0.01"/>
    <d v="2025-09-27T18:49:09"/>
    <s v="https://etrain.info/train/Mumbai-Rajdhani-12952/history?d=1y"/>
    <n v="428"/>
    <x v="4"/>
  </r>
  <r>
    <x v="23"/>
    <s v="Mumbai Rajdhani"/>
    <s v="ST"/>
    <x v="124"/>
    <n v="15"/>
    <n v="85.48"/>
    <n v="11.51"/>
    <n v="3.01"/>
    <n v="0"/>
    <d v="2025-09-27T18:49:12"/>
    <s v="https://etrain.info/train/Mumbai-Rajdhani-12952/history?d=1y"/>
    <n v="429"/>
    <x v="5"/>
  </r>
  <r>
    <x v="23"/>
    <s v="Mumbai Rajdhani"/>
    <s v="BVI"/>
    <x v="123"/>
    <n v="28"/>
    <n v="24.38"/>
    <n v="70.680000000000007"/>
    <n v="4.93"/>
    <n v="0.01"/>
    <d v="2025-09-27T18:49:14"/>
    <s v="https://etrain.info/train/Mumbai-Rajdhani-12952/history?d=1y"/>
    <n v="430"/>
    <x v="6"/>
  </r>
  <r>
    <x v="23"/>
    <s v="Mumbai Rajdhani"/>
    <s v="MMCT"/>
    <x v="122"/>
    <n v="13"/>
    <n v="88.22"/>
    <n v="7.4"/>
    <n v="4.38"/>
    <n v="0"/>
    <d v="2025-09-27T18:49:17"/>
    <s v="https://etrain.info/train/Mumbai-Rajdhani-12952/history?d=1y"/>
    <n v="431"/>
    <x v="7"/>
  </r>
  <r>
    <x v="24"/>
    <s v="Vande Bharat"/>
    <s v="HWH"/>
    <x v="42"/>
    <n v="0"/>
    <n v="100"/>
    <n v="0"/>
    <n v="0"/>
    <n v="0"/>
    <d v="2025-09-27T18:49:20"/>
    <s v="https://etrain.info/train/Vande-Bharat-22301/history?d=1y"/>
    <n v="432"/>
    <x v="0"/>
  </r>
  <r>
    <x v="24"/>
    <s v="Vande Bharat"/>
    <s v="BHP"/>
    <x v="129"/>
    <n v="19"/>
    <n v="38.46"/>
    <n v="61.54"/>
    <n v="0"/>
    <n v="0"/>
    <d v="2025-09-27T18:49:22"/>
    <s v="https://etrain.info/train/Vande-Bharat-22301/history?d=1y"/>
    <n v="433"/>
    <x v="1"/>
  </r>
  <r>
    <x v="24"/>
    <s v="Vande Bharat"/>
    <s v="MLDT"/>
    <x v="130"/>
    <n v="5"/>
    <n v="92.31"/>
    <n v="7.69"/>
    <n v="0"/>
    <n v="0"/>
    <d v="2025-09-27T18:49:25"/>
    <s v="https://etrain.info/train/Vande-Bharat-22301/history?d=1y"/>
    <n v="434"/>
    <x v="2"/>
  </r>
  <r>
    <x v="24"/>
    <s v="Vande Bharat"/>
    <s v="BOE"/>
    <x v="131"/>
    <n v="14"/>
    <n v="76.92"/>
    <n v="19.23"/>
    <n v="3.85"/>
    <n v="0"/>
    <d v="2025-09-27T18:49:29"/>
    <s v="https://etrain.info/train/Vande-Bharat-22301/history?d=1y"/>
    <n v="435"/>
    <x v="3"/>
  </r>
  <r>
    <x v="24"/>
    <s v="Vande Bharat"/>
    <s v="KNE"/>
    <x v="132"/>
    <n v="10"/>
    <n v="26.92"/>
    <n v="19.23"/>
    <n v="0"/>
    <n v="53.85"/>
    <d v="2025-09-27T18:49:31"/>
    <s v="https://etrain.info/train/Vande-Bharat-22301/history?d=1y"/>
    <n v="436"/>
    <x v="4"/>
  </r>
  <r>
    <x v="24"/>
    <s v="Vande Bharat"/>
    <s v="NJP"/>
    <x v="133"/>
    <n v="7"/>
    <n v="88.46"/>
    <n v="11.54"/>
    <n v="0"/>
    <n v="0"/>
    <d v="2025-09-27T18:49:34"/>
    <s v="https://etrain.info/train/Vande-Bharat-22301/history?d=1y"/>
    <n v="437"/>
    <x v="5"/>
  </r>
  <r>
    <x v="25"/>
    <s v="Vande Bharat"/>
    <s v="NJP"/>
    <x v="133"/>
    <n v="1"/>
    <n v="100"/>
    <n v="0"/>
    <n v="0"/>
    <n v="0"/>
    <d v="2025-09-27T18:49:37"/>
    <s v="https://etrain.info/train/Vande-Bharat-22302/history?d=1y"/>
    <n v="438"/>
    <x v="0"/>
  </r>
  <r>
    <x v="25"/>
    <s v="Vande Bharat"/>
    <s v="KNE"/>
    <x v="132"/>
    <n v="15"/>
    <n v="26.92"/>
    <n v="19.23"/>
    <n v="0"/>
    <n v="53.85"/>
    <d v="2025-09-27T18:49:39"/>
    <s v="https://etrain.info/train/Vande-Bharat-22302/history?d=1y"/>
    <n v="439"/>
    <x v="1"/>
  </r>
  <r>
    <x v="25"/>
    <s v="Vande Bharat"/>
    <s v="BOE"/>
    <x v="131"/>
    <n v="11"/>
    <n v="84.62"/>
    <n v="15.38"/>
    <n v="0"/>
    <n v="0"/>
    <d v="2025-09-27T18:49:42"/>
    <s v="https://etrain.info/train/Vande-Bharat-22302/history?d=1y"/>
    <n v="440"/>
    <x v="2"/>
  </r>
  <r>
    <x v="25"/>
    <s v="Vande Bharat"/>
    <s v="MLDT"/>
    <x v="130"/>
    <n v="15"/>
    <n v="61.54"/>
    <n v="38.46"/>
    <n v="0"/>
    <n v="0"/>
    <d v="2025-09-27T18:49:44"/>
    <s v="https://etrain.info/train/Vande-Bharat-22302/history?d=1y"/>
    <n v="441"/>
    <x v="3"/>
  </r>
  <r>
    <x v="25"/>
    <s v="Vande Bharat"/>
    <s v="BHP"/>
    <x v="129"/>
    <n v="21"/>
    <n v="46.15"/>
    <n v="53.85"/>
    <n v="0"/>
    <n v="0"/>
    <d v="2025-09-27T18:49:45"/>
    <s v="https://etrain.info/train/Vande-Bharat-22302/history?d=1y"/>
    <n v="442"/>
    <x v="4"/>
  </r>
  <r>
    <x v="25"/>
    <s v="Vande Bharat"/>
    <s v="HWH"/>
    <x v="42"/>
    <m/>
    <n v="96.15"/>
    <n v="3.85"/>
    <n v="0"/>
    <n v="0"/>
    <d v="2025-09-27T18:49:49"/>
    <s v="https://etrain.info/train/Vande-Bharat-22302/history?d=1y"/>
    <n v="443"/>
    <x v="5"/>
  </r>
  <r>
    <x v="26"/>
    <s v="Shatabdi"/>
    <s v="RKMP"/>
    <x v="134"/>
    <n v="3"/>
    <n v="93.33"/>
    <n v="6.67"/>
    <n v="0"/>
    <n v="0"/>
    <d v="2025-09-27T18:49:55"/>
    <s v="https://etrain.info/train/Shatabdi-12001/history?d=1y"/>
    <n v="444"/>
    <x v="0"/>
  </r>
  <r>
    <x v="26"/>
    <s v="Shatabdi"/>
    <s v="BPL"/>
    <x v="36"/>
    <m/>
    <n v="93.33"/>
    <n v="6.67"/>
    <n v="0"/>
    <n v="0"/>
    <d v="2025-09-27T18:49:57"/>
    <s v="https://etrain.info/train/Shatabdi-12001/history?d=1y"/>
    <n v="445"/>
    <x v="1"/>
  </r>
  <r>
    <x v="26"/>
    <s v="Shatabdi"/>
    <s v="BINA"/>
    <x v="118"/>
    <n v="6"/>
    <n v="90"/>
    <n v="6.67"/>
    <n v="3.33"/>
    <n v="0"/>
    <d v="2025-09-27T18:49:58"/>
    <s v="https://etrain.info/train/Shatabdi-12001/history?d=1y"/>
    <n v="446"/>
    <x v="2"/>
  </r>
  <r>
    <x v="26"/>
    <s v="Shatabdi"/>
    <s v="LAR"/>
    <x v="135"/>
    <n v="17"/>
    <n v="70"/>
    <n v="26.67"/>
    <n v="3.33"/>
    <n v="0"/>
    <d v="2025-09-27T18:50:02"/>
    <s v="https://etrain.info/train/Shatabdi-12001/history?d=1y"/>
    <n v="447"/>
    <x v="3"/>
  </r>
  <r>
    <x v="26"/>
    <s v="Shatabdi"/>
    <s v="VGLJ"/>
    <x v="37"/>
    <n v="18"/>
    <n v="80"/>
    <n v="13.33"/>
    <n v="6.67"/>
    <n v="0"/>
    <d v="2025-09-27T18:50:04"/>
    <s v="https://etrain.info/train/Shatabdi-12001/history?d=1y"/>
    <n v="448"/>
    <x v="4"/>
  </r>
  <r>
    <x v="26"/>
    <s v="Shatabdi"/>
    <s v="GWL"/>
    <x v="38"/>
    <n v="25"/>
    <n v="60"/>
    <n v="33.33"/>
    <n v="6.67"/>
    <n v="0"/>
    <d v="2025-09-27T18:50:08"/>
    <s v="https://etrain.info/train/Shatabdi-12001/history?d=1y"/>
    <n v="449"/>
    <x v="5"/>
  </r>
  <r>
    <x v="26"/>
    <s v="Shatabdi"/>
    <s v="MRA"/>
    <x v="136"/>
    <n v="28"/>
    <n v="43.33"/>
    <n v="50"/>
    <n v="6.67"/>
    <n v="0"/>
    <d v="2025-09-27T18:50:11"/>
    <s v="https://etrain.info/train/Shatabdi-12001/history?d=1y"/>
    <n v="450"/>
    <x v="6"/>
  </r>
  <r>
    <x v="26"/>
    <s v="Shatabdi"/>
    <s v="DHO"/>
    <x v="137"/>
    <n v="16"/>
    <n v="80"/>
    <n v="13.33"/>
    <n v="6.67"/>
    <n v="0"/>
    <d v="2025-09-27T18:50:13"/>
    <s v="https://etrain.info/train/Shatabdi-12001/history?d=1y"/>
    <n v="451"/>
    <x v="7"/>
  </r>
  <r>
    <x v="26"/>
    <s v="Shatabdi"/>
    <s v="AGC"/>
    <x v="39"/>
    <n v="17"/>
    <n v="80"/>
    <n v="13.33"/>
    <n v="6.67"/>
    <n v="0"/>
    <d v="2025-09-27T18:50:15"/>
    <s v="https://etrain.info/train/Shatabdi-12001/history?d=1y"/>
    <n v="452"/>
    <x v="8"/>
  </r>
  <r>
    <x v="26"/>
    <s v="Shatabdi"/>
    <s v="MTJ"/>
    <x v="119"/>
    <n v="22"/>
    <n v="73.33"/>
    <n v="20"/>
    <n v="6.67"/>
    <n v="0"/>
    <d v="2025-09-27T18:50:18"/>
    <s v="https://etrain.info/train/Shatabdi-12001/history?d=1y"/>
    <n v="453"/>
    <x v="9"/>
  </r>
  <r>
    <x v="26"/>
    <s v="Shatabdi"/>
    <s v="NDLS"/>
    <x v="41"/>
    <n v="11"/>
    <n v="83.33"/>
    <n v="10"/>
    <n v="6.67"/>
    <n v="0"/>
    <d v="2025-09-27T18:50:22"/>
    <s v="https://etrain.info/train/Shatabdi-12001/history?d=1y"/>
    <n v="454"/>
    <x v="10"/>
  </r>
  <r>
    <x v="27"/>
    <s v="Shatabdi"/>
    <s v="NDLS"/>
    <x v="41"/>
    <n v="1"/>
    <n v="100"/>
    <n v="0"/>
    <n v="0"/>
    <n v="0"/>
    <d v="2025-09-27T18:50:25"/>
    <s v="https://etrain.info/train/Shatabdi-12002/history?d=1y"/>
    <n v="455"/>
    <x v="0"/>
  </r>
  <r>
    <x v="27"/>
    <s v="Shatabdi"/>
    <s v="MTJ"/>
    <x v="119"/>
    <n v="17"/>
    <n v="40"/>
    <n v="60"/>
    <n v="0"/>
    <n v="0"/>
    <d v="2025-09-27T18:50:27"/>
    <s v="https://etrain.info/train/Shatabdi-12002/history?d=1y"/>
    <n v="456"/>
    <x v="1"/>
  </r>
  <r>
    <x v="27"/>
    <s v="Shatabdi"/>
    <s v="AGC"/>
    <x v="39"/>
    <n v="22"/>
    <n v="3.33"/>
    <n v="96.67"/>
    <n v="0"/>
    <n v="0"/>
    <d v="2025-09-27T18:50:28"/>
    <s v="https://etrain.info/train/Shatabdi-12002/history?d=1y"/>
    <n v="457"/>
    <x v="2"/>
  </r>
  <r>
    <x v="27"/>
    <s v="Shatabdi"/>
    <s v="DHO"/>
    <x v="137"/>
    <n v="14"/>
    <n v="66.67"/>
    <n v="33.33"/>
    <n v="0"/>
    <n v="0"/>
    <d v="2025-09-27T18:50:30"/>
    <s v="https://etrain.info/train/Shatabdi-12002/history?d=1y"/>
    <n v="458"/>
    <x v="3"/>
  </r>
  <r>
    <x v="27"/>
    <s v="Shatabdi"/>
    <s v="MRA"/>
    <x v="136"/>
    <n v="17"/>
    <n v="46.67"/>
    <n v="53.33"/>
    <n v="0"/>
    <n v="0"/>
    <d v="2025-09-27T18:50:32"/>
    <s v="https://etrain.info/train/Shatabdi-12002/history?d=1y"/>
    <n v="459"/>
    <x v="4"/>
  </r>
  <r>
    <x v="27"/>
    <s v="Shatabdi"/>
    <s v="GWL"/>
    <x v="38"/>
    <m/>
    <n v="36.67"/>
    <n v="63.33"/>
    <n v="0"/>
    <n v="0"/>
    <d v="2025-09-27T18:50:34"/>
    <s v="https://etrain.info/train/Shatabdi-12002/history?d=1y"/>
    <n v="460"/>
    <x v="5"/>
  </r>
  <r>
    <x v="27"/>
    <s v="Shatabdi"/>
    <s v="VGLJ"/>
    <x v="37"/>
    <m/>
    <n v="80"/>
    <n v="20"/>
    <n v="0"/>
    <n v="0"/>
    <d v="2025-09-27T18:50:35"/>
    <s v="https://etrain.info/train/Shatabdi-12002/history?d=1y"/>
    <n v="461"/>
    <x v="6"/>
  </r>
  <r>
    <x v="27"/>
    <s v="Shatabdi"/>
    <s v="LAR"/>
    <x v="135"/>
    <m/>
    <n v="53.33"/>
    <n v="46.67"/>
    <n v="0"/>
    <n v="0"/>
    <d v="2025-09-27T18:50:37"/>
    <s v="https://etrain.info/train/Shatabdi-12002/history?d=1y"/>
    <n v="462"/>
    <x v="7"/>
  </r>
  <r>
    <x v="27"/>
    <s v="Shatabdi"/>
    <s v="BINA"/>
    <x v="118"/>
    <n v="9"/>
    <n v="83.33"/>
    <n v="16.670000000000002"/>
    <n v="0"/>
    <n v="0"/>
    <d v="2025-09-27T18:50:39"/>
    <s v="https://etrain.info/train/Shatabdi-12002/history?d=1y"/>
    <n v="463"/>
    <x v="8"/>
  </r>
  <r>
    <x v="27"/>
    <s v="Shatabdi"/>
    <s v="BPL"/>
    <x v="36"/>
    <n v="13"/>
    <n v="66.67"/>
    <n v="33.33"/>
    <n v="0"/>
    <n v="0"/>
    <d v="2025-09-27T18:50:41"/>
    <s v="https://etrain.info/train/Shatabdi-12002/history?d=1y"/>
    <n v="464"/>
    <x v="9"/>
  </r>
  <r>
    <x v="27"/>
    <s v="Shatabdi"/>
    <s v="RKMP"/>
    <x v="134"/>
    <n v="3"/>
    <n v="83.33"/>
    <n v="16.670000000000002"/>
    <n v="0"/>
    <n v="0"/>
    <d v="2025-09-27T18:50:42"/>
    <s v="https://etrain.info/train/Shatabdi-12002/history?d=1y"/>
    <n v="465"/>
    <x v="10"/>
  </r>
  <r>
    <x v="28"/>
    <s v="Golden Temple Mail"/>
    <s v="BDTS"/>
    <x v="138"/>
    <m/>
    <n v="100"/>
    <n v="0"/>
    <n v="0"/>
    <n v="0"/>
    <d v="2025-09-27T18:50:46"/>
    <s v="https://etrain.info/train/Golden-Temple-Mail-12903/history?d=1y"/>
    <n v="466"/>
    <x v="0"/>
  </r>
  <r>
    <x v="28"/>
    <s v="Golden Temple Mail"/>
    <s v="BVI"/>
    <x v="123"/>
    <m/>
    <n v="86.67"/>
    <n v="13.33"/>
    <n v="0"/>
    <n v="0"/>
    <d v="2025-09-27T18:50:48"/>
    <s v="https://etrain.info/train/Golden-Temple-Mail-12903/history?d=1y"/>
    <n v="467"/>
    <x v="1"/>
  </r>
  <r>
    <x v="28"/>
    <s v="Golden Temple Mail"/>
    <s v="ST"/>
    <x v="124"/>
    <n v="25"/>
    <n v="70"/>
    <n v="23.33"/>
    <n v="6.67"/>
    <n v="0"/>
    <d v="2025-09-27T18:50:52"/>
    <s v="https://etrain.info/train/Golden-Temple-Mail-12903/history?d=1y"/>
    <n v="468"/>
    <x v="2"/>
  </r>
  <r>
    <x v="28"/>
    <s v="Golden Temple Mail"/>
    <s v="BRC"/>
    <x v="125"/>
    <n v="30"/>
    <n v="80"/>
    <n v="6.67"/>
    <n v="13.33"/>
    <n v="0"/>
    <d v="2025-09-27T18:50:53"/>
    <s v="https://etrain.info/train/Golden-Temple-Mail-12903/history?d=1y"/>
    <n v="469"/>
    <x v="3"/>
  </r>
  <r>
    <x v="28"/>
    <s v="Golden Temple Mail"/>
    <s v="GDA"/>
    <x v="139"/>
    <n v="28"/>
    <n v="76.67"/>
    <n v="10"/>
    <n v="13.33"/>
    <n v="0"/>
    <d v="2025-09-27T18:50:57"/>
    <s v="https://etrain.info/train/Golden-Temple-Mail-12903/history?d=1y"/>
    <n v="470"/>
    <x v="4"/>
  </r>
  <r>
    <x v="28"/>
    <s v="Golden Temple Mail"/>
    <s v="DHD"/>
    <x v="140"/>
    <n v="33"/>
    <n v="53.33"/>
    <n v="33.33"/>
    <n v="13.33"/>
    <n v="0.01"/>
    <d v="2025-09-27T18:50:59"/>
    <s v="https://etrain.info/train/Golden-Temple-Mail-12903/history?d=1y"/>
    <n v="471"/>
    <x v="5"/>
  </r>
  <r>
    <x v="28"/>
    <s v="Golden Temple Mail"/>
    <s v="MGN"/>
    <x v="141"/>
    <n v="34"/>
    <n v="53.33"/>
    <n v="33.33"/>
    <n v="13.33"/>
    <n v="0.01"/>
    <d v="2025-09-27T18:51:00"/>
    <s v="https://etrain.info/train/Golden-Temple-Mail-12903/history?d=1y"/>
    <n v="472"/>
    <x v="6"/>
  </r>
  <r>
    <x v="28"/>
    <s v="Golden Temple Mail"/>
    <s v="RTM"/>
    <x v="126"/>
    <n v="25"/>
    <n v="86.67"/>
    <n v="0"/>
    <n v="13.33"/>
    <n v="0"/>
    <d v="2025-09-27T18:51:04"/>
    <s v="https://etrain.info/train/Golden-Temple-Mail-12903/history?d=1y"/>
    <n v="473"/>
    <x v="7"/>
  </r>
  <r>
    <x v="28"/>
    <s v="Golden Temple Mail"/>
    <s v="NAD"/>
    <x v="127"/>
    <n v="20"/>
    <n v="86.67"/>
    <n v="0"/>
    <n v="13.33"/>
    <n v="0"/>
    <d v="2025-09-27T18:51:08"/>
    <s v="https://etrain.info/train/Golden-Temple-Mail-12903/history?d=1y"/>
    <n v="474"/>
    <x v="8"/>
  </r>
  <r>
    <x v="28"/>
    <s v="Golden Temple Mail"/>
    <s v="SGZ"/>
    <x v="142"/>
    <n v="24"/>
    <n v="70"/>
    <n v="16.670000000000002"/>
    <n v="13.33"/>
    <n v="0"/>
    <d v="2025-09-27T18:51:12"/>
    <s v="https://etrain.info/train/Golden-Temple-Mail-12903/history?d=1y"/>
    <n v="475"/>
    <x v="9"/>
  </r>
  <r>
    <x v="28"/>
    <s v="Golden Temple Mail"/>
    <s v="BWM"/>
    <x v="143"/>
    <n v="26"/>
    <n v="76.67"/>
    <n v="6.67"/>
    <n v="16.670000000000002"/>
    <n v="0"/>
    <d v="2025-09-27T18:51:15"/>
    <s v="https://etrain.info/train/Golden-Temple-Mail-12903/history?d=1y"/>
    <n v="476"/>
    <x v="10"/>
  </r>
  <r>
    <x v="28"/>
    <s v="Golden Temple Mail"/>
    <s v="RMA"/>
    <x v="144"/>
    <n v="30"/>
    <n v="76.67"/>
    <n v="6.67"/>
    <n v="16.670000000000002"/>
    <n v="0"/>
    <d v="2025-09-27T18:51:19"/>
    <s v="https://etrain.info/train/Golden-Temple-Mail-12903/history?d=1y"/>
    <n v="477"/>
    <x v="11"/>
  </r>
  <r>
    <x v="28"/>
    <s v="Golden Temple Mail"/>
    <s v="KOTA"/>
    <x v="128"/>
    <n v="34"/>
    <n v="66.67"/>
    <n v="16.670000000000002"/>
    <n v="16.670000000000002"/>
    <n v="0"/>
    <d v="2025-09-27T18:51:23"/>
    <s v="https://etrain.info/train/Golden-Temple-Mail-12903/history?d=1y"/>
    <n v="478"/>
    <x v="12"/>
  </r>
  <r>
    <x v="28"/>
    <s v="Golden Temple Mail"/>
    <s v="SWM"/>
    <x v="145"/>
    <n v="42"/>
    <n v="56.67"/>
    <n v="23.33"/>
    <n v="20"/>
    <n v="0"/>
    <d v="2025-09-27T18:51:24"/>
    <s v="https://etrain.info/train/Golden-Temple-Mail-12903/history?d=1y"/>
    <n v="479"/>
    <x v="13"/>
  </r>
  <r>
    <x v="28"/>
    <s v="Golden Temple Mail"/>
    <s v="GGC"/>
    <x v="146"/>
    <n v="49"/>
    <n v="43.33"/>
    <n v="36.67"/>
    <n v="20"/>
    <n v="0"/>
    <d v="2025-09-27T18:51:25"/>
    <s v="https://etrain.info/train/Golden-Temple-Mail-12903/history?d=1y"/>
    <n v="480"/>
    <x v="14"/>
  </r>
  <r>
    <x v="28"/>
    <s v="Golden Temple Mail"/>
    <s v="SMVJ"/>
    <x v="147"/>
    <n v="51"/>
    <n v="33.33"/>
    <n v="46.67"/>
    <n v="20"/>
    <n v="0"/>
    <d v="2025-09-27T18:51:27"/>
    <s v="https://etrain.info/train/Golden-Temple-Mail-12903/history?d=1y"/>
    <n v="481"/>
    <x v="15"/>
  </r>
  <r>
    <x v="28"/>
    <s v="Golden Temple Mail"/>
    <s v="HAN"/>
    <x v="148"/>
    <n v="48"/>
    <n v="43.33"/>
    <n v="36.67"/>
    <n v="20"/>
    <n v="0"/>
    <d v="2025-09-27T18:51:28"/>
    <s v="https://etrain.info/train/Golden-Temple-Mail-12903/history?d=1y"/>
    <n v="482"/>
    <x v="16"/>
  </r>
  <r>
    <x v="28"/>
    <s v="Golden Temple Mail"/>
    <s v="BXN"/>
    <x v="149"/>
    <n v="46"/>
    <n v="53.33"/>
    <n v="26.67"/>
    <n v="20"/>
    <n v="0"/>
    <d v="2025-09-27T18:51:30"/>
    <s v="https://etrain.info/train/Golden-Temple-Mail-12903/history?d=1y"/>
    <n v="483"/>
    <x v="17"/>
  </r>
  <r>
    <x v="28"/>
    <s v="Golden Temple Mail"/>
    <s v="BTE"/>
    <x v="150"/>
    <n v="50"/>
    <n v="43.33"/>
    <n v="36.67"/>
    <n v="20"/>
    <n v="0"/>
    <d v="2025-09-27T18:51:31"/>
    <s v="https://etrain.info/train/Golden-Temple-Mail-12903/history?d=1y"/>
    <n v="484"/>
    <x v="18"/>
  </r>
  <r>
    <x v="28"/>
    <s v="Golden Temple Mail"/>
    <s v="MTJ"/>
    <x v="119"/>
    <n v="37"/>
    <n v="76.67"/>
    <n v="3.33"/>
    <n v="20"/>
    <n v="0"/>
    <d v="2025-09-27T18:51:33"/>
    <s v="https://etrain.info/train/Golden-Temple-Mail-12903/history?d=1y"/>
    <n v="485"/>
    <x v="19"/>
  </r>
  <r>
    <x v="28"/>
    <s v="Golden Temple Mail"/>
    <s v="FDB"/>
    <x v="120"/>
    <n v="37"/>
    <n v="80"/>
    <n v="0"/>
    <n v="20"/>
    <n v="0"/>
    <d v="2025-09-27T18:51:34"/>
    <s v="https://etrain.info/train/Golden-Temple-Mail-12903/history?d=1y"/>
    <n v="486"/>
    <x v="20"/>
  </r>
  <r>
    <x v="28"/>
    <s v="Golden Temple Mail"/>
    <s v="NZM"/>
    <x v="40"/>
    <m/>
    <n v="70"/>
    <n v="10"/>
    <n v="20"/>
    <n v="0"/>
    <d v="2025-09-27T18:51:36"/>
    <s v="https://etrain.info/train/Golden-Temple-Mail-12903/history?d=1y"/>
    <n v="487"/>
    <x v="21"/>
  </r>
  <r>
    <x v="28"/>
    <s v="Golden Temple Mail"/>
    <s v="GZB"/>
    <x v="151"/>
    <n v="53"/>
    <n v="63.33"/>
    <n v="13.33"/>
    <n v="23.33"/>
    <n v="0.01"/>
    <d v="2025-09-27T18:51:37"/>
    <s v="https://etrain.info/train/Golden-Temple-Mail-12903/history?d=1y"/>
    <n v="488"/>
    <x v="22"/>
  </r>
  <r>
    <x v="28"/>
    <s v="Golden Temple Mail"/>
    <s v="MTC"/>
    <x v="152"/>
    <n v="57"/>
    <n v="50"/>
    <n v="30"/>
    <n v="20"/>
    <n v="0"/>
    <d v="2025-09-27T18:51:39"/>
    <s v="https://etrain.info/train/Golden-Temple-Mail-12903/history?d=1y"/>
    <n v="489"/>
    <x v="23"/>
  </r>
  <r>
    <x v="28"/>
    <s v="Golden Temple Mail"/>
    <s v="MUT"/>
    <x v="153"/>
    <n v="60"/>
    <n v="50"/>
    <n v="26.67"/>
    <n v="23.33"/>
    <n v="0"/>
    <d v="2025-09-27T18:51:41"/>
    <s v="https://etrain.info/train/Golden-Temple-Mail-12903/history?d=1y"/>
    <n v="490"/>
    <x v="24"/>
  </r>
  <r>
    <x v="28"/>
    <s v="Golden Temple Mail"/>
    <s v="SKF"/>
    <x v="154"/>
    <n v="61"/>
    <n v="50"/>
    <n v="26.67"/>
    <n v="23.33"/>
    <n v="0"/>
    <d v="2025-09-27T18:51:42"/>
    <s v="https://etrain.info/train/Golden-Temple-Mail-12903/history?d=1y"/>
    <n v="491"/>
    <x v="25"/>
  </r>
  <r>
    <x v="28"/>
    <s v="Golden Temple Mail"/>
    <s v="MOZ"/>
    <x v="155"/>
    <n v="63"/>
    <n v="40"/>
    <n v="36.67"/>
    <n v="23.33"/>
    <n v="0"/>
    <d v="2025-09-27T18:51:44"/>
    <s v="https://etrain.info/train/Golden-Temple-Mail-12903/history?d=1y"/>
    <n v="492"/>
    <x v="26"/>
  </r>
  <r>
    <x v="28"/>
    <s v="Golden Temple Mail"/>
    <s v="SRE"/>
    <x v="156"/>
    <n v="43"/>
    <n v="70"/>
    <n v="10"/>
    <n v="20"/>
    <n v="0"/>
    <d v="2025-09-27T18:51:45"/>
    <s v="https://etrain.info/train/Golden-Temple-Mail-12903/history?d=1y"/>
    <n v="493"/>
    <x v="27"/>
  </r>
  <r>
    <x v="28"/>
    <s v="Golden Temple Mail"/>
    <s v="YJUD"/>
    <x v="157"/>
    <n v="44"/>
    <n v="70"/>
    <n v="10"/>
    <n v="20"/>
    <n v="0"/>
    <d v="2025-09-27T18:51:47"/>
    <s v="https://etrain.info/train/Golden-Temple-Mail-12903/history?d=1y"/>
    <n v="494"/>
    <x v="28"/>
  </r>
  <r>
    <x v="28"/>
    <s v="Golden Temple Mail"/>
    <s v="UMB"/>
    <x v="158"/>
    <n v="49"/>
    <n v="60"/>
    <n v="20"/>
    <n v="20"/>
    <n v="0"/>
    <d v="2025-09-27T18:51:49"/>
    <s v="https://etrain.info/train/Golden-Temple-Mail-12903/history?d=1y"/>
    <n v="495"/>
    <x v="29"/>
  </r>
  <r>
    <x v="28"/>
    <s v="Golden Temple Mail"/>
    <s v="LDH"/>
    <x v="159"/>
    <n v="51"/>
    <n v="43.33"/>
    <n v="36.67"/>
    <n v="20"/>
    <n v="0"/>
    <d v="2025-09-27T18:51:50"/>
    <s v="https://etrain.info/train/Golden-Temple-Mail-12903/history?d=1y"/>
    <n v="496"/>
    <x v="30"/>
  </r>
  <r>
    <x v="28"/>
    <s v="Golden Temple Mail"/>
    <s v="JUC"/>
    <x v="160"/>
    <n v="44"/>
    <n v="66.67"/>
    <n v="13.33"/>
    <n v="20"/>
    <n v="0"/>
    <d v="2025-09-27T18:51:52"/>
    <s v="https://etrain.info/train/Golden-Temple-Mail-12903/history?d=1y"/>
    <n v="497"/>
    <x v="31"/>
  </r>
  <r>
    <x v="28"/>
    <s v="Golden Temple Mail"/>
    <s v="BEAS"/>
    <x v="161"/>
    <n v="45"/>
    <n v="70"/>
    <n v="6.67"/>
    <n v="23.33"/>
    <n v="0"/>
    <d v="2025-09-27T18:51:54"/>
    <s v="https://etrain.info/train/Golden-Temple-Mail-12903/history?d=1y"/>
    <n v="498"/>
    <x v="32"/>
  </r>
  <r>
    <x v="28"/>
    <s v="Golden Temple Mail"/>
    <s v="ASR"/>
    <x v="162"/>
    <n v="39"/>
    <n v="63.33"/>
    <n v="16.670000000000002"/>
    <n v="20"/>
    <n v="0"/>
    <d v="2025-09-27T18:51:55"/>
    <s v="https://etrain.info/train/Golden-Temple-Mail-12903/history?d=1y"/>
    <n v="499"/>
    <x v="33"/>
  </r>
  <r>
    <x v="29"/>
    <s v="Golden Temple Mail"/>
    <s v="ASR"/>
    <x v="162"/>
    <n v="2"/>
    <n v="100"/>
    <n v="0"/>
    <n v="0"/>
    <n v="0"/>
    <d v="2025-09-27T18:51:59"/>
    <s v="https://etrain.info/train/Golden-Temple-Mail-12904/history?d=1y"/>
    <n v="500"/>
    <x v="0"/>
  </r>
  <r>
    <x v="29"/>
    <s v="Golden Temple Mail"/>
    <s v="BEAS"/>
    <x v="161"/>
    <n v="13"/>
    <n v="80"/>
    <n v="20"/>
    <n v="0"/>
    <n v="0"/>
    <d v="2025-09-27T18:52:00"/>
    <s v="https://etrain.info/train/Golden-Temple-Mail-12904/history?d=1y"/>
    <n v="501"/>
    <x v="1"/>
  </r>
  <r>
    <x v="29"/>
    <s v="Golden Temple Mail"/>
    <s v="JUC"/>
    <x v="160"/>
    <n v="9"/>
    <n v="76.67"/>
    <n v="23.33"/>
    <n v="0"/>
    <n v="0"/>
    <d v="2025-09-27T18:52:02"/>
    <s v="https://etrain.info/train/Golden-Temple-Mail-12904/history?d=1y"/>
    <n v="502"/>
    <x v="2"/>
  </r>
  <r>
    <x v="29"/>
    <s v="Golden Temple Mail"/>
    <s v="LDH"/>
    <x v="159"/>
    <n v="13"/>
    <n v="70"/>
    <n v="30"/>
    <n v="0"/>
    <n v="0"/>
    <d v="2025-09-27T18:52:03"/>
    <s v="https://etrain.info/train/Golden-Temple-Mail-12904/history?d=1y"/>
    <n v="503"/>
    <x v="3"/>
  </r>
  <r>
    <x v="29"/>
    <s v="Golden Temple Mail"/>
    <s v="UMB"/>
    <x v="158"/>
    <n v="9"/>
    <n v="76.67"/>
    <n v="23.33"/>
    <n v="0"/>
    <n v="0"/>
    <d v="2025-09-27T18:52:04"/>
    <s v="https://etrain.info/train/Golden-Temple-Mail-12904/history?d=1y"/>
    <n v="504"/>
    <x v="4"/>
  </r>
  <r>
    <x v="29"/>
    <s v="Golden Temple Mail"/>
    <s v="YJUD"/>
    <x v="157"/>
    <n v="14"/>
    <n v="66.67"/>
    <n v="33.33"/>
    <n v="0"/>
    <n v="0"/>
    <d v="2025-09-27T18:52:06"/>
    <s v="https://etrain.info/train/Golden-Temple-Mail-12904/history?d=1y"/>
    <n v="505"/>
    <x v="5"/>
  </r>
  <r>
    <x v="29"/>
    <s v="Golden Temple Mail"/>
    <s v="SRE"/>
    <x v="156"/>
    <n v="9"/>
    <n v="80"/>
    <n v="16.670000000000002"/>
    <n v="3.33"/>
    <n v="0"/>
    <d v="2025-09-27T18:52:10"/>
    <s v="https://etrain.info/train/Golden-Temple-Mail-12904/history?d=1y"/>
    <n v="506"/>
    <x v="6"/>
  </r>
  <r>
    <x v="29"/>
    <s v="Golden Temple Mail"/>
    <s v="MOZ"/>
    <x v="155"/>
    <n v="9"/>
    <n v="83.33"/>
    <n v="10"/>
    <n v="6.67"/>
    <n v="0"/>
    <d v="2025-09-27T18:52:14"/>
    <s v="https://etrain.info/train/Golden-Temple-Mail-12904/history?d=1y"/>
    <n v="507"/>
    <x v="7"/>
  </r>
  <r>
    <x v="29"/>
    <s v="Golden Temple Mail"/>
    <s v="SKF"/>
    <x v="154"/>
    <m/>
    <n v="80"/>
    <n v="13.33"/>
    <n v="6.67"/>
    <n v="0"/>
    <d v="2025-09-27T18:52:15"/>
    <s v="https://etrain.info/train/Golden-Temple-Mail-12904/history?d=1y"/>
    <n v="508"/>
    <x v="8"/>
  </r>
  <r>
    <x v="29"/>
    <s v="Golden Temple Mail"/>
    <s v="MUT"/>
    <x v="153"/>
    <n v="13"/>
    <n v="76.67"/>
    <n v="16.670000000000002"/>
    <n v="6.67"/>
    <n v="0"/>
    <d v="2025-09-27T18:52:19"/>
    <s v="https://etrain.info/train/Golden-Temple-Mail-12904/history?d=1y"/>
    <n v="509"/>
    <x v="9"/>
  </r>
  <r>
    <x v="29"/>
    <s v="Golden Temple Mail"/>
    <s v="MTC"/>
    <x v="152"/>
    <n v="16"/>
    <n v="73.33"/>
    <n v="16.670000000000002"/>
    <n v="10"/>
    <n v="0"/>
    <d v="2025-09-27T18:52:21"/>
    <s v="https://etrain.info/train/Golden-Temple-Mail-12904/history?d=1y"/>
    <n v="510"/>
    <x v="10"/>
  </r>
  <r>
    <x v="29"/>
    <s v="Golden Temple Mail"/>
    <s v="GZB"/>
    <x v="151"/>
    <n v="22"/>
    <n v="56.67"/>
    <n v="30"/>
    <n v="13.33"/>
    <n v="0"/>
    <d v="2025-09-27T18:52:25"/>
    <s v="https://etrain.info/train/Golden-Temple-Mail-12904/history?d=1y"/>
    <n v="511"/>
    <x v="11"/>
  </r>
  <r>
    <x v="29"/>
    <s v="Golden Temple Mail"/>
    <s v="NZM"/>
    <x v="40"/>
    <n v="17"/>
    <n v="80"/>
    <n v="3.33"/>
    <n v="16.670000000000002"/>
    <n v="0"/>
    <d v="2025-09-27T18:52:26"/>
    <s v="https://etrain.info/train/Golden-Temple-Mail-12904/history?d=1y"/>
    <n v="512"/>
    <x v="12"/>
  </r>
  <r>
    <x v="29"/>
    <s v="Golden Temple Mail"/>
    <s v="FDB"/>
    <x v="120"/>
    <n v="31"/>
    <n v="73.33"/>
    <n v="10"/>
    <n v="16.670000000000002"/>
    <n v="0"/>
    <d v="2025-09-27T18:52:28"/>
    <s v="https://etrain.info/train/Golden-Temple-Mail-12904/history?d=1y"/>
    <n v="513"/>
    <x v="13"/>
  </r>
  <r>
    <x v="29"/>
    <s v="Golden Temple Mail"/>
    <s v="MTJ"/>
    <x v="119"/>
    <n v="27"/>
    <n v="73.33"/>
    <n v="10"/>
    <n v="16.670000000000002"/>
    <n v="0"/>
    <d v="2025-09-27T18:52:29"/>
    <s v="https://etrain.info/train/Golden-Temple-Mail-12904/history?d=1y"/>
    <n v="514"/>
    <x v="14"/>
  </r>
  <r>
    <x v="29"/>
    <s v="Golden Temple Mail"/>
    <s v="BTE"/>
    <x v="150"/>
    <n v="28"/>
    <n v="70"/>
    <n v="13.33"/>
    <n v="16.670000000000002"/>
    <n v="0"/>
    <d v="2025-09-27T18:52:31"/>
    <s v="https://etrain.info/train/Golden-Temple-Mail-12904/history?d=1y"/>
    <n v="515"/>
    <x v="15"/>
  </r>
  <r>
    <x v="29"/>
    <s v="Golden Temple Mail"/>
    <s v="BXN"/>
    <x v="149"/>
    <n v="35"/>
    <n v="53.33"/>
    <n v="30"/>
    <n v="16.670000000000002"/>
    <n v="0"/>
    <d v="2025-09-27T18:52:32"/>
    <s v="https://etrain.info/train/Golden-Temple-Mail-12904/history?d=1y"/>
    <n v="516"/>
    <x v="16"/>
  </r>
  <r>
    <x v="29"/>
    <s v="Golden Temple Mail"/>
    <s v="HAN"/>
    <x v="148"/>
    <n v="35"/>
    <n v="50"/>
    <n v="33.33"/>
    <n v="16.670000000000002"/>
    <n v="0"/>
    <d v="2025-09-27T18:52:34"/>
    <s v="https://etrain.info/train/Golden-Temple-Mail-12904/history?d=1y"/>
    <n v="517"/>
    <x v="17"/>
  </r>
  <r>
    <x v="29"/>
    <s v="Golden Temple Mail"/>
    <s v="SMVJ"/>
    <x v="147"/>
    <n v="36"/>
    <n v="46.67"/>
    <n v="36.67"/>
    <n v="16.670000000000002"/>
    <n v="0"/>
    <d v="2025-09-27T18:52:37"/>
    <s v="https://etrain.info/train/Golden-Temple-Mail-12904/history?d=1y"/>
    <n v="518"/>
    <x v="18"/>
  </r>
  <r>
    <x v="29"/>
    <s v="Golden Temple Mail"/>
    <s v="GGC"/>
    <x v="146"/>
    <n v="34"/>
    <n v="56.67"/>
    <n v="26.67"/>
    <n v="16.670000000000002"/>
    <n v="0"/>
    <d v="2025-09-27T18:52:41"/>
    <s v="https://etrain.info/train/Golden-Temple-Mail-12904/history?d=1y"/>
    <n v="519"/>
    <x v="19"/>
  </r>
  <r>
    <x v="29"/>
    <s v="Golden Temple Mail"/>
    <s v="SWM"/>
    <x v="145"/>
    <n v="35"/>
    <n v="56.67"/>
    <n v="26.67"/>
    <n v="16.670000000000002"/>
    <n v="0"/>
    <d v="2025-09-27T18:52:44"/>
    <s v="https://etrain.info/train/Golden-Temple-Mail-12904/history?d=1y"/>
    <n v="520"/>
    <x v="20"/>
  </r>
  <r>
    <x v="29"/>
    <s v="Golden Temple Mail"/>
    <s v="KOTA"/>
    <x v="128"/>
    <n v="32"/>
    <n v="56.67"/>
    <n v="26.67"/>
    <n v="16.670000000000002"/>
    <n v="0"/>
    <d v="2025-09-27T18:52:48"/>
    <s v="https://etrain.info/train/Golden-Temple-Mail-12904/history?d=1y"/>
    <n v="521"/>
    <x v="21"/>
  </r>
  <r>
    <x v="29"/>
    <s v="Golden Temple Mail"/>
    <s v="RMA"/>
    <x v="144"/>
    <n v="35"/>
    <n v="60"/>
    <n v="23.33"/>
    <n v="16.670000000000002"/>
    <n v="0"/>
    <d v="2025-09-27T18:52:50"/>
    <s v="https://etrain.info/train/Golden-Temple-Mail-12904/history?d=1y"/>
    <n v="522"/>
    <x v="22"/>
  </r>
  <r>
    <x v="29"/>
    <s v="Golden Temple Mail"/>
    <s v="BWM"/>
    <x v="143"/>
    <n v="38"/>
    <n v="56.67"/>
    <n v="23.33"/>
    <n v="20"/>
    <n v="0"/>
    <d v="2025-09-27T18:52:51"/>
    <s v="https://etrain.info/train/Golden-Temple-Mail-12904/history?d=1y"/>
    <n v="523"/>
    <x v="23"/>
  </r>
  <r>
    <x v="29"/>
    <s v="Golden Temple Mail"/>
    <s v="SGZ"/>
    <x v="142"/>
    <n v="44"/>
    <n v="30"/>
    <n v="50"/>
    <n v="20"/>
    <n v="0"/>
    <d v="2025-09-27T18:52:53"/>
    <s v="https://etrain.info/train/Golden-Temple-Mail-12904/history?d=1y"/>
    <n v="524"/>
    <x v="24"/>
  </r>
  <r>
    <x v="29"/>
    <s v="Golden Temple Mail"/>
    <s v="NAD"/>
    <x v="127"/>
    <m/>
    <n v="73.33"/>
    <n v="13.33"/>
    <n v="13.33"/>
    <n v="0"/>
    <d v="2025-09-27T18:52:55"/>
    <s v="https://etrain.info/train/Golden-Temple-Mail-12904/history?d=1y"/>
    <n v="525"/>
    <x v="25"/>
  </r>
  <r>
    <x v="29"/>
    <s v="Golden Temple Mail"/>
    <s v="RTM"/>
    <x v="126"/>
    <m/>
    <n v="56.67"/>
    <n v="23.33"/>
    <n v="20"/>
    <n v="0"/>
    <d v="2025-09-27T18:52:57"/>
    <s v="https://etrain.info/train/Golden-Temple-Mail-12904/history?d=1y"/>
    <n v="526"/>
    <x v="26"/>
  </r>
  <r>
    <x v="29"/>
    <s v="Golden Temple Mail"/>
    <s v="MGN"/>
    <x v="141"/>
    <n v="37"/>
    <n v="26.67"/>
    <n v="53.33"/>
    <n v="20"/>
    <n v="0"/>
    <d v="2025-09-27T18:52:58"/>
    <s v="https://etrain.info/train/Golden-Temple-Mail-12904/history?d=1y"/>
    <n v="527"/>
    <x v="27"/>
  </r>
  <r>
    <x v="29"/>
    <s v="Golden Temple Mail"/>
    <s v="DHD"/>
    <x v="140"/>
    <n v="39"/>
    <n v="30"/>
    <n v="50"/>
    <n v="20"/>
    <n v="0"/>
    <d v="2025-09-27T18:53:00"/>
    <s v="https://etrain.info/train/Golden-Temple-Mail-12904/history?d=1y"/>
    <n v="528"/>
    <x v="28"/>
  </r>
  <r>
    <x v="29"/>
    <s v="Golden Temple Mail"/>
    <s v="GDA"/>
    <x v="139"/>
    <m/>
    <n v="70"/>
    <n v="13.33"/>
    <n v="16.670000000000002"/>
    <n v="0"/>
    <d v="2025-09-27T18:53:02"/>
    <s v="https://etrain.info/train/Golden-Temple-Mail-12904/history?d=1y"/>
    <n v="529"/>
    <x v="29"/>
  </r>
  <r>
    <x v="29"/>
    <s v="Golden Temple Mail"/>
    <s v="BRC"/>
    <x v="125"/>
    <n v="23"/>
    <n v="66.67"/>
    <n v="16.670000000000002"/>
    <n v="16.670000000000002"/>
    <n v="0"/>
    <d v="2025-09-27T18:53:06"/>
    <s v="https://etrain.info/train/Golden-Temple-Mail-12904/history?d=1y"/>
    <n v="530"/>
    <x v="30"/>
  </r>
  <r>
    <x v="29"/>
    <s v="Golden Temple Mail"/>
    <s v="ST"/>
    <x v="124"/>
    <n v="22"/>
    <n v="73.33"/>
    <n v="10"/>
    <n v="16.670000000000002"/>
    <n v="0"/>
    <d v="2025-09-27T18:53:07"/>
    <s v="https://etrain.info/train/Golden-Temple-Mail-12904/history?d=1y"/>
    <n v="531"/>
    <x v="31"/>
  </r>
  <r>
    <x v="29"/>
    <s v="Golden Temple Mail"/>
    <s v="BVI"/>
    <x v="123"/>
    <n v="27"/>
    <n v="40"/>
    <n v="46.67"/>
    <n v="13.33"/>
    <n v="0"/>
    <d v="2025-09-27T18:53:11"/>
    <s v="https://etrain.info/train/Golden-Temple-Mail-12904/history?d=1y"/>
    <n v="532"/>
    <x v="32"/>
  </r>
  <r>
    <x v="29"/>
    <s v="Golden Temple Mail"/>
    <s v="BDTS"/>
    <x v="138"/>
    <m/>
    <n v="86.67"/>
    <n v="3.33"/>
    <n v="10"/>
    <n v="0"/>
    <d v="2025-09-27T18:53:15"/>
    <s v="https://etrain.info/train/Golden-Temple-Mail-12904/history?d=1y"/>
    <n v="533"/>
    <x v="33"/>
  </r>
  <r>
    <x v="30"/>
    <s v="Devagiri Express"/>
    <s v="CSMT"/>
    <x v="163"/>
    <n v="3"/>
    <n v="96.67"/>
    <n v="3.33"/>
    <n v="0"/>
    <n v="0"/>
    <d v="2025-09-27T18:53:20"/>
    <s v="https://etrain.info/train/Devagiri-Express-17057/history?d=1y"/>
    <n v="534"/>
    <x v="0"/>
  </r>
  <r>
    <x v="30"/>
    <s v="Devagiri Express"/>
    <s v="DR"/>
    <x v="164"/>
    <n v="10"/>
    <n v="90"/>
    <n v="10"/>
    <n v="0"/>
    <n v="0"/>
    <d v="2025-09-27T18:53:22"/>
    <s v="https://etrain.info/train/Devagiri-Express-17057/history?d=1y"/>
    <n v="535"/>
    <x v="1"/>
  </r>
  <r>
    <x v="30"/>
    <s v="Devagiri Express"/>
    <s v="TNA"/>
    <x v="165"/>
    <m/>
    <n v="93.33"/>
    <n v="6.67"/>
    <n v="0"/>
    <n v="0"/>
    <d v="2025-09-27T18:53:24"/>
    <s v="https://etrain.info/train/Devagiri-Express-17057/history?d=1y"/>
    <n v="536"/>
    <x v="2"/>
  </r>
  <r>
    <x v="30"/>
    <s v="Devagiri Express"/>
    <s v="KYN"/>
    <x v="166"/>
    <n v="16"/>
    <n v="40"/>
    <n v="60"/>
    <n v="0"/>
    <n v="0"/>
    <d v="2025-09-27T18:53:25"/>
    <s v="https://etrain.info/train/Devagiri-Express-17057/history?d=1y"/>
    <n v="537"/>
    <x v="3"/>
  </r>
  <r>
    <x v="30"/>
    <s v="Devagiri Express"/>
    <s v="KSRA"/>
    <x v="167"/>
    <n v="21"/>
    <n v="36.67"/>
    <n v="63.33"/>
    <n v="0"/>
    <n v="0"/>
    <d v="2025-09-27T18:53:27"/>
    <s v="https://etrain.info/train/Devagiri-Express-17057/history?d=1y"/>
    <n v="538"/>
    <x v="4"/>
  </r>
  <r>
    <x v="30"/>
    <s v="Devagiri Express"/>
    <s v="IGP"/>
    <x v="168"/>
    <n v="22"/>
    <n v="33.33"/>
    <n v="66.67"/>
    <n v="0"/>
    <n v="0"/>
    <d v="2025-09-27T18:53:28"/>
    <s v="https://etrain.info/train/Devagiri-Express-17057/history?d=1y"/>
    <n v="539"/>
    <x v="5"/>
  </r>
  <r>
    <x v="30"/>
    <s v="Devagiri Express"/>
    <s v="NK"/>
    <x v="169"/>
    <n v="23"/>
    <n v="30"/>
    <n v="70"/>
    <n v="0"/>
    <n v="0"/>
    <d v="2025-09-27T18:53:30"/>
    <s v="https://etrain.info/train/Devagiri-Express-17057/history?d=1y"/>
    <n v="540"/>
    <x v="6"/>
  </r>
  <r>
    <x v="30"/>
    <s v="Devagiri Express"/>
    <s v="MMR"/>
    <x v="170"/>
    <n v="20"/>
    <n v="43.33"/>
    <n v="53.33"/>
    <n v="3.33"/>
    <n v="0.01"/>
    <d v="2025-09-27T18:53:31"/>
    <s v="https://etrain.info/train/Devagiri-Express-17057/history?d=1y"/>
    <n v="541"/>
    <x v="7"/>
  </r>
  <r>
    <x v="30"/>
    <s v="Devagiri Express"/>
    <s v="RGO"/>
    <x v="171"/>
    <n v="17"/>
    <n v="66.67"/>
    <n v="30"/>
    <n v="3.33"/>
    <n v="0"/>
    <d v="2025-09-27T18:53:35"/>
    <s v="https://etrain.info/train/Devagiri-Express-17057/history?d=1y"/>
    <n v="542"/>
    <x v="8"/>
  </r>
  <r>
    <x v="30"/>
    <s v="Devagiri Express"/>
    <s v="LSR"/>
    <x v="172"/>
    <m/>
    <n v="50"/>
    <n v="46.67"/>
    <n v="3.33"/>
    <n v="0"/>
    <d v="2025-09-27T18:53:36"/>
    <s v="https://etrain.info/train/Devagiri-Express-17057/history?d=1y"/>
    <n v="543"/>
    <x v="9"/>
  </r>
  <r>
    <x v="30"/>
    <s v="Devagiri Express"/>
    <s v="AWB"/>
    <x v="173"/>
    <n v="22"/>
    <n v="60"/>
    <n v="33.33"/>
    <n v="6.67"/>
    <n v="0"/>
    <d v="2025-09-27T18:53:40"/>
    <s v="https://etrain.info/train/Devagiri-Express-17057/history?d=1y"/>
    <n v="544"/>
    <x v="10"/>
  </r>
  <r>
    <x v="30"/>
    <s v="Devagiri Express"/>
    <s v="PTU"/>
    <x v="174"/>
    <m/>
    <n v="3.33"/>
    <n v="46.67"/>
    <n v="50"/>
    <n v="0"/>
    <d v="2025-09-27T18:53:42"/>
    <s v="https://etrain.info/train/Devagiri-Express-17057/history?d=1y"/>
    <n v="545"/>
    <x v="11"/>
  </r>
  <r>
    <x v="30"/>
    <s v="Devagiri Express"/>
    <s v="SELU"/>
    <x v="175"/>
    <n v="58"/>
    <n v="6.67"/>
    <n v="60"/>
    <n v="33.33"/>
    <n v="0"/>
    <d v="2025-09-27T18:53:44"/>
    <s v="https://etrain.info/train/Devagiri-Express-17057/history?d=1y"/>
    <n v="546"/>
    <x v="12"/>
  </r>
  <r>
    <x v="30"/>
    <s v="Devagiri Express"/>
    <s v="MVO"/>
    <x v="176"/>
    <n v="54"/>
    <n v="3.33"/>
    <n v="70"/>
    <n v="26.67"/>
    <n v="0"/>
    <d v="2025-09-27T18:53:46"/>
    <s v="https://etrain.info/train/Devagiri-Express-17057/history?d=1y"/>
    <n v="547"/>
    <x v="13"/>
  </r>
  <r>
    <x v="30"/>
    <s v="Devagiri Express"/>
    <s v="PBN"/>
    <x v="177"/>
    <n v="48"/>
    <n v="10"/>
    <n v="66.67"/>
    <n v="23.33"/>
    <n v="0"/>
    <d v="2025-09-27T18:53:47"/>
    <s v="https://etrain.info/train/Devagiri-Express-17057/history?d=1y"/>
    <n v="548"/>
    <x v="14"/>
  </r>
  <r>
    <x v="30"/>
    <s v="Devagiri Express"/>
    <s v="PAU"/>
    <x v="178"/>
    <m/>
    <n v="26.67"/>
    <n v="63.33"/>
    <n v="10"/>
    <n v="0"/>
    <d v="2025-09-27T18:53:49"/>
    <s v="https://etrain.info/train/Devagiri-Express-17057/history?d=1y"/>
    <n v="549"/>
    <x v="15"/>
  </r>
  <r>
    <x v="30"/>
    <s v="Devagiri Express"/>
    <s v="NED"/>
    <x v="179"/>
    <n v="37"/>
    <n v="20"/>
    <n v="66.67"/>
    <n v="13.33"/>
    <n v="0"/>
    <d v="2025-09-27T18:53:53"/>
    <s v="https://etrain.info/train/Devagiri-Express-17057/history?d=1y"/>
    <n v="550"/>
    <x v="16"/>
  </r>
  <r>
    <x v="30"/>
    <s v="Devagiri Express"/>
    <s v="MUE"/>
    <x v="180"/>
    <m/>
    <n v="33.33"/>
    <n v="53.33"/>
    <n v="13.33"/>
    <n v="0"/>
    <d v="2025-09-27T18:53:54"/>
    <s v="https://etrain.info/train/Devagiri-Express-17057/history?d=1y"/>
    <n v="551"/>
    <x v="17"/>
  </r>
  <r>
    <x v="30"/>
    <s v="Devagiri Express"/>
    <s v="UMRI"/>
    <x v="181"/>
    <n v="38"/>
    <n v="26.67"/>
    <n v="53.33"/>
    <n v="20"/>
    <n v="0"/>
    <d v="2025-09-27T18:53:56"/>
    <s v="https://etrain.info/train/Devagiri-Express-17057/history?d=1y"/>
    <n v="552"/>
    <x v="18"/>
  </r>
  <r>
    <x v="30"/>
    <s v="Devagiri Express"/>
    <s v="DAB"/>
    <x v="182"/>
    <n v="44"/>
    <n v="10"/>
    <n v="70"/>
    <n v="20"/>
    <n v="0"/>
    <d v="2025-09-27T18:53:58"/>
    <s v="https://etrain.info/train/Devagiri-Express-17057/history?d=1y"/>
    <n v="553"/>
    <x v="19"/>
  </r>
  <r>
    <x v="30"/>
    <s v="Devagiri Express"/>
    <s v="BSX"/>
    <x v="183"/>
    <n v="51"/>
    <n v="6.67"/>
    <n v="66.67"/>
    <n v="26.67"/>
    <n v="0"/>
    <d v="2025-09-27T18:54:02"/>
    <s v="https://etrain.info/train/Devagiri-Express-17057/history?d=1y"/>
    <n v="554"/>
    <x v="20"/>
  </r>
  <r>
    <x v="30"/>
    <s v="Devagiri Express"/>
    <s v="NZB"/>
    <x v="184"/>
    <n v="55"/>
    <n v="6.67"/>
    <n v="63.33"/>
    <n v="30"/>
    <n v="0"/>
    <d v="2025-09-27T18:54:03"/>
    <s v="https://etrain.info/train/Devagiri-Express-17057/history?d=1y"/>
    <n v="555"/>
    <x v="21"/>
  </r>
  <r>
    <x v="30"/>
    <s v="Devagiri Express"/>
    <s v="KMC"/>
    <x v="185"/>
    <n v="57"/>
    <n v="13.33"/>
    <n v="50"/>
    <n v="36.67"/>
    <n v="0"/>
    <d v="2025-09-27T18:54:05"/>
    <s v="https://etrain.info/train/Devagiri-Express-17057/history?d=1y"/>
    <n v="556"/>
    <x v="22"/>
  </r>
  <r>
    <x v="30"/>
    <s v="Devagiri Express"/>
    <s v="AKE"/>
    <x v="186"/>
    <n v="57"/>
    <n v="13.33"/>
    <n v="46.67"/>
    <n v="40"/>
    <n v="0"/>
    <d v="2025-09-27T18:54:06"/>
    <s v="https://etrain.info/train/Devagiri-Express-17057/history?d=1y"/>
    <n v="557"/>
    <x v="23"/>
  </r>
  <r>
    <x v="30"/>
    <s v="Devagiri Express"/>
    <s v="MZL"/>
    <x v="187"/>
    <n v="60"/>
    <n v="13.33"/>
    <n v="43.33"/>
    <n v="43.33"/>
    <n v="0.01"/>
    <d v="2025-09-27T18:54:08"/>
    <s v="https://etrain.info/train/Devagiri-Express-17057/history?d=1y"/>
    <n v="558"/>
    <x v="24"/>
  </r>
  <r>
    <x v="30"/>
    <s v="Devagiri Express"/>
    <s v="BMO"/>
    <x v="188"/>
    <n v="35"/>
    <n v="36.67"/>
    <n v="46.67"/>
    <n v="16.670000000000002"/>
    <n v="0"/>
    <d v="2025-09-27T18:54:12"/>
    <s v="https://etrain.info/train/Devagiri-Express-17057/history?d=1y"/>
    <n v="559"/>
    <x v="25"/>
  </r>
  <r>
    <x v="30"/>
    <s v="Devagiri Express"/>
    <s v="SC"/>
    <x v="189"/>
    <n v="52"/>
    <n v="36.67"/>
    <n v="46.67"/>
    <n v="16.670000000000002"/>
    <n v="0"/>
    <d v="2025-09-27T18:54:15"/>
    <s v="https://etrain.info/train/Devagiri-Express-17057/history?d=1y"/>
    <n v="560"/>
    <x v="26"/>
  </r>
  <r>
    <x v="30"/>
    <s v="Devagiri Express"/>
    <s v="BMT"/>
    <x v="190"/>
    <n v="36"/>
    <n v="70"/>
    <n v="13.33"/>
    <n v="16.670000000000002"/>
    <n v="0"/>
    <d v="2025-09-27T18:54:17"/>
    <s v="https://etrain.info/train/Devagiri-Express-17057/history?d=1y"/>
    <n v="561"/>
    <x v="27"/>
  </r>
  <r>
    <x v="30"/>
    <s v="Devagiri Express"/>
    <s v="LPI"/>
    <x v="191"/>
    <n v="42"/>
    <n v="76.67"/>
    <n v="10"/>
    <n v="13.33"/>
    <n v="0"/>
    <d v="2025-09-27T18:54:20"/>
    <s v="https://etrain.info/train/Devagiri-Express-17057/history?d=1y"/>
    <n v="562"/>
    <x v="28"/>
  </r>
  <r>
    <x v="31"/>
    <s v="Devagiri Express"/>
    <s v="LPI"/>
    <x v="191"/>
    <n v="2"/>
    <n v="96.67"/>
    <n v="3.33"/>
    <n v="0"/>
    <n v="0"/>
    <d v="2025-09-27T18:54:26"/>
    <s v="https://etrain.info/train/Devagiri-Express-17058/history?d=1y"/>
    <n v="563"/>
    <x v="0"/>
  </r>
  <r>
    <x v="31"/>
    <s v="Devagiri Express"/>
    <s v="BMT"/>
    <x v="190"/>
    <n v="4"/>
    <n v="96.67"/>
    <n v="0"/>
    <n v="3.33"/>
    <n v="0"/>
    <d v="2025-09-27T18:54:30"/>
    <s v="https://etrain.info/train/Devagiri-Express-17058/history?d=1y"/>
    <n v="564"/>
    <x v="1"/>
  </r>
  <r>
    <x v="31"/>
    <s v="Devagiri Express"/>
    <s v="SC"/>
    <x v="189"/>
    <m/>
    <n v="86.67"/>
    <n v="13.33"/>
    <n v="0"/>
    <n v="0"/>
    <d v="2025-09-27T18:54:32"/>
    <s v="https://etrain.info/train/Devagiri-Express-17058/history?d=1y"/>
    <n v="565"/>
    <x v="2"/>
  </r>
  <r>
    <x v="31"/>
    <s v="Devagiri Express"/>
    <s v="BMO"/>
    <x v="188"/>
    <n v="5"/>
    <n v="90"/>
    <n v="10"/>
    <n v="0"/>
    <n v="0"/>
    <d v="2025-09-27T18:54:33"/>
    <s v="https://etrain.info/train/Devagiri-Express-17058/history?d=1y"/>
    <n v="566"/>
    <x v="3"/>
  </r>
  <r>
    <x v="31"/>
    <s v="Devagiri Express"/>
    <s v="MZL"/>
    <x v="187"/>
    <n v="17"/>
    <n v="43.33"/>
    <n v="56.67"/>
    <n v="0"/>
    <n v="0"/>
    <d v="2025-09-27T18:54:35"/>
    <s v="https://etrain.info/train/Devagiri-Express-17058/history?d=1y"/>
    <n v="567"/>
    <x v="4"/>
  </r>
  <r>
    <x v="31"/>
    <s v="Devagiri Express"/>
    <s v="AKE"/>
    <x v="186"/>
    <n v="21"/>
    <n v="33.33"/>
    <n v="66.67"/>
    <n v="0"/>
    <n v="0"/>
    <d v="2025-09-27T18:54:37"/>
    <s v="https://etrain.info/train/Devagiri-Express-17058/history?d=1y"/>
    <n v="568"/>
    <x v="5"/>
  </r>
  <r>
    <x v="31"/>
    <s v="Devagiri Express"/>
    <s v="KMC"/>
    <x v="185"/>
    <n v="29"/>
    <n v="16.670000000000002"/>
    <n v="80"/>
    <n v="3.33"/>
    <n v="0"/>
    <d v="2025-09-27T18:54:40"/>
    <s v="https://etrain.info/train/Devagiri-Express-17058/history?d=1y"/>
    <n v="569"/>
    <x v="6"/>
  </r>
  <r>
    <x v="31"/>
    <s v="Devagiri Express"/>
    <s v="NZB"/>
    <x v="184"/>
    <n v="42"/>
    <n v="13.33"/>
    <n v="70"/>
    <n v="16.670000000000002"/>
    <n v="0"/>
    <d v="2025-09-27T18:54:42"/>
    <s v="https://etrain.info/train/Devagiri-Express-17058/history?d=1y"/>
    <n v="570"/>
    <x v="7"/>
  </r>
  <r>
    <x v="31"/>
    <s v="Devagiri Express"/>
    <s v="BSX"/>
    <x v="183"/>
    <n v="54"/>
    <n v="6.67"/>
    <n v="80"/>
    <n v="13.33"/>
    <n v="0"/>
    <d v="2025-09-27T18:54:45"/>
    <s v="https://etrain.info/train/Devagiri-Express-17058/history?d=1y"/>
    <n v="571"/>
    <x v="8"/>
  </r>
  <r>
    <x v="31"/>
    <s v="Devagiri Express"/>
    <s v="DAB"/>
    <x v="182"/>
    <n v="57"/>
    <n v="6.67"/>
    <n v="80"/>
    <n v="13.33"/>
    <n v="0"/>
    <d v="2025-09-27T18:54:49"/>
    <s v="https://etrain.info/train/Devagiri-Express-17058/history?d=1y"/>
    <n v="572"/>
    <x v="9"/>
  </r>
  <r>
    <x v="31"/>
    <s v="Devagiri Express"/>
    <s v="UMRI"/>
    <x v="181"/>
    <n v="53"/>
    <n v="6.67"/>
    <n v="83.33"/>
    <n v="10"/>
    <n v="0"/>
    <d v="2025-09-27T18:54:50"/>
    <s v="https://etrain.info/train/Devagiri-Express-17058/history?d=1y"/>
    <n v="573"/>
    <x v="10"/>
  </r>
  <r>
    <x v="31"/>
    <s v="Devagiri Express"/>
    <s v="MUE"/>
    <x v="180"/>
    <n v="29"/>
    <n v="73.33"/>
    <n v="16.670000000000002"/>
    <n v="10"/>
    <n v="0"/>
    <d v="2025-09-27T18:54:52"/>
    <s v="https://etrain.info/train/Devagiri-Express-17058/history?d=1y"/>
    <n v="574"/>
    <x v="11"/>
  </r>
  <r>
    <x v="31"/>
    <s v="Devagiri Express"/>
    <s v="NED"/>
    <x v="179"/>
    <n v="29"/>
    <n v="66.67"/>
    <n v="23.33"/>
    <n v="10"/>
    <n v="0"/>
    <d v="2025-09-27T18:54:53"/>
    <s v="https://etrain.info/train/Devagiri-Express-17058/history?d=1y"/>
    <n v="575"/>
    <x v="12"/>
  </r>
  <r>
    <x v="31"/>
    <s v="Devagiri Express"/>
    <s v="PAU"/>
    <x v="178"/>
    <n v="24"/>
    <n v="70"/>
    <n v="23.33"/>
    <n v="6.67"/>
    <n v="0"/>
    <d v="2025-09-27T18:54:57"/>
    <s v="https://etrain.info/train/Devagiri-Express-17058/history?d=1y"/>
    <n v="576"/>
    <x v="13"/>
  </r>
  <r>
    <x v="31"/>
    <s v="Devagiri Express"/>
    <s v="PBN"/>
    <x v="177"/>
    <n v="30"/>
    <n v="80"/>
    <n v="10"/>
    <n v="10"/>
    <n v="0"/>
    <d v="2025-09-27T18:54:58"/>
    <s v="https://etrain.info/train/Devagiri-Express-17058/history?d=1y"/>
    <n v="577"/>
    <x v="14"/>
  </r>
  <r>
    <x v="31"/>
    <s v="Devagiri Express"/>
    <s v="MVO"/>
    <x v="176"/>
    <n v="36"/>
    <n v="70"/>
    <n v="20"/>
    <n v="10"/>
    <n v="0"/>
    <d v="2025-09-27T18:55:00"/>
    <s v="https://etrain.info/train/Devagiri-Express-17058/history?d=1y"/>
    <n v="578"/>
    <x v="15"/>
  </r>
  <r>
    <x v="31"/>
    <s v="Devagiri Express"/>
    <s v="SELU"/>
    <x v="175"/>
    <n v="35"/>
    <n v="60"/>
    <n v="30"/>
    <n v="10"/>
    <n v="0"/>
    <d v="2025-09-27T18:55:02"/>
    <s v="https://etrain.info/train/Devagiri-Express-17058/history?d=1y"/>
    <n v="579"/>
    <x v="16"/>
  </r>
  <r>
    <x v="31"/>
    <s v="Devagiri Express"/>
    <s v="PTU"/>
    <x v="174"/>
    <n v="46"/>
    <n v="33.33"/>
    <n v="56.67"/>
    <n v="10"/>
    <n v="0"/>
    <d v="2025-09-27T18:55:03"/>
    <s v="https://etrain.info/train/Devagiri-Express-17058/history?d=1y"/>
    <n v="580"/>
    <x v="17"/>
  </r>
  <r>
    <x v="31"/>
    <s v="Devagiri Express"/>
    <s v="AWB"/>
    <x v="173"/>
    <n v="49"/>
    <n v="20"/>
    <n v="70"/>
    <n v="10"/>
    <n v="0"/>
    <d v="2025-09-27T18:55:05"/>
    <s v="https://etrain.info/train/Devagiri-Express-17058/history?d=1y"/>
    <n v="581"/>
    <x v="18"/>
  </r>
  <r>
    <x v="31"/>
    <s v="Devagiri Express"/>
    <s v="LSR"/>
    <x v="172"/>
    <n v="43"/>
    <n v="50"/>
    <n v="40"/>
    <n v="10"/>
    <n v="0"/>
    <d v="2025-09-27T18:55:07"/>
    <s v="https://etrain.info/train/Devagiri-Express-17058/history?d=1y"/>
    <n v="582"/>
    <x v="19"/>
  </r>
  <r>
    <x v="31"/>
    <s v="Devagiri Express"/>
    <s v="RGO"/>
    <x v="171"/>
    <n v="41"/>
    <n v="53.33"/>
    <n v="36.67"/>
    <n v="10"/>
    <n v="0"/>
    <d v="2025-09-27T18:55:08"/>
    <s v="https://etrain.info/train/Devagiri-Express-17058/history?d=1y"/>
    <n v="583"/>
    <x v="20"/>
  </r>
  <r>
    <x v="31"/>
    <s v="Devagiri Express"/>
    <s v="MMR"/>
    <x v="170"/>
    <n v="53"/>
    <n v="53.33"/>
    <n v="33.33"/>
    <n v="13.33"/>
    <n v="0.01"/>
    <d v="2025-09-27T18:55:10"/>
    <s v="https://etrain.info/train/Devagiri-Express-17058/history?d=1y"/>
    <n v="584"/>
    <x v="21"/>
  </r>
  <r>
    <x v="31"/>
    <s v="Devagiri Express"/>
    <s v="NK"/>
    <x v="169"/>
    <n v="62"/>
    <n v="16.670000000000002"/>
    <n v="70"/>
    <n v="13.33"/>
    <n v="0"/>
    <d v="2025-09-27T18:55:14"/>
    <s v="https://etrain.info/train/Devagiri-Express-17058/history?d=1y"/>
    <n v="585"/>
    <x v="22"/>
  </r>
  <r>
    <x v="31"/>
    <s v="Devagiri Express"/>
    <s v="IGP"/>
    <x v="168"/>
    <n v="39"/>
    <n v="83.33"/>
    <n v="3.33"/>
    <n v="13.33"/>
    <n v="0.01"/>
    <d v="2025-09-27T18:55:15"/>
    <s v="https://etrain.info/train/Devagiri-Express-17058/history?d=1y"/>
    <n v="586"/>
    <x v="23"/>
  </r>
  <r>
    <x v="31"/>
    <s v="Devagiri Express"/>
    <s v="KYN"/>
    <x v="166"/>
    <n v="53"/>
    <n v="46.67"/>
    <n v="40"/>
    <n v="13.33"/>
    <n v="0"/>
    <d v="2025-09-27T18:55:19"/>
    <s v="https://etrain.info/train/Devagiri-Express-17058/history?d=1y"/>
    <n v="587"/>
    <x v="24"/>
  </r>
  <r>
    <x v="31"/>
    <s v="Devagiri Express"/>
    <s v="TNA"/>
    <x v="165"/>
    <n v="62"/>
    <n v="10"/>
    <n v="76.67"/>
    <n v="13.33"/>
    <n v="0"/>
    <d v="2025-09-27T18:55:22"/>
    <s v="https://etrain.info/train/Devagiri-Express-17058/history?d=1y"/>
    <n v="588"/>
    <x v="25"/>
  </r>
  <r>
    <x v="31"/>
    <s v="Devagiri Express"/>
    <s v="DR"/>
    <x v="164"/>
    <n v="61"/>
    <n v="20"/>
    <n v="66.67"/>
    <n v="13.33"/>
    <n v="0"/>
    <d v="2025-09-27T18:55:26"/>
    <s v="https://etrain.info/train/Devagiri-Express-17058/history?d=1y"/>
    <n v="589"/>
    <x v="26"/>
  </r>
  <r>
    <x v="31"/>
    <s v="Devagiri Express"/>
    <s v="CSMT"/>
    <x v="163"/>
    <n v="39"/>
    <n v="83.33"/>
    <n v="3.33"/>
    <n v="13.33"/>
    <n v="0.01"/>
    <d v="2025-09-27T18:55:28"/>
    <s v="https://etrain.info/train/Devagiri-Express-17058/history?d=1y"/>
    <n v="590"/>
    <x v="27"/>
  </r>
  <r>
    <x v="32"/>
    <s v="Palakkad Superfast"/>
    <s v="MAS"/>
    <x v="0"/>
    <n v="3"/>
    <n v="96.67"/>
    <n v="3.33"/>
    <n v="0"/>
    <n v="0"/>
    <d v="2025-09-27T18:55:33"/>
    <s v="https://etrain.info/train/Palakkad-Superfast-22651/history?d=1y"/>
    <n v="591"/>
    <x v="0"/>
  </r>
  <r>
    <x v="32"/>
    <s v="Palakkad Superfast"/>
    <s v="TRL"/>
    <x v="192"/>
    <n v="8"/>
    <n v="90"/>
    <n v="10"/>
    <n v="0"/>
    <n v="0"/>
    <d v="2025-09-27T18:55:35"/>
    <s v="https://etrain.info/train/Palakkad-Superfast-22651/history?d=1y"/>
    <n v="592"/>
    <x v="1"/>
  </r>
  <r>
    <x v="32"/>
    <s v="Palakkad Superfast"/>
    <s v="AJJ"/>
    <x v="2"/>
    <n v="15"/>
    <n v="66.67"/>
    <n v="33.33"/>
    <n v="0"/>
    <n v="0"/>
    <d v="2025-09-27T18:55:37"/>
    <s v="https://etrain.info/train/Palakkad-Superfast-22651/history?d=1y"/>
    <n v="593"/>
    <x v="2"/>
  </r>
  <r>
    <x v="32"/>
    <s v="Palakkad Superfast"/>
    <s v="KPD"/>
    <x v="3"/>
    <n v="18"/>
    <n v="50"/>
    <n v="50"/>
    <n v="0"/>
    <n v="0"/>
    <d v="2025-09-27T18:55:38"/>
    <s v="https://etrain.info/train/Palakkad-Superfast-22651/history?d=1y"/>
    <n v="594"/>
    <x v="3"/>
  </r>
  <r>
    <x v="32"/>
    <s v="Palakkad Superfast"/>
    <s v="GYM"/>
    <x v="193"/>
    <n v="24"/>
    <n v="16.670000000000002"/>
    <n v="83.33"/>
    <n v="0"/>
    <n v="0"/>
    <d v="2025-09-27T18:55:40"/>
    <s v="https://etrain.info/train/Palakkad-Superfast-22651/history?d=1y"/>
    <n v="595"/>
    <x v="4"/>
  </r>
  <r>
    <x v="32"/>
    <s v="Palakkad Superfast"/>
    <s v="JTJ"/>
    <x v="4"/>
    <n v="12"/>
    <n v="73.33"/>
    <n v="26.67"/>
    <n v="0"/>
    <n v="0"/>
    <d v="2025-09-27T18:55:42"/>
    <s v="https://etrain.info/train/Palakkad-Superfast-22651/history?d=1y"/>
    <n v="596"/>
    <x v="5"/>
  </r>
  <r>
    <x v="32"/>
    <s v="Palakkad Superfast"/>
    <s v="MAP"/>
    <x v="194"/>
    <n v="17"/>
    <n v="53.33"/>
    <n v="46.67"/>
    <n v="0"/>
    <n v="0"/>
    <d v="2025-09-27T18:55:43"/>
    <s v="https://etrain.info/train/Palakkad-Superfast-22651/history?d=1y"/>
    <n v="597"/>
    <x v="6"/>
  </r>
  <r>
    <x v="32"/>
    <s v="Palakkad Superfast"/>
    <s v="SA"/>
    <x v="5"/>
    <n v="14"/>
    <n v="66.67"/>
    <n v="33.33"/>
    <n v="0"/>
    <n v="0"/>
    <d v="2025-09-27T18:55:45"/>
    <s v="https://etrain.info/train/Palakkad-Superfast-22651/history?d=1y"/>
    <n v="598"/>
    <x v="7"/>
  </r>
  <r>
    <x v="32"/>
    <s v="Palakkad Superfast"/>
    <s v="RASP"/>
    <x v="195"/>
    <n v="14"/>
    <n v="70"/>
    <n v="30"/>
    <n v="0"/>
    <n v="0"/>
    <d v="2025-09-27T18:55:46"/>
    <s v="https://etrain.info/train/Palakkad-Superfast-22651/history?d=1y"/>
    <n v="599"/>
    <x v="8"/>
  </r>
  <r>
    <x v="32"/>
    <s v="Palakkad Superfast"/>
    <s v="NMKL"/>
    <x v="196"/>
    <n v="13"/>
    <n v="66.67"/>
    <n v="33.33"/>
    <n v="0"/>
    <n v="0"/>
    <d v="2025-09-27T18:55:48"/>
    <s v="https://etrain.info/train/Palakkad-Superfast-22651/history?d=1y"/>
    <n v="600"/>
    <x v="9"/>
  </r>
  <r>
    <x v="32"/>
    <s v="Palakkad Superfast"/>
    <s v="MONR"/>
    <x v="197"/>
    <n v="13"/>
    <n v="66.67"/>
    <n v="33.33"/>
    <n v="0"/>
    <n v="0"/>
    <d v="2025-09-27T18:55:49"/>
    <s v="https://etrain.info/train/Palakkad-Superfast-22651/history?d=1y"/>
    <n v="601"/>
    <x v="10"/>
  </r>
  <r>
    <x v="32"/>
    <s v="Palakkad Superfast"/>
    <s v="KRR"/>
    <x v="198"/>
    <n v="11"/>
    <n v="80"/>
    <n v="20"/>
    <n v="0"/>
    <n v="0"/>
    <d v="2025-09-27T18:55:51"/>
    <s v="https://etrain.info/train/Palakkad-Superfast-22651/history?d=1y"/>
    <n v="602"/>
    <x v="11"/>
  </r>
  <r>
    <x v="32"/>
    <s v="Palakkad Superfast"/>
    <s v="DG"/>
    <x v="19"/>
    <n v="17"/>
    <n v="46.67"/>
    <n v="53.33"/>
    <n v="0"/>
    <n v="0"/>
    <d v="2025-09-27T18:55:52"/>
    <s v="https://etrain.info/train/Palakkad-Superfast-22651/history?d=1y"/>
    <n v="603"/>
    <x v="12"/>
  </r>
  <r>
    <x v="32"/>
    <s v="Palakkad Superfast"/>
    <s v="ODC"/>
    <x v="199"/>
    <n v="14"/>
    <n v="63.33"/>
    <n v="36.67"/>
    <n v="0"/>
    <n v="0"/>
    <d v="2025-09-27T18:55:54"/>
    <s v="https://etrain.info/train/Palakkad-Superfast-22651/history?d=1y"/>
    <n v="604"/>
    <x v="13"/>
  </r>
  <r>
    <x v="32"/>
    <s v="Palakkad Superfast"/>
    <s v="PLNI"/>
    <x v="200"/>
    <m/>
    <n v="53.33"/>
    <n v="46.67"/>
    <n v="0"/>
    <n v="0"/>
    <d v="2025-09-27T18:55:56"/>
    <s v="https://etrain.info/train/Palakkad-Superfast-22651/history?d=1y"/>
    <n v="605"/>
    <x v="14"/>
  </r>
  <r>
    <x v="32"/>
    <s v="Palakkad Superfast"/>
    <s v="UDT"/>
    <x v="201"/>
    <n v="13"/>
    <n v="60"/>
    <n v="40"/>
    <n v="0"/>
    <n v="0"/>
    <d v="2025-09-27T18:55:57"/>
    <s v="https://etrain.info/train/Palakkad-Superfast-22651/history?d=1y"/>
    <n v="606"/>
    <x v="15"/>
  </r>
  <r>
    <x v="32"/>
    <s v="Palakkad Superfast"/>
    <s v="POY"/>
    <x v="202"/>
    <n v="8"/>
    <n v="80"/>
    <n v="20"/>
    <n v="0"/>
    <n v="0"/>
    <d v="2025-09-27T18:55:59"/>
    <s v="https://etrain.info/train/Palakkad-Superfast-22651/history?d=1y"/>
    <n v="607"/>
    <x v="16"/>
  </r>
  <r>
    <x v="32"/>
    <s v="Palakkad Superfast"/>
    <s v="PGTN"/>
    <x v="203"/>
    <n v="1"/>
    <n v="100"/>
    <n v="0"/>
    <n v="0"/>
    <n v="0"/>
    <d v="2025-09-27T18:56:00"/>
    <s v="https://etrain.info/train/Palakkad-Superfast-22651/history?d=1y"/>
    <n v="608"/>
    <x v="17"/>
  </r>
  <r>
    <x v="32"/>
    <s v="Palakkad Superfast"/>
    <s v="PGT"/>
    <x v="114"/>
    <m/>
    <n v="100"/>
    <n v="0"/>
    <n v="0"/>
    <n v="0"/>
    <d v="2025-09-27T18:56:02"/>
    <s v="https://etrain.info/train/Palakkad-Superfast-22651/history?d=1y"/>
    <n v="609"/>
    <x v="18"/>
  </r>
  <r>
    <x v="33"/>
    <s v="Palakkad Superfast"/>
    <s v="PGT"/>
    <x v="114"/>
    <n v="1"/>
    <n v="100"/>
    <n v="0"/>
    <n v="0"/>
    <n v="0"/>
    <d v="2025-09-27T18:56:05"/>
    <s v="https://etrain.info/train/Palakkad-Superfast-22652/history?d=1y"/>
    <n v="610"/>
    <x v="0"/>
  </r>
  <r>
    <x v="33"/>
    <s v="Palakkad Superfast"/>
    <s v="PGTN"/>
    <x v="203"/>
    <n v="3"/>
    <n v="100"/>
    <n v="0"/>
    <n v="0"/>
    <n v="0"/>
    <d v="2025-09-27T18:56:06"/>
    <s v="https://etrain.info/train/Palakkad-Superfast-22652/history?d=1y"/>
    <n v="611"/>
    <x v="1"/>
  </r>
  <r>
    <x v="33"/>
    <s v="Palakkad Superfast"/>
    <s v="POY"/>
    <x v="202"/>
    <n v="1"/>
    <n v="100"/>
    <n v="0"/>
    <n v="0"/>
    <n v="0"/>
    <d v="2025-09-27T18:56:08"/>
    <s v="https://etrain.info/train/Palakkad-Superfast-22652/history?d=1y"/>
    <n v="612"/>
    <x v="2"/>
  </r>
  <r>
    <x v="33"/>
    <s v="Palakkad Superfast"/>
    <s v="UDT"/>
    <x v="201"/>
    <n v="2"/>
    <n v="100"/>
    <n v="0"/>
    <n v="0"/>
    <n v="0"/>
    <d v="2025-09-27T18:56:09"/>
    <s v="https://etrain.info/train/Palakkad-Superfast-22652/history?d=1y"/>
    <n v="613"/>
    <x v="3"/>
  </r>
  <r>
    <x v="33"/>
    <s v="Palakkad Superfast"/>
    <s v="PLNI"/>
    <x v="200"/>
    <n v="7"/>
    <n v="96.67"/>
    <n v="3.33"/>
    <n v="0"/>
    <n v="0"/>
    <d v="2025-09-27T18:56:13"/>
    <s v="https://etrain.info/train/Palakkad-Superfast-22652/history?d=1y"/>
    <n v="614"/>
    <x v="4"/>
  </r>
  <r>
    <x v="33"/>
    <s v="Palakkad Superfast"/>
    <s v="ODC"/>
    <x v="199"/>
    <n v="11"/>
    <n v="73.33"/>
    <n v="26.67"/>
    <n v="0"/>
    <n v="0"/>
    <d v="2025-09-27T18:56:14"/>
    <s v="https://etrain.info/train/Palakkad-Superfast-22652/history?d=1y"/>
    <n v="615"/>
    <x v="5"/>
  </r>
  <r>
    <x v="33"/>
    <s v="Palakkad Superfast"/>
    <s v="DG"/>
    <x v="19"/>
    <n v="5"/>
    <n v="96.67"/>
    <n v="3.33"/>
    <n v="0"/>
    <n v="0"/>
    <d v="2025-09-27T18:56:18"/>
    <s v="https://etrain.info/train/Palakkad-Superfast-22652/history?d=1y"/>
    <n v="616"/>
    <x v="6"/>
  </r>
  <r>
    <x v="33"/>
    <s v="Palakkad Superfast"/>
    <s v="KRR"/>
    <x v="198"/>
    <n v="7"/>
    <n v="83.33"/>
    <n v="16.670000000000002"/>
    <n v="0"/>
    <n v="0"/>
    <d v="2025-09-27T18:56:20"/>
    <s v="https://etrain.info/train/Palakkad-Superfast-22652/history?d=1y"/>
    <n v="617"/>
    <x v="7"/>
  </r>
  <r>
    <x v="33"/>
    <s v="Palakkad Superfast"/>
    <s v="MONR"/>
    <x v="197"/>
    <n v="11"/>
    <n v="70"/>
    <n v="30"/>
    <n v="0"/>
    <n v="0"/>
    <d v="2025-09-27T18:56:21"/>
    <s v="https://etrain.info/train/Palakkad-Superfast-22652/history?d=1y"/>
    <n v="618"/>
    <x v="8"/>
  </r>
  <r>
    <x v="33"/>
    <s v="Palakkad Superfast"/>
    <s v="NMKL"/>
    <x v="196"/>
    <n v="13"/>
    <n v="63.33"/>
    <n v="36.67"/>
    <n v="0"/>
    <n v="0"/>
    <d v="2025-09-27T18:56:23"/>
    <s v="https://etrain.info/train/Palakkad-Superfast-22652/history?d=1y"/>
    <n v="619"/>
    <x v="9"/>
  </r>
  <r>
    <x v="33"/>
    <s v="Palakkad Superfast"/>
    <s v="RASP"/>
    <x v="195"/>
    <n v="13"/>
    <n v="63.33"/>
    <n v="36.67"/>
    <n v="0"/>
    <n v="0"/>
    <d v="2025-09-27T18:56:25"/>
    <s v="https://etrain.info/train/Palakkad-Superfast-22652/history?d=1y"/>
    <n v="620"/>
    <x v="10"/>
  </r>
  <r>
    <x v="33"/>
    <s v="Palakkad Superfast"/>
    <s v="SA"/>
    <x v="5"/>
    <n v="5"/>
    <n v="96.67"/>
    <n v="3.33"/>
    <n v="0"/>
    <n v="0"/>
    <d v="2025-09-27T18:56:28"/>
    <s v="https://etrain.info/train/Palakkad-Superfast-22652/history?d=1y"/>
    <n v="621"/>
    <x v="11"/>
  </r>
  <r>
    <x v="33"/>
    <s v="Palakkad Superfast"/>
    <s v="MAP"/>
    <x v="194"/>
    <n v="6"/>
    <n v="86.67"/>
    <n v="13.33"/>
    <n v="0"/>
    <n v="0"/>
    <d v="2025-09-27T18:56:32"/>
    <s v="https://etrain.info/train/Palakkad-Superfast-22652/history?d=1y"/>
    <n v="622"/>
    <x v="12"/>
  </r>
  <r>
    <x v="33"/>
    <s v="Palakkad Superfast"/>
    <s v="JTJ"/>
    <x v="4"/>
    <n v="3"/>
    <n v="96.67"/>
    <n v="3.33"/>
    <n v="0"/>
    <n v="0"/>
    <d v="2025-09-27T18:56:36"/>
    <s v="https://etrain.info/train/Palakkad-Superfast-22652/history?d=1y"/>
    <n v="623"/>
    <x v="13"/>
  </r>
  <r>
    <x v="33"/>
    <s v="Palakkad Superfast"/>
    <s v="GYM"/>
    <x v="193"/>
    <n v="5"/>
    <n v="93.33"/>
    <n v="6.67"/>
    <n v="0"/>
    <n v="0"/>
    <d v="2025-09-27T18:56:39"/>
    <s v="https://etrain.info/train/Palakkad-Superfast-22652/history?d=1y"/>
    <n v="624"/>
    <x v="14"/>
  </r>
  <r>
    <x v="33"/>
    <s v="Palakkad Superfast"/>
    <s v="KPD"/>
    <x v="3"/>
    <n v="7"/>
    <n v="83.33"/>
    <n v="16.670000000000002"/>
    <n v="0"/>
    <n v="0"/>
    <d v="2025-09-27T18:56:41"/>
    <s v="https://etrain.info/train/Palakkad-Superfast-22652/history?d=1y"/>
    <n v="625"/>
    <x v="15"/>
  </r>
  <r>
    <x v="33"/>
    <s v="Palakkad Superfast"/>
    <s v="AJJ"/>
    <x v="2"/>
    <n v="10"/>
    <n v="83.33"/>
    <n v="16.670000000000002"/>
    <n v="0"/>
    <n v="0"/>
    <d v="2025-09-27T18:56:42"/>
    <s v="https://etrain.info/train/Palakkad-Superfast-22652/history?d=1y"/>
    <n v="626"/>
    <x v="16"/>
  </r>
  <r>
    <x v="33"/>
    <s v="Palakkad Superfast"/>
    <s v="TRL"/>
    <x v="192"/>
    <n v="12"/>
    <n v="66.67"/>
    <n v="33.33"/>
    <n v="0"/>
    <n v="0"/>
    <d v="2025-09-27T18:56:44"/>
    <s v="https://etrain.info/train/Palakkad-Superfast-22652/history?d=1y"/>
    <n v="627"/>
    <x v="17"/>
  </r>
  <r>
    <x v="33"/>
    <s v="Palakkad Superfast"/>
    <s v="PER"/>
    <x v="10"/>
    <n v="18"/>
    <n v="46.67"/>
    <n v="53.33"/>
    <n v="0"/>
    <n v="0"/>
    <d v="2025-09-27T18:56:45"/>
    <s v="https://etrain.info/train/Palakkad-Superfast-22652/history?d=1y"/>
    <n v="628"/>
    <x v="18"/>
  </r>
  <r>
    <x v="33"/>
    <s v="Palakkad Superfast"/>
    <s v="MAS"/>
    <x v="0"/>
    <n v="1"/>
    <n v="93.33"/>
    <n v="6.67"/>
    <n v="0"/>
    <n v="0"/>
    <d v="2025-09-27T18:56:49"/>
    <s v="https://etrain.info/train/Palakkad-Superfast-22652/history?d=1y"/>
    <n v="629"/>
    <x v="19"/>
  </r>
  <r>
    <x v="34"/>
    <s v="Chennai Express"/>
    <s v="LTT"/>
    <x v="204"/>
    <n v="12"/>
    <n v="89.32"/>
    <n v="7.4"/>
    <n v="3.29"/>
    <n v="0"/>
    <d v="2025-09-27T18:58:59"/>
    <s v="https://etrain.info/train/Chennai-Express-12163/history?d=1y"/>
    <n v="630"/>
    <x v="0"/>
  </r>
  <r>
    <x v="34"/>
    <s v="Chennai Express"/>
    <s v="TNA"/>
    <x v="165"/>
    <n v="11"/>
    <n v="90.14"/>
    <n v="6.85"/>
    <n v="3.01"/>
    <n v="0"/>
    <d v="2025-09-27T18:59:01"/>
    <s v="https://etrain.info/train/Chennai-Express-12163/history?d=1y"/>
    <n v="631"/>
    <x v="1"/>
  </r>
  <r>
    <x v="34"/>
    <s v="Chennai Express"/>
    <s v="KYN"/>
    <x v="166"/>
    <n v="24"/>
    <n v="42.74"/>
    <n v="53.15"/>
    <n v="4.1100000000000003"/>
    <n v="0"/>
    <d v="2025-09-27T18:59:04"/>
    <s v="https://etrain.info/train/Chennai-Express-12163/history?d=1y"/>
    <n v="632"/>
    <x v="2"/>
  </r>
  <r>
    <x v="34"/>
    <s v="Chennai Express"/>
    <s v="LNL"/>
    <x v="205"/>
    <n v="35"/>
    <n v="3.01"/>
    <n v="86.3"/>
    <n v="5.21"/>
    <n v="5.48"/>
    <d v="2025-09-27T18:59:06"/>
    <s v="https://etrain.info/train/Chennai-Express-12163/history?d=1y"/>
    <n v="633"/>
    <x v="3"/>
  </r>
  <r>
    <x v="34"/>
    <s v="Chennai Express"/>
    <s v="PUNE"/>
    <x v="206"/>
    <n v="38"/>
    <n v="3.56"/>
    <n v="87.67"/>
    <n v="8.77"/>
    <n v="0"/>
    <d v="2025-09-27T18:59:09"/>
    <s v="https://etrain.info/train/Chennai-Express-12163/history?d=1y"/>
    <n v="634"/>
    <x v="4"/>
  </r>
  <r>
    <x v="34"/>
    <s v="Chennai Express"/>
    <s v="SUR"/>
    <x v="207"/>
    <n v="31"/>
    <n v="32.880000000000003"/>
    <n v="58.63"/>
    <n v="8.49"/>
    <n v="0"/>
    <d v="2025-09-27T18:59:13"/>
    <s v="https://etrain.info/train/Chennai-Express-12163/history?d=1y"/>
    <n v="635"/>
    <x v="5"/>
  </r>
  <r>
    <x v="34"/>
    <s v="Chennai Express"/>
    <s v="KLBG"/>
    <x v="208"/>
    <m/>
    <n v="17.260000000000002"/>
    <n v="70.959999999999994"/>
    <n v="11.78"/>
    <n v="0"/>
    <d v="2025-09-27T18:59:16"/>
    <s v="https://etrain.info/train/Chennai-Express-12163/history?d=1y"/>
    <n v="636"/>
    <x v="6"/>
  </r>
  <r>
    <x v="34"/>
    <s v="Chennai Express"/>
    <s v="WADI"/>
    <x v="209"/>
    <n v="18"/>
    <n v="71.510000000000005"/>
    <n v="22.19"/>
    <n v="6.3"/>
    <n v="0"/>
    <d v="2025-09-27T18:59:19"/>
    <s v="https://etrain.info/train/Chennai-Express-12163/history?d=1y"/>
    <n v="637"/>
    <x v="7"/>
  </r>
  <r>
    <x v="34"/>
    <s v="Chennai Express"/>
    <s v="YG"/>
    <x v="210"/>
    <n v="23"/>
    <n v="59.18"/>
    <n v="33.97"/>
    <n v="6.85"/>
    <n v="0"/>
    <d v="2025-09-27T18:59:23"/>
    <s v="https://etrain.info/train/Chennai-Express-12163/history?d=1y"/>
    <n v="638"/>
    <x v="8"/>
  </r>
  <r>
    <x v="34"/>
    <s v="Chennai Express"/>
    <s v="SADP"/>
    <x v="211"/>
    <n v="24"/>
    <n v="55.62"/>
    <n v="37.81"/>
    <n v="6.58"/>
    <n v="0"/>
    <d v="2025-09-27T18:59:26"/>
    <s v="https://etrain.info/train/Chennai-Express-12163/history?d=1y"/>
    <n v="639"/>
    <x v="9"/>
  </r>
  <r>
    <x v="34"/>
    <s v="Chennai Express"/>
    <s v="RC"/>
    <x v="212"/>
    <m/>
    <n v="44.11"/>
    <n v="47.95"/>
    <n v="7.95"/>
    <n v="0"/>
    <d v="2025-09-27T18:59:29"/>
    <s v="https://etrain.info/train/Chennai-Express-12163/history?d=1y"/>
    <n v="640"/>
    <x v="10"/>
  </r>
  <r>
    <x v="34"/>
    <s v="Chennai Express"/>
    <s v="MALM"/>
    <x v="213"/>
    <n v="30"/>
    <n v="39.729999999999997"/>
    <n v="52.05"/>
    <n v="8.2200000000000006"/>
    <n v="0"/>
    <d v="2025-09-27T18:59:33"/>
    <s v="https://etrain.info/train/Chennai-Express-12163/history?d=1y"/>
    <n v="641"/>
    <x v="11"/>
  </r>
  <r>
    <x v="34"/>
    <s v="Chennai Express"/>
    <s v="AD"/>
    <x v="214"/>
    <n v="27"/>
    <n v="45.48"/>
    <n v="47.12"/>
    <n v="7.4"/>
    <n v="0"/>
    <d v="2025-09-27T18:59:36"/>
    <s v="https://etrain.info/train/Chennai-Express-12163/history?d=1y"/>
    <n v="642"/>
    <x v="12"/>
  </r>
  <r>
    <x v="34"/>
    <s v="Chennai Express"/>
    <s v="GTL"/>
    <x v="215"/>
    <n v="24"/>
    <n v="53.97"/>
    <n v="37.26"/>
    <n v="8.77"/>
    <n v="0"/>
    <d v="2025-09-27T18:59:40"/>
    <s v="https://etrain.info/train/Chennai-Express-12163/history?d=1y"/>
    <n v="643"/>
    <x v="13"/>
  </r>
  <r>
    <x v="34"/>
    <s v="Chennai Express"/>
    <s v="GY"/>
    <x v="216"/>
    <n v="25"/>
    <n v="56.99"/>
    <n v="34.79"/>
    <n v="8.2200000000000006"/>
    <n v="0"/>
    <d v="2025-09-27T18:59:44"/>
    <s v="https://etrain.info/train/Chennai-Express-12163/history?d=1y"/>
    <n v="644"/>
    <x v="14"/>
  </r>
  <r>
    <x v="34"/>
    <s v="Chennai Express"/>
    <s v="TU"/>
    <x v="217"/>
    <n v="23"/>
    <n v="59.18"/>
    <n v="33.700000000000003"/>
    <n v="7.12"/>
    <n v="0"/>
    <d v="2025-09-27T18:59:48"/>
    <s v="https://etrain.info/train/Chennai-Express-12163/history?d=1y"/>
    <n v="645"/>
    <x v="15"/>
  </r>
  <r>
    <x v="34"/>
    <s v="Chennai Express"/>
    <s v="YA"/>
    <x v="218"/>
    <n v="24"/>
    <n v="54.25"/>
    <n v="38.630000000000003"/>
    <n v="7.12"/>
    <n v="0"/>
    <d v="2025-09-27T18:59:52"/>
    <s v="https://etrain.info/train/Chennai-Express-12163/history?d=1y"/>
    <n v="646"/>
    <x v="16"/>
  </r>
  <r>
    <x v="34"/>
    <s v="Chennai Express"/>
    <s v="HX"/>
    <x v="219"/>
    <n v="22"/>
    <n v="60"/>
    <n v="33.15"/>
    <n v="6.85"/>
    <n v="0"/>
    <d v="2025-09-27T18:59:55"/>
    <s v="https://etrain.info/train/Chennai-Express-12163/history?d=1y"/>
    <n v="647"/>
    <x v="17"/>
  </r>
  <r>
    <x v="34"/>
    <s v="Chennai Express"/>
    <s v="RJP"/>
    <x v="220"/>
    <n v="28"/>
    <n v="45.21"/>
    <n v="47.12"/>
    <n v="7.67"/>
    <n v="0"/>
    <d v="2025-09-27T18:59:59"/>
    <s v="https://etrain.info/train/Chennai-Express-12163/history?d=1y"/>
    <n v="648"/>
    <x v="18"/>
  </r>
  <r>
    <x v="34"/>
    <s v="Chennai Express"/>
    <s v="KOU"/>
    <x v="221"/>
    <n v="45"/>
    <n v="0"/>
    <n v="3.01"/>
    <n v="0"/>
    <n v="96.99"/>
    <d v="2025-09-27T19:00:00"/>
    <s v="https://etrain.info/train/Chennai-Express-12163/history?d=1y"/>
    <n v="649"/>
    <x v="19"/>
  </r>
  <r>
    <x v="34"/>
    <s v="Chennai Express"/>
    <s v="RU"/>
    <x v="117"/>
    <n v="18"/>
    <n v="73.97"/>
    <n v="20.27"/>
    <n v="5.75"/>
    <n v="0.01"/>
    <d v="2025-09-27T19:00:02"/>
    <s v="https://etrain.info/train/Chennai-Express-12163/history?d=1y"/>
    <n v="650"/>
    <x v="20"/>
  </r>
  <r>
    <x v="34"/>
    <s v="Chennai Express"/>
    <s v="PUT"/>
    <x v="222"/>
    <n v="19"/>
    <n v="70.14"/>
    <n v="24.11"/>
    <n v="5.75"/>
    <n v="0"/>
    <d v="2025-09-27T19:00:03"/>
    <s v="https://etrain.info/train/Chennai-Express-12163/history?d=1y"/>
    <n v="651"/>
    <x v="21"/>
  </r>
  <r>
    <x v="34"/>
    <s v="Chennai Express"/>
    <s v="TRT"/>
    <x v="223"/>
    <n v="18"/>
    <n v="69.86"/>
    <n v="24.11"/>
    <n v="6.03"/>
    <n v="0"/>
    <d v="2025-09-27T19:00:07"/>
    <s v="https://etrain.info/train/Chennai-Express-12163/history?d=1y"/>
    <n v="652"/>
    <x v="22"/>
  </r>
  <r>
    <x v="34"/>
    <s v="Chennai Express"/>
    <s v="AJJ"/>
    <x v="2"/>
    <n v="33"/>
    <n v="26.58"/>
    <n v="66.3"/>
    <n v="7.12"/>
    <n v="0"/>
    <d v="2025-09-27T19:00:11"/>
    <s v="https://etrain.info/train/Chennai-Express-12163/history?d=1y"/>
    <n v="653"/>
    <x v="23"/>
  </r>
  <r>
    <x v="34"/>
    <s v="Chennai Express"/>
    <s v="PER"/>
    <x v="10"/>
    <n v="44"/>
    <n v="17.809999999999999"/>
    <n v="67.12"/>
    <n v="14.52"/>
    <n v="0.55000000000000004"/>
    <d v="2025-09-27T19:00:13"/>
    <s v="https://etrain.info/train/Chennai-Express-12163/history?d=1y"/>
    <n v="654"/>
    <x v="24"/>
  </r>
  <r>
    <x v="34"/>
    <s v="Chennai Express"/>
    <s v="MAS"/>
    <x v="0"/>
    <n v="6"/>
    <n v="89.59"/>
    <n v="4.93"/>
    <n v="4.93"/>
    <n v="0.55000000000000004"/>
    <d v="2025-09-27T19:00:14"/>
    <s v="https://etrain.info/train/Chennai-Express-12163/history?d=1y"/>
    <n v="655"/>
    <x v="25"/>
  </r>
  <r>
    <x v="35"/>
    <s v="Chennai Express"/>
    <s v="MAS"/>
    <x v="0"/>
    <n v="1"/>
    <n v="100"/>
    <n v="0"/>
    <n v="0"/>
    <n v="0"/>
    <d v="2025-09-27T19:00:17"/>
    <s v="https://etrain.info/train/Chennai-Express-12164/history?d=1y"/>
    <n v="656"/>
    <x v="0"/>
  </r>
  <r>
    <x v="35"/>
    <s v="Chennai Express"/>
    <s v="AJJ"/>
    <x v="2"/>
    <n v="13"/>
    <n v="73.33"/>
    <n v="26.67"/>
    <n v="0"/>
    <n v="0"/>
    <d v="2025-09-27T19:00:19"/>
    <s v="https://etrain.info/train/Chennai-Express-12164/history?d=1y"/>
    <n v="657"/>
    <x v="1"/>
  </r>
  <r>
    <x v="35"/>
    <s v="Chennai Express"/>
    <s v="TRT"/>
    <x v="223"/>
    <n v="12"/>
    <n v="76.67"/>
    <n v="23.33"/>
    <n v="0"/>
    <n v="0"/>
    <d v="2025-09-27T19:00:21"/>
    <s v="https://etrain.info/train/Chennai-Express-12164/history?d=1y"/>
    <n v="658"/>
    <x v="2"/>
  </r>
  <r>
    <x v="35"/>
    <s v="Chennai Express"/>
    <s v="PUT"/>
    <x v="222"/>
    <n v="19"/>
    <n v="36.67"/>
    <n v="63.33"/>
    <n v="0"/>
    <n v="0"/>
    <d v="2025-09-27T19:00:22"/>
    <s v="https://etrain.info/train/Chennai-Express-12164/history?d=1y"/>
    <n v="659"/>
    <x v="3"/>
  </r>
  <r>
    <x v="35"/>
    <s v="Chennai Express"/>
    <s v="RU"/>
    <x v="117"/>
    <n v="23"/>
    <n v="26.67"/>
    <n v="73.33"/>
    <n v="0"/>
    <n v="0"/>
    <d v="2025-09-27T19:00:24"/>
    <s v="https://etrain.info/train/Chennai-Express-12164/history?d=1y"/>
    <n v="660"/>
    <x v="4"/>
  </r>
  <r>
    <x v="35"/>
    <s v="Chennai Express"/>
    <s v="KOU"/>
    <x v="221"/>
    <n v="26"/>
    <n v="26.67"/>
    <n v="73.33"/>
    <n v="0"/>
    <n v="0"/>
    <d v="2025-09-27T19:00:26"/>
    <s v="https://etrain.info/train/Chennai-Express-12164/history?d=1y"/>
    <n v="661"/>
    <x v="5"/>
  </r>
  <r>
    <x v="35"/>
    <s v="Chennai Express"/>
    <s v="RJP"/>
    <x v="220"/>
    <n v="34"/>
    <n v="0"/>
    <n v="100"/>
    <n v="0"/>
    <n v="0"/>
    <d v="2025-09-27T19:00:27"/>
    <s v="https://etrain.info/train/Chennai-Express-12164/history?d=1y"/>
    <n v="662"/>
    <x v="6"/>
  </r>
  <r>
    <x v="35"/>
    <s v="Chennai Express"/>
    <s v="HX"/>
    <x v="219"/>
    <m/>
    <n v="16.670000000000002"/>
    <n v="83.33"/>
    <n v="0"/>
    <n v="0"/>
    <d v="2025-09-27T19:00:29"/>
    <s v="https://etrain.info/train/Chennai-Express-12164/history?d=1y"/>
    <n v="663"/>
    <x v="7"/>
  </r>
  <r>
    <x v="35"/>
    <s v="Chennai Express"/>
    <s v="YA"/>
    <x v="218"/>
    <n v="32"/>
    <n v="16.670000000000002"/>
    <n v="83.33"/>
    <n v="0"/>
    <n v="0"/>
    <d v="2025-09-27T19:00:31"/>
    <s v="https://etrain.info/train/Chennai-Express-12164/history?d=1y"/>
    <n v="664"/>
    <x v="8"/>
  </r>
  <r>
    <x v="35"/>
    <s v="Chennai Express"/>
    <s v="TU"/>
    <x v="217"/>
    <n v="30"/>
    <n v="13.33"/>
    <n v="86.67"/>
    <n v="0"/>
    <n v="0"/>
    <d v="2025-09-27T19:00:32"/>
    <s v="https://etrain.info/train/Chennai-Express-12164/history?d=1y"/>
    <n v="665"/>
    <x v="9"/>
  </r>
  <r>
    <x v="35"/>
    <s v="Chennai Express"/>
    <s v="GY"/>
    <x v="216"/>
    <n v="27"/>
    <n v="16.670000000000002"/>
    <n v="83.33"/>
    <n v="0"/>
    <n v="0"/>
    <d v="2025-09-27T19:00:34"/>
    <s v="https://etrain.info/train/Chennai-Express-12164/history?d=1y"/>
    <n v="666"/>
    <x v="10"/>
  </r>
  <r>
    <x v="35"/>
    <s v="Chennai Express"/>
    <s v="GTL"/>
    <x v="215"/>
    <n v="40"/>
    <n v="0"/>
    <n v="93.33"/>
    <n v="6.67"/>
    <n v="0"/>
    <d v="2025-09-27T19:00:38"/>
    <s v="https://etrain.info/train/Chennai-Express-12164/history?d=1y"/>
    <n v="667"/>
    <x v="11"/>
  </r>
  <r>
    <x v="35"/>
    <s v="Chennai Express"/>
    <s v="AD"/>
    <x v="214"/>
    <n v="39"/>
    <n v="0"/>
    <n v="90"/>
    <n v="10"/>
    <n v="0"/>
    <d v="2025-09-27T19:00:39"/>
    <s v="https://etrain.info/train/Chennai-Express-12164/history?d=1y"/>
    <n v="668"/>
    <x v="12"/>
  </r>
  <r>
    <x v="35"/>
    <s v="Chennai Express"/>
    <s v="MALM"/>
    <x v="213"/>
    <m/>
    <n v="0"/>
    <n v="90"/>
    <n v="10"/>
    <n v="0"/>
    <d v="2025-09-27T19:00:41"/>
    <s v="https://etrain.info/train/Chennai-Express-12164/history?d=1y"/>
    <n v="669"/>
    <x v="13"/>
  </r>
  <r>
    <x v="35"/>
    <s v="Chennai Express"/>
    <s v="RC"/>
    <x v="212"/>
    <n v="31"/>
    <n v="10"/>
    <n v="83.33"/>
    <n v="6.67"/>
    <n v="0"/>
    <d v="2025-09-27T19:00:45"/>
    <s v="https://etrain.info/train/Chennai-Express-12164/history?d=1y"/>
    <n v="670"/>
    <x v="14"/>
  </r>
  <r>
    <x v="35"/>
    <s v="Chennai Express"/>
    <s v="SADP"/>
    <x v="211"/>
    <n v="25"/>
    <n v="33.33"/>
    <n v="63.33"/>
    <n v="3.33"/>
    <n v="0.01"/>
    <d v="2025-09-27T19:00:47"/>
    <s v="https://etrain.info/train/Chennai-Express-12164/history?d=1y"/>
    <n v="671"/>
    <x v="15"/>
  </r>
  <r>
    <x v="35"/>
    <s v="Chennai Express"/>
    <s v="YG"/>
    <x v="210"/>
    <n v="25"/>
    <n v="40"/>
    <n v="53.33"/>
    <n v="6.67"/>
    <n v="0"/>
    <d v="2025-09-27T19:00:50"/>
    <s v="https://etrain.info/train/Chennai-Express-12164/history?d=1y"/>
    <n v="672"/>
    <x v="16"/>
  </r>
  <r>
    <x v="35"/>
    <s v="Chennai Express"/>
    <s v="WADI"/>
    <x v="209"/>
    <n v="8"/>
    <n v="90"/>
    <n v="6.67"/>
    <n v="3.33"/>
    <n v="0"/>
    <d v="2025-09-27T19:00:52"/>
    <s v="https://etrain.info/train/Chennai-Express-12164/history?d=1y"/>
    <n v="673"/>
    <x v="17"/>
  </r>
  <r>
    <x v="35"/>
    <s v="Chennai Express"/>
    <s v="KLBG"/>
    <x v="208"/>
    <n v="6"/>
    <n v="93.33"/>
    <n v="6.67"/>
    <n v="0"/>
    <n v="0"/>
    <d v="2025-09-27T19:00:56"/>
    <s v="https://etrain.info/train/Chennai-Express-12164/history?d=1y"/>
    <n v="674"/>
    <x v="18"/>
  </r>
  <r>
    <x v="35"/>
    <s v="Chennai Express"/>
    <s v="SUR"/>
    <x v="207"/>
    <n v="20"/>
    <n v="43.33"/>
    <n v="53.33"/>
    <n v="3.33"/>
    <n v="0.01"/>
    <d v="2025-09-27T19:00:57"/>
    <s v="https://etrain.info/train/Chennai-Express-12164/history?d=1y"/>
    <n v="675"/>
    <x v="19"/>
  </r>
  <r>
    <x v="35"/>
    <s v="Chennai Express"/>
    <s v="PUNE"/>
    <x v="206"/>
    <m/>
    <n v="46.67"/>
    <n v="50"/>
    <n v="3.33"/>
    <n v="0"/>
    <d v="2025-09-27T19:00:59"/>
    <s v="https://etrain.info/train/Chennai-Express-12164/history?d=1y"/>
    <n v="676"/>
    <x v="20"/>
  </r>
  <r>
    <x v="35"/>
    <s v="Chennai Express"/>
    <s v="LNL"/>
    <x v="205"/>
    <n v="34"/>
    <n v="10"/>
    <n v="73.33"/>
    <n v="16.670000000000002"/>
    <n v="0"/>
    <d v="2025-09-27T19:01:01"/>
    <s v="https://etrain.info/train/Chennai-Express-12164/history?d=1y"/>
    <n v="677"/>
    <x v="21"/>
  </r>
  <r>
    <x v="35"/>
    <s v="Chennai Express"/>
    <s v="KYN"/>
    <x v="166"/>
    <n v="51"/>
    <n v="0"/>
    <n v="80"/>
    <n v="20"/>
    <n v="0"/>
    <d v="2025-09-27T19:01:02"/>
    <s v="https://etrain.info/train/Chennai-Express-12164/history?d=1y"/>
    <n v="678"/>
    <x v="22"/>
  </r>
  <r>
    <x v="35"/>
    <s v="Chennai Express"/>
    <s v="TNA"/>
    <x v="165"/>
    <n v="54"/>
    <n v="0"/>
    <n v="76.67"/>
    <n v="23.33"/>
    <n v="0"/>
    <d v="2025-09-27T19:01:04"/>
    <s v="https://etrain.info/train/Chennai-Express-12164/history?d=1y"/>
    <n v="679"/>
    <x v="23"/>
  </r>
  <r>
    <x v="35"/>
    <s v="Chennai Express"/>
    <s v="LTT"/>
    <x v="204"/>
    <n v="9"/>
    <n v="80"/>
    <n v="16.670000000000002"/>
    <n v="3.33"/>
    <n v="0"/>
    <d v="2025-09-27T19:01:07"/>
    <s v="https://etrain.info/train/Chennai-Express-12164/history?d=1y"/>
    <n v="680"/>
    <x v="24"/>
  </r>
  <r>
    <x v="36"/>
    <s v="Coimbatore Intercity"/>
    <s v="MAS"/>
    <x v="0"/>
    <n v="2"/>
    <n v="100"/>
    <n v="0"/>
    <n v="0"/>
    <n v="0"/>
    <d v="2025-09-27T19:01:10"/>
    <s v="https://etrain.info/train/Coimbatore-Intercity-12679/history?d=1y"/>
    <n v="681"/>
    <x v="0"/>
  </r>
  <r>
    <x v="36"/>
    <s v="Coimbatore Intercity"/>
    <s v="AJJ"/>
    <x v="2"/>
    <n v="16"/>
    <n v="60"/>
    <n v="40"/>
    <n v="0"/>
    <n v="0"/>
    <d v="2025-09-27T19:01:12"/>
    <s v="https://etrain.info/train/Coimbatore-Intercity-12679/history?d=1y"/>
    <n v="682"/>
    <x v="1"/>
  </r>
  <r>
    <x v="36"/>
    <s v="Coimbatore Intercity"/>
    <s v="KPD"/>
    <x v="3"/>
    <n v="20"/>
    <n v="16.670000000000002"/>
    <n v="83.33"/>
    <n v="0"/>
    <n v="0"/>
    <d v="2025-09-27T19:01:13"/>
    <s v="https://etrain.info/train/Coimbatore-Intercity-12679/history?d=1y"/>
    <n v="683"/>
    <x v="2"/>
  </r>
  <r>
    <x v="36"/>
    <s v="Coimbatore Intercity"/>
    <s v="AB"/>
    <x v="224"/>
    <n v="26"/>
    <n v="6.67"/>
    <n v="93.33"/>
    <n v="0"/>
    <n v="0"/>
    <d v="2025-09-27T19:01:15"/>
    <s v="https://etrain.info/train/Coimbatore-Intercity-12679/history?d=1y"/>
    <n v="684"/>
    <x v="3"/>
  </r>
  <r>
    <x v="36"/>
    <s v="Coimbatore Intercity"/>
    <s v="JTJ"/>
    <x v="4"/>
    <n v="15"/>
    <n v="63.33"/>
    <n v="36.67"/>
    <n v="0"/>
    <n v="0"/>
    <d v="2025-09-27T19:01:16"/>
    <s v="https://etrain.info/train/Coimbatore-Intercity-12679/history?d=1y"/>
    <n v="685"/>
    <x v="4"/>
  </r>
  <r>
    <x v="36"/>
    <s v="Coimbatore Intercity"/>
    <s v="SLY"/>
    <x v="225"/>
    <n v="24"/>
    <n v="33.33"/>
    <n v="63.33"/>
    <n v="3.33"/>
    <n v="0.01"/>
    <d v="2025-09-27T19:01:18"/>
    <s v="https://etrain.info/train/Coimbatore-Intercity-12679/history?d=1y"/>
    <n v="686"/>
    <x v="5"/>
  </r>
  <r>
    <x v="36"/>
    <s v="Coimbatore Intercity"/>
    <s v="MAP"/>
    <x v="194"/>
    <n v="28"/>
    <n v="16.670000000000002"/>
    <n v="76.67"/>
    <n v="6.67"/>
    <n v="0"/>
    <d v="2025-09-27T19:01:21"/>
    <s v="https://etrain.info/train/Coimbatore-Intercity-12679/history?d=1y"/>
    <n v="687"/>
    <x v="6"/>
  </r>
  <r>
    <x v="36"/>
    <s v="Coimbatore Intercity"/>
    <s v="BQI"/>
    <x v="226"/>
    <n v="29"/>
    <n v="16.670000000000002"/>
    <n v="76.67"/>
    <n v="6.67"/>
    <n v="0"/>
    <d v="2025-09-27T19:01:25"/>
    <s v="https://etrain.info/train/Coimbatore-Intercity-12679/history?d=1y"/>
    <n v="688"/>
    <x v="7"/>
  </r>
  <r>
    <x v="36"/>
    <s v="Coimbatore Intercity"/>
    <s v="SA"/>
    <x v="5"/>
    <n v="22"/>
    <n v="36.67"/>
    <n v="56.67"/>
    <n v="6.67"/>
    <n v="0"/>
    <d v="2025-09-27T19:01:29"/>
    <s v="https://etrain.info/train/Coimbatore-Intercity-12679/history?d=1y"/>
    <n v="689"/>
    <x v="8"/>
  </r>
  <r>
    <x v="36"/>
    <s v="Coimbatore Intercity"/>
    <s v="ED"/>
    <x v="6"/>
    <n v="23"/>
    <n v="26.67"/>
    <n v="66.67"/>
    <n v="6.67"/>
    <n v="0"/>
    <d v="2025-09-27T19:01:32"/>
    <s v="https://etrain.info/train/Coimbatore-Intercity-12679/history?d=1y"/>
    <n v="690"/>
    <x v="9"/>
  </r>
  <r>
    <x v="36"/>
    <s v="Coimbatore Intercity"/>
    <s v="TUP"/>
    <x v="7"/>
    <n v="28"/>
    <n v="23.33"/>
    <n v="66.67"/>
    <n v="10"/>
    <n v="0"/>
    <d v="2025-09-27T19:01:34"/>
    <s v="https://etrain.info/train/Coimbatore-Intercity-12679/history?d=1y"/>
    <n v="691"/>
    <x v="10"/>
  </r>
  <r>
    <x v="36"/>
    <s v="Coimbatore Intercity"/>
    <s v="CBF"/>
    <x v="8"/>
    <n v="28"/>
    <n v="16.670000000000002"/>
    <n v="76.67"/>
    <n v="6.67"/>
    <n v="0"/>
    <d v="2025-09-27T19:01:37"/>
    <s v="https://etrain.info/train/Coimbatore-Intercity-12679/history?d=1y"/>
    <n v="692"/>
    <x v="11"/>
  </r>
  <r>
    <x v="36"/>
    <s v="Coimbatore Intercity"/>
    <s v="CBE"/>
    <x v="9"/>
    <n v="1"/>
    <n v="90"/>
    <n v="10"/>
    <n v="0"/>
    <n v="0"/>
    <d v="2025-09-27T19:01:39"/>
    <s v="https://etrain.info/train/Coimbatore-Intercity-12679/history?d=1y"/>
    <n v="693"/>
    <x v="12"/>
  </r>
  <r>
    <x v="37"/>
    <s v="Coimbatore Intercity"/>
    <s v="CBE"/>
    <x v="9"/>
    <n v="1"/>
    <n v="100"/>
    <n v="0"/>
    <n v="0"/>
    <n v="0"/>
    <d v="2025-09-27T19:01:42"/>
    <s v="https://etrain.info/train/Coimbatore-Intercity-12680/history?d=1y"/>
    <n v="694"/>
    <x v="0"/>
  </r>
  <r>
    <x v="37"/>
    <s v="Coimbatore Intercity"/>
    <s v="TUP"/>
    <x v="7"/>
    <n v="3"/>
    <n v="100"/>
    <n v="0"/>
    <n v="0"/>
    <n v="0"/>
    <d v="2025-09-27T19:01:43"/>
    <s v="https://etrain.info/train/Coimbatore-Intercity-12680/history?d=1y"/>
    <n v="695"/>
    <x v="1"/>
  </r>
  <r>
    <x v="37"/>
    <s v="Coimbatore Intercity"/>
    <s v="ED"/>
    <x v="6"/>
    <n v="6"/>
    <n v="96.67"/>
    <n v="3.33"/>
    <n v="0"/>
    <n v="0"/>
    <d v="2025-09-27T19:01:47"/>
    <s v="https://etrain.info/train/Coimbatore-Intercity-12680/history?d=1y"/>
    <n v="696"/>
    <x v="2"/>
  </r>
  <r>
    <x v="37"/>
    <s v="Coimbatore Intercity"/>
    <s v="SA"/>
    <x v="5"/>
    <n v="7"/>
    <n v="86.67"/>
    <n v="13.33"/>
    <n v="0"/>
    <n v="0"/>
    <d v="2025-09-27T19:01:50"/>
    <s v="https://etrain.info/train/Coimbatore-Intercity-12680/history?d=1y"/>
    <n v="697"/>
    <x v="3"/>
  </r>
  <r>
    <x v="37"/>
    <s v="Coimbatore Intercity"/>
    <s v="BQI"/>
    <x v="226"/>
    <n v="5"/>
    <n v="93.33"/>
    <n v="6.67"/>
    <n v="0"/>
    <n v="0"/>
    <d v="2025-09-27T19:01:54"/>
    <s v="https://etrain.info/train/Coimbatore-Intercity-12680/history?d=1y"/>
    <n v="698"/>
    <x v="4"/>
  </r>
  <r>
    <x v="37"/>
    <s v="Coimbatore Intercity"/>
    <s v="MAP"/>
    <x v="194"/>
    <n v="4"/>
    <n v="93.33"/>
    <n v="6.67"/>
    <n v="0"/>
    <n v="0"/>
    <d v="2025-09-27T19:01:58"/>
    <s v="https://etrain.info/train/Coimbatore-Intercity-12680/history?d=1y"/>
    <n v="699"/>
    <x v="5"/>
  </r>
  <r>
    <x v="37"/>
    <s v="Coimbatore Intercity"/>
    <s v="SLY"/>
    <x v="225"/>
    <n v="6"/>
    <n v="93.33"/>
    <n v="6.67"/>
    <n v="0"/>
    <n v="0"/>
    <d v="2025-09-27T19:02:02"/>
    <s v="https://etrain.info/train/Coimbatore-Intercity-12680/history?d=1y"/>
    <n v="700"/>
    <x v="6"/>
  </r>
  <r>
    <x v="37"/>
    <s v="Coimbatore Intercity"/>
    <s v="JTJ"/>
    <x v="4"/>
    <n v="4"/>
    <n v="93.33"/>
    <n v="6.67"/>
    <n v="0"/>
    <n v="0"/>
    <d v="2025-09-27T19:02:05"/>
    <s v="https://etrain.info/train/Coimbatore-Intercity-12680/history?d=1y"/>
    <n v="701"/>
    <x v="7"/>
  </r>
  <r>
    <x v="37"/>
    <s v="Coimbatore Intercity"/>
    <s v="AB"/>
    <x v="224"/>
    <n v="7"/>
    <n v="90"/>
    <n v="10"/>
    <n v="0"/>
    <n v="0"/>
    <d v="2025-09-27T19:02:07"/>
    <s v="https://etrain.info/train/Coimbatore-Intercity-12680/history?d=1y"/>
    <n v="702"/>
    <x v="8"/>
  </r>
  <r>
    <x v="37"/>
    <s v="Coimbatore Intercity"/>
    <s v="KPD"/>
    <x v="3"/>
    <n v="6"/>
    <n v="93.33"/>
    <n v="6.67"/>
    <n v="0"/>
    <n v="0"/>
    <d v="2025-09-27T19:02:10"/>
    <s v="https://etrain.info/train/Coimbatore-Intercity-12680/history?d=1y"/>
    <n v="703"/>
    <x v="9"/>
  </r>
  <r>
    <x v="37"/>
    <s v="Coimbatore Intercity"/>
    <s v="AJJ"/>
    <x v="2"/>
    <n v="6"/>
    <n v="96.67"/>
    <n v="3.33"/>
    <n v="0"/>
    <n v="0"/>
    <d v="2025-09-27T19:02:14"/>
    <s v="https://etrain.info/train/Coimbatore-Intercity-12680/history?d=1y"/>
    <n v="704"/>
    <x v="10"/>
  </r>
  <r>
    <x v="37"/>
    <s v="Coimbatore Intercity"/>
    <s v="PER"/>
    <x v="10"/>
    <n v="12"/>
    <n v="76.67"/>
    <n v="23.33"/>
    <n v="0"/>
    <n v="0"/>
    <d v="2025-09-27T19:02:16"/>
    <s v="https://etrain.info/train/Coimbatore-Intercity-12680/history?d=1y"/>
    <n v="705"/>
    <x v="11"/>
  </r>
  <r>
    <x v="37"/>
    <s v="Coimbatore Intercity"/>
    <s v="MAS"/>
    <x v="0"/>
    <n v="2"/>
    <n v="100"/>
    <n v="0"/>
    <n v="0"/>
    <n v="0"/>
    <d v="2025-09-27T19:02:17"/>
    <s v="https://etrain.info/train/Coimbatore-Intercity-12680/history?d=1y"/>
    <n v="706"/>
    <x v="12"/>
  </r>
  <r>
    <x v="38"/>
    <s v="Paschim Express"/>
    <s v="BDTS"/>
    <x v="138"/>
    <n v="1"/>
    <n v="22.74"/>
    <n v="0"/>
    <n v="0"/>
    <n v="77.260000000000005"/>
    <d v="2025-09-28T01:26:32"/>
    <s v="https://etrain.info/train/Paschim-Express-12925/history?d=1y"/>
    <n v="707"/>
    <x v="0"/>
  </r>
  <r>
    <x v="38"/>
    <s v="Paschim Express"/>
    <s v="MMCT"/>
    <x v="122"/>
    <n v="4"/>
    <n v="74.790000000000006"/>
    <n v="2.4700000000000002"/>
    <n v="0"/>
    <n v="22.74"/>
    <d v="2025-09-28T01:26:34"/>
    <s v="https://etrain.info/train/Paschim-Express-12925/history?d=1y"/>
    <n v="708"/>
    <x v="1"/>
  </r>
  <r>
    <x v="38"/>
    <s v="Paschim Express"/>
    <s v="BVI"/>
    <x v="123"/>
    <n v="16"/>
    <n v="56.99"/>
    <n v="43.01"/>
    <n v="0"/>
    <n v="0"/>
    <d v="2025-09-28T01:26:35"/>
    <s v="https://etrain.info/train/Paschim-Express-12925/history?d=1y"/>
    <n v="709"/>
    <x v="2"/>
  </r>
  <r>
    <x v="38"/>
    <s v="Paschim Express"/>
    <s v="DRD"/>
    <x v="227"/>
    <n v="19"/>
    <n v="44.11"/>
    <n v="55.07"/>
    <n v="0.82"/>
    <n v="0"/>
    <d v="2025-09-28T01:26:39"/>
    <s v="https://etrain.info/train/Paschim-Express-12925/history?d=1y"/>
    <n v="710"/>
    <x v="3"/>
  </r>
  <r>
    <x v="38"/>
    <s v="Paschim Express"/>
    <s v="VAPI"/>
    <x v="228"/>
    <n v="24"/>
    <n v="29.59"/>
    <n v="68.77"/>
    <n v="1.64"/>
    <n v="0"/>
    <d v="2025-09-28T01:26:42"/>
    <s v="https://etrain.info/train/Paschim-Express-12925/history?d=1y"/>
    <n v="711"/>
    <x v="4"/>
  </r>
  <r>
    <x v="38"/>
    <s v="Paschim Express"/>
    <s v="BL"/>
    <x v="229"/>
    <n v="30"/>
    <n v="14.52"/>
    <n v="82.19"/>
    <n v="3.29"/>
    <n v="0"/>
    <d v="2025-09-28T01:26:46"/>
    <s v="https://etrain.info/train/Paschim-Express-12925/history?d=1y"/>
    <n v="712"/>
    <x v="5"/>
  </r>
  <r>
    <x v="38"/>
    <s v="Paschim Express"/>
    <s v="NVS"/>
    <x v="230"/>
    <m/>
    <n v="14.79"/>
    <n v="82.74"/>
    <n v="2.4700000000000002"/>
    <n v="0"/>
    <d v="2025-09-28T01:26:49"/>
    <s v="https://etrain.info/train/Paschim-Express-12925/history?d=1y"/>
    <n v="713"/>
    <x v="6"/>
  </r>
  <r>
    <x v="38"/>
    <s v="Paschim Express"/>
    <s v="ST"/>
    <x v="124"/>
    <n v="10"/>
    <n v="89.04"/>
    <n v="9.59"/>
    <n v="1.37"/>
    <n v="0"/>
    <d v="2025-09-28T01:26:53"/>
    <s v="https://etrain.info/train/Paschim-Express-12925/history?d=1y"/>
    <n v="714"/>
    <x v="7"/>
  </r>
  <r>
    <x v="38"/>
    <s v="Paschim Express"/>
    <s v="BH"/>
    <x v="231"/>
    <n v="15"/>
    <n v="68.22"/>
    <n v="29.59"/>
    <n v="2.19"/>
    <n v="0"/>
    <d v="2025-09-28T01:26:56"/>
    <s v="https://etrain.info/train/Paschim-Express-12925/history?d=1y"/>
    <n v="715"/>
    <x v="8"/>
  </r>
  <r>
    <x v="38"/>
    <s v="Paschim Express"/>
    <s v="BRC"/>
    <x v="125"/>
    <m/>
    <n v="88.49"/>
    <n v="9.59"/>
    <n v="1.92"/>
    <n v="0"/>
    <d v="2025-09-28T01:26:59"/>
    <s v="https://etrain.info/train/Paschim-Express-12925/history?d=1y"/>
    <n v="716"/>
    <x v="9"/>
  </r>
  <r>
    <x v="38"/>
    <s v="Paschim Express"/>
    <s v="GDA"/>
    <x v="139"/>
    <m/>
    <n v="95.07"/>
    <n v="3.56"/>
    <n v="1.37"/>
    <n v="0"/>
    <d v="2025-09-28T01:27:02"/>
    <s v="https://etrain.info/train/Paschim-Express-12925/history?d=1y"/>
    <n v="717"/>
    <x v="10"/>
  </r>
  <r>
    <x v="38"/>
    <s v="Paschim Express"/>
    <s v="DHD"/>
    <x v="140"/>
    <m/>
    <n v="81.64"/>
    <n v="16.71"/>
    <n v="1.64"/>
    <n v="0"/>
    <d v="2025-09-28T01:27:05"/>
    <s v="https://etrain.info/train/Paschim-Express-12925/history?d=1y"/>
    <n v="718"/>
    <x v="11"/>
  </r>
  <r>
    <x v="38"/>
    <s v="Paschim Express"/>
    <s v="MGN"/>
    <x v="141"/>
    <n v="12"/>
    <n v="80.55"/>
    <n v="17.53"/>
    <n v="1.92"/>
    <n v="0"/>
    <d v="2025-09-28T01:27:09"/>
    <s v="https://etrain.info/train/Paschim-Express-12925/history?d=1y"/>
    <n v="719"/>
    <x v="12"/>
  </r>
  <r>
    <x v="38"/>
    <s v="Paschim Express"/>
    <s v="RTM"/>
    <x v="126"/>
    <n v="13"/>
    <n v="80.27"/>
    <n v="17.809999999999999"/>
    <n v="1.92"/>
    <n v="0"/>
    <d v="2025-09-28T01:27:13"/>
    <s v="https://etrain.info/train/Paschim-Express-12925/history?d=1y"/>
    <n v="720"/>
    <x v="13"/>
  </r>
  <r>
    <x v="38"/>
    <s v="Paschim Express"/>
    <s v="KUH"/>
    <x v="232"/>
    <n v="13"/>
    <n v="73.97"/>
    <n v="24.38"/>
    <n v="1.37"/>
    <n v="0.28000000000000003"/>
    <d v="2025-09-28T01:27:15"/>
    <s v="https://etrain.info/train/Paschim-Express-12925/history?d=1y"/>
    <n v="721"/>
    <x v="14"/>
  </r>
  <r>
    <x v="38"/>
    <s v="Paschim Express"/>
    <s v="NAD"/>
    <x v="127"/>
    <n v="7"/>
    <n v="96.99"/>
    <n v="1.64"/>
    <n v="1.37"/>
    <n v="0"/>
    <d v="2025-09-28T01:27:19"/>
    <s v="https://etrain.info/train/Paschim-Express-12925/history?d=1y"/>
    <n v="722"/>
    <x v="15"/>
  </r>
  <r>
    <x v="38"/>
    <s v="Paschim Express"/>
    <s v="SGZ"/>
    <x v="142"/>
    <m/>
    <n v="93.42"/>
    <n v="4.93"/>
    <n v="1.64"/>
    <n v="0"/>
    <d v="2025-09-28T01:27:23"/>
    <s v="https://etrain.info/train/Paschim-Express-12925/history?d=1y"/>
    <n v="723"/>
    <x v="16"/>
  </r>
  <r>
    <x v="38"/>
    <s v="Paschim Express"/>
    <s v="RMA"/>
    <x v="144"/>
    <n v="10"/>
    <n v="92.05"/>
    <n v="6.03"/>
    <n v="1.92"/>
    <n v="0"/>
    <d v="2025-09-28T01:27:27"/>
    <s v="https://etrain.info/train/Paschim-Express-12925/history?d=1y"/>
    <n v="724"/>
    <x v="17"/>
  </r>
  <r>
    <x v="38"/>
    <s v="Paschim Express"/>
    <s v="KOTA"/>
    <x v="128"/>
    <n v="11"/>
    <n v="85.48"/>
    <n v="12.05"/>
    <n v="2.4700000000000002"/>
    <n v="0"/>
    <d v="2025-09-28T01:27:30"/>
    <s v="https://etrain.info/train/Paschim-Express-12925/history?d=1y"/>
    <n v="725"/>
    <x v="18"/>
  </r>
  <r>
    <x v="38"/>
    <s v="Paschim Express"/>
    <s v="SWM"/>
    <x v="145"/>
    <n v="22"/>
    <n v="50.96"/>
    <n v="44.38"/>
    <n v="4.66"/>
    <n v="0"/>
    <d v="2025-09-28T01:27:34"/>
    <s v="https://etrain.info/train/Paschim-Express-12925/history?d=1y"/>
    <n v="726"/>
    <x v="19"/>
  </r>
  <r>
    <x v="38"/>
    <s v="Paschim Express"/>
    <s v="GGC"/>
    <x v="146"/>
    <n v="13"/>
    <n v="81.64"/>
    <n v="14.79"/>
    <n v="3.56"/>
    <n v="0.01"/>
    <d v="2025-09-28T01:27:36"/>
    <s v="https://etrain.info/train/Paschim-Express-12925/history?d=1y"/>
    <n v="727"/>
    <x v="20"/>
  </r>
  <r>
    <x v="38"/>
    <s v="Paschim Express"/>
    <s v="SMVJ"/>
    <x v="147"/>
    <m/>
    <n v="1.64"/>
    <n v="0.55000000000000004"/>
    <n v="0"/>
    <n v="97.81"/>
    <d v="2025-09-28T01:27:39"/>
    <s v="https://etrain.info/train/Paschim-Express-12925/history?d=1y"/>
    <n v="728"/>
    <x v="21"/>
  </r>
  <r>
    <x v="38"/>
    <s v="Paschim Express"/>
    <s v="HAN"/>
    <x v="148"/>
    <n v="17"/>
    <n v="70.41"/>
    <n v="25.48"/>
    <n v="4.1100000000000003"/>
    <n v="0"/>
    <d v="2025-09-28T01:27:43"/>
    <s v="https://etrain.info/train/Paschim-Express-12925/history?d=1y"/>
    <n v="729"/>
    <x v="22"/>
  </r>
  <r>
    <x v="38"/>
    <s v="Paschim Express"/>
    <s v="BXN"/>
    <x v="149"/>
    <n v="18"/>
    <n v="68.489999999999995"/>
    <n v="27.4"/>
    <n v="4.1100000000000003"/>
    <n v="0"/>
    <d v="2025-09-28T01:27:46"/>
    <s v="https://etrain.info/train/Paschim-Express-12925/history?d=1y"/>
    <n v="730"/>
    <x v="23"/>
  </r>
  <r>
    <x v="38"/>
    <s v="Paschim Express"/>
    <s v="BTE"/>
    <x v="150"/>
    <n v="19"/>
    <n v="55.89"/>
    <n v="41.37"/>
    <n v="2.74"/>
    <n v="0"/>
    <d v="2025-09-28T01:27:50"/>
    <s v="https://etrain.info/train/Paschim-Express-12925/history?d=1y"/>
    <n v="731"/>
    <x v="24"/>
  </r>
  <r>
    <x v="38"/>
    <s v="Paschim Express"/>
    <s v="MTJ"/>
    <x v="119"/>
    <n v="10"/>
    <n v="90.96"/>
    <n v="7.67"/>
    <n v="1.37"/>
    <n v="0"/>
    <d v="2025-09-28T01:27:54"/>
    <s v="https://etrain.info/train/Paschim-Express-12925/history?d=1y"/>
    <n v="732"/>
    <x v="25"/>
  </r>
  <r>
    <x v="38"/>
    <s v="Paschim Express"/>
    <s v="FDB"/>
    <x v="120"/>
    <m/>
    <n v="85.48"/>
    <n v="11.78"/>
    <n v="2.74"/>
    <n v="0"/>
    <d v="2025-09-28T01:27:57"/>
    <s v="https://etrain.info/train/Paschim-Express-12925/history?d=1y"/>
    <n v="733"/>
    <x v="26"/>
  </r>
  <r>
    <x v="38"/>
    <s v="Paschim Express"/>
    <s v="NZM"/>
    <x v="40"/>
    <n v="17"/>
    <n v="64.38"/>
    <n v="32.880000000000003"/>
    <n v="2.74"/>
    <n v="0"/>
    <d v="2025-09-28T01:28:00"/>
    <s v="https://etrain.info/train/Paschim-Express-12925/history?d=1y"/>
    <n v="734"/>
    <x v="27"/>
  </r>
  <r>
    <x v="38"/>
    <s v="Paschim Express"/>
    <s v="NDLS"/>
    <x v="41"/>
    <n v="13"/>
    <n v="80"/>
    <n v="16.989999999999998"/>
    <n v="3.01"/>
    <n v="0"/>
    <d v="2025-09-28T01:28:04"/>
    <s v="https://etrain.info/train/Paschim-Express-12925/history?d=1y"/>
    <n v="735"/>
    <x v="28"/>
  </r>
  <r>
    <x v="38"/>
    <s v="Paschim Express"/>
    <s v="SZM"/>
    <x v="233"/>
    <m/>
    <n v="67.12"/>
    <n v="29.86"/>
    <n v="3.01"/>
    <n v="0"/>
    <d v="2025-09-28T01:28:07"/>
    <s v="https://etrain.info/train/Paschim-Express-12925/history?d=1y"/>
    <n v="736"/>
    <x v="29"/>
  </r>
  <r>
    <x v="38"/>
    <s v="Paschim Express"/>
    <s v="SNP"/>
    <x v="234"/>
    <n v="21"/>
    <n v="53.97"/>
    <n v="43.01"/>
    <n v="3.01"/>
    <n v="0.01"/>
    <d v="2025-09-28T01:28:08"/>
    <s v="https://etrain.info/train/Paschim-Express-12925/history?d=1y"/>
    <n v="737"/>
    <x v="30"/>
  </r>
  <r>
    <x v="38"/>
    <s v="Paschim Express"/>
    <s v="BDMJ"/>
    <x v="235"/>
    <n v="35"/>
    <n v="2.19"/>
    <n v="6.03"/>
    <n v="0.55000000000000004"/>
    <n v="91.23"/>
    <d v="2025-09-28T01:28:10"/>
    <s v="https://etrain.info/train/Paschim-Express-12925/history?d=1y"/>
    <n v="738"/>
    <x v="31"/>
  </r>
  <r>
    <x v="38"/>
    <s v="Paschim Express"/>
    <s v="PNP"/>
    <x v="236"/>
    <n v="27"/>
    <n v="39.450000000000003"/>
    <n v="55.34"/>
    <n v="5.21"/>
    <n v="0"/>
    <d v="2025-09-28T01:28:14"/>
    <s v="https://etrain.info/train/Paschim-Express-12925/history?d=1y"/>
    <n v="739"/>
    <x v="32"/>
  </r>
  <r>
    <x v="38"/>
    <s v="Paschim Express"/>
    <s v="KUN"/>
    <x v="237"/>
    <n v="33"/>
    <n v="24.66"/>
    <n v="67.400000000000006"/>
    <n v="7.95"/>
    <n v="0"/>
    <d v="2025-09-28T01:28:17"/>
    <s v="https://etrain.info/train/Paschim-Express-12925/history?d=1y"/>
    <n v="740"/>
    <x v="33"/>
  </r>
  <r>
    <x v="38"/>
    <s v="Paschim Express"/>
    <s v="KKDE"/>
    <x v="238"/>
    <n v="38"/>
    <n v="10.96"/>
    <n v="79.45"/>
    <n v="9.59"/>
    <n v="0"/>
    <d v="2025-09-28T01:28:21"/>
    <s v="https://etrain.info/train/Paschim-Express-12925/history?d=1y"/>
    <n v="741"/>
    <x v="34"/>
  </r>
  <r>
    <x v="38"/>
    <s v="Paschim Express"/>
    <s v="UMB"/>
    <x v="158"/>
    <n v="13"/>
    <n v="83.56"/>
    <n v="13.15"/>
    <n v="3.29"/>
    <n v="0"/>
    <d v="2025-09-28T01:28:25"/>
    <s v="https://etrain.info/train/Paschim-Express-12925/history?d=1y"/>
    <n v="742"/>
    <x v="35"/>
  </r>
  <r>
    <x v="38"/>
    <s v="Paschim Express"/>
    <s v="CDG"/>
    <x v="239"/>
    <n v="15"/>
    <n v="75.069999999999993"/>
    <n v="21.37"/>
    <n v="3.56"/>
    <n v="0"/>
    <d v="2025-09-28T01:28:29"/>
    <s v="https://etrain.info/train/Paschim-Express-12925/history?d=1y"/>
    <n v="743"/>
    <x v="36"/>
  </r>
  <r>
    <x v="38"/>
    <s v="Paschim Express"/>
    <s v="SASN"/>
    <x v="240"/>
    <n v="22"/>
    <n v="49.59"/>
    <n v="46.3"/>
    <n v="4.1100000000000003"/>
    <n v="0"/>
    <d v="2025-09-28T01:28:32"/>
    <s v="https://etrain.info/train/Paschim-Express-12925/history?d=1y"/>
    <n v="744"/>
    <x v="37"/>
  </r>
  <r>
    <x v="38"/>
    <s v="Paschim Express"/>
    <s v="LDH"/>
    <x v="159"/>
    <n v="14"/>
    <n v="84.66"/>
    <n v="11.23"/>
    <n v="4.1100000000000003"/>
    <n v="0"/>
    <d v="2025-09-28T01:28:36"/>
    <s v="https://etrain.info/train/Paschim-Express-12925/history?d=1y"/>
    <n v="745"/>
    <x v="38"/>
  </r>
  <r>
    <x v="38"/>
    <s v="Paschim Express"/>
    <s v="PGW"/>
    <x v="241"/>
    <n v="19"/>
    <n v="71.23"/>
    <n v="21.92"/>
    <n v="6.85"/>
    <n v="0"/>
    <d v="2025-09-28T01:28:40"/>
    <s v="https://etrain.info/train/Paschim-Express-12925/history?d=1y"/>
    <n v="746"/>
    <x v="39"/>
  </r>
  <r>
    <x v="38"/>
    <s v="Paschim Express"/>
    <s v="JRC"/>
    <x v="242"/>
    <n v="20"/>
    <n v="65.209999999999994"/>
    <n v="27.95"/>
    <n v="6.85"/>
    <n v="0"/>
    <d v="2025-09-28T01:28:44"/>
    <s v="https://etrain.info/train/Paschim-Express-12925/history?d=1y"/>
    <n v="747"/>
    <x v="40"/>
  </r>
  <r>
    <x v="38"/>
    <s v="Paschim Express"/>
    <s v="JUC"/>
    <x v="160"/>
    <n v="19"/>
    <n v="68.489999999999995"/>
    <n v="25.21"/>
    <n v="6.3"/>
    <n v="0"/>
    <d v="2025-09-28T01:28:48"/>
    <s v="https://etrain.info/train/Paschim-Express-12925/history?d=1y"/>
    <n v="748"/>
    <x v="41"/>
  </r>
  <r>
    <x v="38"/>
    <s v="Paschim Express"/>
    <s v="BEAS"/>
    <x v="161"/>
    <n v="19"/>
    <n v="70.680000000000007"/>
    <n v="21.64"/>
    <n v="7.67"/>
    <n v="0.01"/>
    <d v="2025-09-28T01:28:49"/>
    <s v="https://etrain.info/train/Paschim-Express-12925/history?d=1y"/>
    <n v="749"/>
    <x v="42"/>
  </r>
  <r>
    <x v="38"/>
    <s v="Paschim Express"/>
    <s v="ASR"/>
    <x v="162"/>
    <n v="16"/>
    <n v="78.900000000000006"/>
    <n v="13.42"/>
    <n v="7.67"/>
    <n v="0.01"/>
    <d v="2025-09-28T01:28:51"/>
    <s v="https://etrain.info/train/Paschim-Express-12925/history?d=1y"/>
    <n v="750"/>
    <x v="43"/>
  </r>
  <r>
    <x v="39"/>
    <s v="Paschim Express"/>
    <s v="ASR"/>
    <x v="162"/>
    <n v="9"/>
    <n v="94.79"/>
    <n v="3.29"/>
    <n v="1.92"/>
    <n v="0"/>
    <d v="2025-09-28T01:29:05"/>
    <s v="https://etrain.info/train/Paschim-Express-12926/history?d=1y"/>
    <n v="751"/>
    <x v="0"/>
  </r>
  <r>
    <x v="39"/>
    <s v="Paschim Express"/>
    <s v="BEAS"/>
    <x v="161"/>
    <n v="22"/>
    <n v="51.78"/>
    <n v="46.3"/>
    <n v="1.92"/>
    <n v="0"/>
    <d v="2025-09-28T01:29:09"/>
    <s v="https://etrain.info/train/Paschim-Express-12926/history?d=1y"/>
    <n v="752"/>
    <x v="1"/>
  </r>
  <r>
    <x v="39"/>
    <s v="Paschim Express"/>
    <s v="JUC"/>
    <x v="160"/>
    <n v="17"/>
    <n v="71.23"/>
    <n v="26.03"/>
    <n v="2.74"/>
    <n v="0"/>
    <d v="2025-09-28T01:29:13"/>
    <s v="https://etrain.info/train/Paschim-Express-12926/history?d=1y"/>
    <n v="753"/>
    <x v="2"/>
  </r>
  <r>
    <x v="39"/>
    <s v="Paschim Express"/>
    <s v="JRC"/>
    <x v="242"/>
    <n v="20"/>
    <n v="60.27"/>
    <n v="36.71"/>
    <n v="3.01"/>
    <n v="0.01"/>
    <d v="2025-09-28T01:29:15"/>
    <s v="https://etrain.info/train/Paschim-Express-12926/history?d=1y"/>
    <n v="754"/>
    <x v="3"/>
  </r>
  <r>
    <x v="39"/>
    <s v="Paschim Express"/>
    <s v="PGW"/>
    <x v="241"/>
    <m/>
    <n v="46.85"/>
    <n v="49.86"/>
    <n v="3.29"/>
    <n v="0"/>
    <d v="2025-09-28T01:29:17"/>
    <s v="https://etrain.info/train/Paschim-Express-12926/history?d=1y"/>
    <n v="755"/>
    <x v="4"/>
  </r>
  <r>
    <x v="39"/>
    <s v="Paschim Express"/>
    <s v="LDH"/>
    <x v="159"/>
    <n v="22"/>
    <n v="55.89"/>
    <n v="39.729999999999997"/>
    <n v="4.38"/>
    <n v="0"/>
    <d v="2025-09-28T01:29:21"/>
    <s v="https://etrain.info/train/Paschim-Express-12926/history?d=1y"/>
    <n v="756"/>
    <x v="5"/>
  </r>
  <r>
    <x v="39"/>
    <s v="Paschim Express"/>
    <s v="SASN"/>
    <x v="240"/>
    <n v="12"/>
    <n v="91.78"/>
    <n v="5.75"/>
    <n v="2.4700000000000002"/>
    <n v="0"/>
    <d v="2025-09-28T01:29:25"/>
    <s v="https://etrain.info/train/Paschim-Express-12926/history?d=1y"/>
    <n v="757"/>
    <x v="6"/>
  </r>
  <r>
    <x v="39"/>
    <s v="Paschim Express"/>
    <s v="CDG"/>
    <x v="239"/>
    <n v="11"/>
    <n v="94.79"/>
    <n v="2.19"/>
    <n v="3.01"/>
    <n v="0.01"/>
    <d v="2025-09-28T01:29:27"/>
    <s v="https://etrain.info/train/Paschim-Express-12926/history?d=1y"/>
    <n v="758"/>
    <x v="7"/>
  </r>
  <r>
    <x v="39"/>
    <s v="Paschim Express"/>
    <s v="UMB"/>
    <x v="158"/>
    <n v="11"/>
    <n v="92.33"/>
    <n v="4.38"/>
    <n v="3.29"/>
    <n v="0"/>
    <d v="2025-09-28T01:29:30"/>
    <s v="https://etrain.info/train/Paschim-Express-12926/history?d=1y"/>
    <n v="759"/>
    <x v="8"/>
  </r>
  <r>
    <x v="39"/>
    <s v="Paschim Express"/>
    <s v="KKDE"/>
    <x v="238"/>
    <n v="20"/>
    <n v="71.78"/>
    <n v="24.38"/>
    <n v="3.84"/>
    <n v="0"/>
    <d v="2025-09-28T01:29:32"/>
    <s v="https://etrain.info/train/Paschim-Express-12926/history?d=1y"/>
    <n v="760"/>
    <x v="9"/>
  </r>
  <r>
    <x v="39"/>
    <s v="Paschim Express"/>
    <s v="KUN"/>
    <x v="237"/>
    <n v="22"/>
    <n v="60.82"/>
    <n v="35.340000000000003"/>
    <n v="3.56"/>
    <n v="0.28000000000000003"/>
    <d v="2025-09-28T01:29:34"/>
    <s v="https://etrain.info/train/Paschim-Express-12926/history?d=1y"/>
    <n v="761"/>
    <x v="10"/>
  </r>
  <r>
    <x v="39"/>
    <s v="Paschim Express"/>
    <s v="PNP"/>
    <x v="236"/>
    <n v="25"/>
    <n v="50.41"/>
    <n v="45.48"/>
    <n v="4.1100000000000003"/>
    <n v="0"/>
    <d v="2025-09-28T01:29:38"/>
    <s v="https://etrain.info/train/Paschim-Express-12926/history?d=1y"/>
    <n v="762"/>
    <x v="11"/>
  </r>
  <r>
    <x v="39"/>
    <s v="Paschim Express"/>
    <s v="BDMJ"/>
    <x v="235"/>
    <n v="19"/>
    <n v="4.1100000000000003"/>
    <n v="4.38"/>
    <n v="0.27"/>
    <n v="91.24"/>
    <d v="2025-09-28T01:29:39"/>
    <s v="https://etrain.info/train/Paschim-Express-12926/history?d=1y"/>
    <n v="763"/>
    <x v="12"/>
  </r>
  <r>
    <x v="39"/>
    <s v="Paschim Express"/>
    <s v="SNP"/>
    <x v="234"/>
    <n v="28"/>
    <n v="41.92"/>
    <n v="53.42"/>
    <n v="4.66"/>
    <n v="0"/>
    <d v="2025-09-28T01:29:43"/>
    <s v="https://etrain.info/train/Paschim-Express-12926/history?d=1y"/>
    <n v="764"/>
    <x v="13"/>
  </r>
  <r>
    <x v="39"/>
    <s v="Paschim Express"/>
    <s v="SZM"/>
    <x v="233"/>
    <n v="34"/>
    <n v="23.01"/>
    <n v="70.959999999999994"/>
    <n v="6.03"/>
    <n v="0"/>
    <d v="2025-09-28T01:29:46"/>
    <s v="https://etrain.info/train/Paschim-Express-12926/history?d=1y"/>
    <n v="765"/>
    <x v="14"/>
  </r>
  <r>
    <x v="39"/>
    <s v="Paschim Express"/>
    <s v="NDLS"/>
    <x v="41"/>
    <n v="21"/>
    <n v="66.58"/>
    <n v="28.49"/>
    <n v="4.93"/>
    <n v="0"/>
    <d v="2025-09-28T01:29:50"/>
    <s v="https://etrain.info/train/Paschim-Express-12926/history?d=1y"/>
    <n v="766"/>
    <x v="15"/>
  </r>
  <r>
    <x v="39"/>
    <s v="Paschim Express"/>
    <s v="FDB"/>
    <x v="120"/>
    <n v="48"/>
    <n v="6.85"/>
    <n v="84.38"/>
    <n v="8.77"/>
    <n v="0"/>
    <d v="2025-09-28T01:29:54"/>
    <s v="https://etrain.info/train/Paschim-Express-12926/history?d=1y"/>
    <n v="767"/>
    <x v="16"/>
  </r>
  <r>
    <x v="39"/>
    <s v="Paschim Express"/>
    <s v="MTJ"/>
    <x v="119"/>
    <n v="18"/>
    <n v="84.11"/>
    <n v="10.68"/>
    <n v="5.21"/>
    <n v="0"/>
    <d v="2025-09-28T01:29:58"/>
    <s v="https://etrain.info/train/Paschim-Express-12926/history?d=1y"/>
    <n v="768"/>
    <x v="17"/>
  </r>
  <r>
    <x v="39"/>
    <s v="Paschim Express"/>
    <s v="BTE"/>
    <x v="150"/>
    <m/>
    <n v="79.45"/>
    <n v="15.07"/>
    <n v="5.48"/>
    <n v="0"/>
    <d v="2025-09-28T01:30:00"/>
    <s v="https://etrain.info/train/Paschim-Express-12926/history?d=1y"/>
    <n v="769"/>
    <x v="18"/>
  </r>
  <r>
    <x v="39"/>
    <s v="Paschim Express"/>
    <s v="BXN"/>
    <x v="149"/>
    <n v="18"/>
    <n v="83.29"/>
    <n v="11.23"/>
    <n v="5.48"/>
    <n v="0"/>
    <d v="2025-09-28T01:30:05"/>
    <s v="https://etrain.info/train/Paschim-Express-12926/history?d=1y"/>
    <n v="770"/>
    <x v="19"/>
  </r>
  <r>
    <x v="39"/>
    <s v="Paschim Express"/>
    <s v="HAN"/>
    <x v="148"/>
    <m/>
    <n v="78.63"/>
    <n v="15.34"/>
    <n v="6.03"/>
    <n v="0"/>
    <d v="2025-09-28T01:30:08"/>
    <s v="https://etrain.info/train/Paschim-Express-12926/history?d=1y"/>
    <n v="771"/>
    <x v="20"/>
  </r>
  <r>
    <x v="39"/>
    <s v="Paschim Express"/>
    <s v="SMVJ"/>
    <x v="147"/>
    <n v="14"/>
    <n v="1.64"/>
    <n v="0.55000000000000004"/>
    <n v="0"/>
    <n v="97.81"/>
    <d v="2025-09-28T01:30:09"/>
    <s v="https://etrain.info/train/Paschim-Express-12926/history?d=1y"/>
    <n v="772"/>
    <x v="21"/>
  </r>
  <r>
    <x v="39"/>
    <s v="Paschim Express"/>
    <s v="GGC"/>
    <x v="146"/>
    <n v="22"/>
    <n v="72.05"/>
    <n v="21.64"/>
    <n v="6.3"/>
    <n v="0.01"/>
    <d v="2025-09-28T01:30:11"/>
    <s v="https://etrain.info/train/Paschim-Express-12926/history?d=1y"/>
    <n v="773"/>
    <x v="22"/>
  </r>
  <r>
    <x v="39"/>
    <s v="Paschim Express"/>
    <s v="SWM"/>
    <x v="145"/>
    <n v="24"/>
    <n v="61.64"/>
    <n v="31.51"/>
    <n v="6.85"/>
    <n v="0"/>
    <d v="2025-09-28T01:30:15"/>
    <s v="https://etrain.info/train/Paschim-Express-12926/history?d=1y"/>
    <n v="774"/>
    <x v="23"/>
  </r>
  <r>
    <x v="39"/>
    <s v="Paschim Express"/>
    <s v="KOTA"/>
    <x v="128"/>
    <n v="29"/>
    <n v="53.7"/>
    <n v="36.71"/>
    <n v="9.59"/>
    <n v="0"/>
    <d v="2025-09-28T01:30:19"/>
    <s v="https://etrain.info/train/Paschim-Express-12926/history?d=1y"/>
    <n v="775"/>
    <x v="24"/>
  </r>
  <r>
    <x v="39"/>
    <s v="Paschim Express"/>
    <s v="RMA"/>
    <x v="144"/>
    <n v="29"/>
    <n v="51.51"/>
    <n v="39.450000000000003"/>
    <n v="9.0399999999999991"/>
    <n v="0"/>
    <d v="2025-09-28T01:30:20"/>
    <s v="https://etrain.info/train/Paschim-Express-12926/history?d=1y"/>
    <n v="776"/>
    <x v="25"/>
  </r>
  <r>
    <x v="39"/>
    <s v="Paschim Express"/>
    <s v="SGZ"/>
    <x v="142"/>
    <n v="26"/>
    <n v="56.71"/>
    <n v="36.159999999999997"/>
    <n v="7.12"/>
    <n v="0.01"/>
    <d v="2025-09-28T01:30:21"/>
    <s v="https://etrain.info/train/Paschim-Express-12926/history?d=1y"/>
    <n v="777"/>
    <x v="26"/>
  </r>
  <r>
    <x v="39"/>
    <s v="Paschim Express"/>
    <s v="NAD"/>
    <x v="127"/>
    <n v="13"/>
    <n v="93.7"/>
    <n v="2.74"/>
    <n v="3.56"/>
    <n v="0"/>
    <d v="2025-09-28T01:30:25"/>
    <s v="https://etrain.info/train/Paschim-Express-12926/history?d=1y"/>
    <n v="778"/>
    <x v="27"/>
  </r>
  <r>
    <x v="39"/>
    <s v="Paschim Express"/>
    <s v="KUH"/>
    <x v="232"/>
    <n v="17"/>
    <n v="89.04"/>
    <n v="7.4"/>
    <n v="3.56"/>
    <n v="0"/>
    <d v="2025-09-28T01:30:29"/>
    <s v="https://etrain.info/train/Paschim-Express-12926/history?d=1y"/>
    <n v="779"/>
    <x v="28"/>
  </r>
  <r>
    <x v="39"/>
    <s v="Paschim Express"/>
    <s v="RTM"/>
    <x v="126"/>
    <n v="15"/>
    <n v="88.77"/>
    <n v="7.4"/>
    <n v="3.84"/>
    <n v="0"/>
    <d v="2025-09-28T01:30:33"/>
    <s v="https://etrain.info/train/Paschim-Express-12926/history?d=1y"/>
    <n v="780"/>
    <x v="29"/>
  </r>
  <r>
    <x v="39"/>
    <s v="Paschim Express"/>
    <s v="MGN"/>
    <x v="141"/>
    <n v="18"/>
    <n v="83.84"/>
    <n v="12.05"/>
    <n v="4.1100000000000003"/>
    <n v="0"/>
    <d v="2025-09-28T01:30:37"/>
    <s v="https://etrain.info/train/Paschim-Express-12926/history?d=1y"/>
    <n v="781"/>
    <x v="30"/>
  </r>
  <r>
    <x v="39"/>
    <s v="Paschim Express"/>
    <s v="DHD"/>
    <x v="140"/>
    <n v="18"/>
    <n v="81.37"/>
    <n v="14.52"/>
    <n v="4.1100000000000003"/>
    <n v="0"/>
    <d v="2025-09-28T01:30:40"/>
    <s v="https://etrain.info/train/Paschim-Express-12926/history?d=1y"/>
    <n v="782"/>
    <x v="31"/>
  </r>
  <r>
    <x v="39"/>
    <s v="Paschim Express"/>
    <s v="GDA"/>
    <x v="139"/>
    <n v="14"/>
    <n v="93.42"/>
    <n v="3.29"/>
    <n v="3.29"/>
    <n v="0"/>
    <d v="2025-09-28T01:30:44"/>
    <s v="https://etrain.info/train/Paschim-Express-12926/history?d=1y"/>
    <n v="783"/>
    <x v="32"/>
  </r>
  <r>
    <x v="39"/>
    <s v="Paschim Express"/>
    <s v="BRC"/>
    <x v="125"/>
    <m/>
    <n v="87.67"/>
    <n v="8.77"/>
    <n v="3.56"/>
    <n v="0"/>
    <d v="2025-09-28T01:30:47"/>
    <s v="https://etrain.info/train/Paschim-Express-12926/history?d=1y"/>
    <n v="784"/>
    <x v="33"/>
  </r>
  <r>
    <x v="39"/>
    <s v="Paschim Express"/>
    <s v="BH"/>
    <x v="231"/>
    <n v="18"/>
    <n v="82.19"/>
    <n v="14.25"/>
    <n v="3.56"/>
    <n v="0"/>
    <d v="2025-09-28T01:30:50"/>
    <s v="https://etrain.info/train/Paschim-Express-12926/history?d=1y"/>
    <n v="785"/>
    <x v="34"/>
  </r>
  <r>
    <x v="39"/>
    <s v="Paschim Express"/>
    <s v="ST"/>
    <x v="124"/>
    <n v="15"/>
    <n v="86.58"/>
    <n v="9.32"/>
    <n v="4.1100000000000003"/>
    <n v="0"/>
    <d v="2025-09-28T01:30:54"/>
    <s v="https://etrain.info/train/Paschim-Express-12926/history?d=1y"/>
    <n v="786"/>
    <x v="35"/>
  </r>
  <r>
    <x v="39"/>
    <s v="Paschim Express"/>
    <s v="NVS"/>
    <x v="230"/>
    <n v="17"/>
    <n v="81.64"/>
    <n v="13.7"/>
    <n v="4.66"/>
    <n v="0"/>
    <d v="2025-09-28T01:30:56"/>
    <s v="https://etrain.info/train/Paschim-Express-12926/history?d=1y"/>
    <n v="787"/>
    <x v="36"/>
  </r>
  <r>
    <x v="39"/>
    <s v="Paschim Express"/>
    <s v="BL"/>
    <x v="229"/>
    <n v="25"/>
    <n v="49.59"/>
    <n v="44.66"/>
    <n v="5.75"/>
    <n v="0"/>
    <d v="2025-09-28T01:30:58"/>
    <s v="https://etrain.info/train/Paschim-Express-12926/history?d=1y"/>
    <n v="788"/>
    <x v="37"/>
  </r>
  <r>
    <x v="39"/>
    <s v="Paschim Express"/>
    <s v="VAPI"/>
    <x v="228"/>
    <n v="24"/>
    <n v="58.36"/>
    <n v="34.520000000000003"/>
    <n v="7.12"/>
    <n v="0"/>
    <d v="2025-09-28T01:31:01"/>
    <s v="https://etrain.info/train/Paschim-Express-12926/history?d=1y"/>
    <n v="789"/>
    <x v="38"/>
  </r>
  <r>
    <x v="39"/>
    <s v="Paschim Express"/>
    <s v="DRD"/>
    <x v="227"/>
    <n v="28"/>
    <n v="47.95"/>
    <n v="43.84"/>
    <n v="8.2200000000000006"/>
    <n v="0"/>
    <d v="2025-09-28T01:31:05"/>
    <s v="https://etrain.info/train/Paschim-Express-12926/history?d=1y"/>
    <n v="790"/>
    <x v="39"/>
  </r>
  <r>
    <x v="39"/>
    <s v="Paschim Express"/>
    <s v="BVI"/>
    <x v="123"/>
    <n v="29"/>
    <n v="40.549999999999997"/>
    <n v="51.23"/>
    <n v="8.2200000000000006"/>
    <n v="0"/>
    <d v="2025-09-28T01:31:09"/>
    <s v="https://etrain.info/train/Paschim-Express-12926/history?d=1y"/>
    <n v="791"/>
    <x v="40"/>
  </r>
  <r>
    <x v="39"/>
    <s v="Paschim Express"/>
    <s v="BDTS"/>
    <x v="138"/>
    <n v="5"/>
    <n v="20.55"/>
    <n v="0.55000000000000004"/>
    <n v="1.1000000000000001"/>
    <n v="77.8"/>
    <d v="2025-09-28T01:31:10"/>
    <s v="https://etrain.info/train/Paschim-Express-12926/history?d=1y"/>
    <n v="792"/>
    <x v="41"/>
  </r>
  <r>
    <x v="39"/>
    <s v="Paschim Express"/>
    <s v="MMCT"/>
    <x v="122"/>
    <n v="16"/>
    <n v="63.56"/>
    <n v="7.12"/>
    <n v="6.03"/>
    <n v="23.29"/>
    <d v="2025-09-28T01:31:12"/>
    <s v="https://etrain.info/train/Paschim-Express-12926/history?d=1y"/>
    <n v="793"/>
    <x v="42"/>
  </r>
  <r>
    <x v="40"/>
    <s v="Punjab Mail"/>
    <s v="CSMT"/>
    <x v="163"/>
    <n v="12"/>
    <n v="96.16"/>
    <n v="0.82"/>
    <n v="3.01"/>
    <n v="0.01"/>
    <d v="2025-09-28T01:31:21"/>
    <s v="https://etrain.info/train/Punjab-Mail-12137/history?d=1y"/>
    <n v="794"/>
    <x v="0"/>
  </r>
  <r>
    <x v="40"/>
    <s v="Punjab Mail"/>
    <s v="DR"/>
    <x v="164"/>
    <n v="17"/>
    <n v="94.52"/>
    <n v="2.4700000000000002"/>
    <n v="3.01"/>
    <n v="0"/>
    <d v="2025-09-28T01:31:25"/>
    <s v="https://etrain.info/train/Punjab-Mail-12137/history?d=1y"/>
    <n v="795"/>
    <x v="1"/>
  </r>
  <r>
    <x v="40"/>
    <s v="Punjab Mail"/>
    <s v="KYN"/>
    <x v="166"/>
    <n v="29"/>
    <n v="22.19"/>
    <n v="73.97"/>
    <n v="3.56"/>
    <n v="0.28000000000000003"/>
    <d v="2025-09-28T01:31:27"/>
    <s v="https://etrain.info/train/Punjab-Mail-12137/history?d=1y"/>
    <n v="796"/>
    <x v="2"/>
  </r>
  <r>
    <x v="40"/>
    <s v="Punjab Mail"/>
    <s v="KSRA"/>
    <x v="167"/>
    <n v="27"/>
    <n v="39.729999999999997"/>
    <n v="55.89"/>
    <n v="3.84"/>
    <n v="0.54"/>
    <d v="2025-09-28T01:31:28"/>
    <s v="https://etrain.info/train/Punjab-Mail-12137/history?d=1y"/>
    <n v="797"/>
    <x v="3"/>
  </r>
  <r>
    <x v="40"/>
    <s v="Punjab Mail"/>
    <s v="NK"/>
    <x v="169"/>
    <m/>
    <n v="26.3"/>
    <n v="67.67"/>
    <n v="5.48"/>
    <n v="0.55000000000000004"/>
    <d v="2025-09-28T01:31:31"/>
    <s v="https://etrain.info/train/Punjab-Mail-12137/history?d=1y"/>
    <n v="798"/>
    <x v="4"/>
  </r>
  <r>
    <x v="40"/>
    <s v="Punjab Mail"/>
    <s v="MMR"/>
    <x v="170"/>
    <n v="33"/>
    <n v="28.49"/>
    <n v="66.03"/>
    <n v="5.21"/>
    <n v="0.27"/>
    <d v="2025-09-28T01:31:33"/>
    <s v="https://etrain.info/train/Punjab-Mail-12137/history?d=1y"/>
    <n v="799"/>
    <x v="5"/>
  </r>
  <r>
    <x v="40"/>
    <s v="Punjab Mail"/>
    <s v="CSN"/>
    <x v="243"/>
    <n v="40"/>
    <n v="12.6"/>
    <n v="81.099999999999994"/>
    <n v="6.03"/>
    <n v="0.27"/>
    <d v="2025-09-28T01:31:34"/>
    <s v="https://etrain.info/train/Punjab-Mail-12137/history?d=1y"/>
    <n v="800"/>
    <x v="6"/>
  </r>
  <r>
    <x v="40"/>
    <s v="Punjab Mail"/>
    <s v="JL"/>
    <x v="244"/>
    <n v="40"/>
    <n v="16.71"/>
    <n v="76.44"/>
    <n v="6.85"/>
    <n v="0"/>
    <d v="2025-09-28T01:31:38"/>
    <s v="https://etrain.info/train/Punjab-Mail-12137/history?d=1y"/>
    <n v="801"/>
    <x v="7"/>
  </r>
  <r>
    <x v="40"/>
    <s v="Punjab Mail"/>
    <s v="BSL"/>
    <x v="245"/>
    <n v="35"/>
    <n v="29.04"/>
    <n v="64.38"/>
    <n v="6.58"/>
    <n v="0"/>
    <d v="2025-09-28T01:31:42"/>
    <s v="https://etrain.info/train/Punjab-Mail-12137/history?d=1y"/>
    <n v="802"/>
    <x v="8"/>
  </r>
  <r>
    <x v="40"/>
    <s v="Punjab Mail"/>
    <s v="BAU"/>
    <x v="246"/>
    <n v="35"/>
    <n v="26.3"/>
    <n v="67.12"/>
    <n v="6.58"/>
    <n v="0"/>
    <d v="2025-09-28T01:31:45"/>
    <s v="https://etrain.info/train/Punjab-Mail-12137/history?d=1y"/>
    <n v="803"/>
    <x v="9"/>
  </r>
  <r>
    <x v="40"/>
    <s v="Punjab Mail"/>
    <s v="KNW"/>
    <x v="247"/>
    <n v="16"/>
    <n v="89.32"/>
    <n v="6.85"/>
    <n v="3.84"/>
    <n v="0"/>
    <d v="2025-09-28T01:31:50"/>
    <s v="https://etrain.info/train/Punjab-Mail-12137/history?d=1y"/>
    <n v="804"/>
    <x v="10"/>
  </r>
  <r>
    <x v="40"/>
    <s v="Punjab Mail"/>
    <s v="KKN"/>
    <x v="248"/>
    <n v="20"/>
    <n v="74.25"/>
    <n v="21.37"/>
    <n v="4.38"/>
    <n v="0"/>
    <d v="2025-09-28T01:31:54"/>
    <s v="https://etrain.info/train/Punjab-Mail-12137/history?d=1y"/>
    <n v="805"/>
    <x v="11"/>
  </r>
  <r>
    <x v="40"/>
    <s v="Punjab Mail"/>
    <s v="HD"/>
    <x v="249"/>
    <n v="28"/>
    <n v="44.93"/>
    <n v="49.32"/>
    <n v="5.75"/>
    <n v="0"/>
    <d v="2025-09-28T01:31:56"/>
    <s v="https://etrain.info/train/Punjab-Mail-12137/history?d=1y"/>
    <n v="806"/>
    <x v="12"/>
  </r>
  <r>
    <x v="40"/>
    <s v="Punjab Mail"/>
    <s v="BPF"/>
    <x v="250"/>
    <n v="37"/>
    <n v="12.6"/>
    <n v="80.27"/>
    <n v="7.12"/>
    <n v="0.01"/>
    <d v="2025-09-28T01:31:58"/>
    <s v="https://etrain.info/train/Punjab-Mail-12137/history?d=1y"/>
    <n v="807"/>
    <x v="13"/>
  </r>
  <r>
    <x v="40"/>
    <s v="Punjab Mail"/>
    <s v="ET"/>
    <x v="35"/>
    <n v="16"/>
    <n v="86.03"/>
    <n v="9.32"/>
    <n v="4.66"/>
    <n v="0"/>
    <d v="2025-09-28T01:32:02"/>
    <s v="https://etrain.info/train/Punjab-Mail-12137/history?d=1y"/>
    <n v="808"/>
    <x v="14"/>
  </r>
  <r>
    <x v="40"/>
    <s v="Punjab Mail"/>
    <s v="NDPM"/>
    <x v="251"/>
    <n v="19"/>
    <n v="78.900000000000006"/>
    <n v="16.440000000000001"/>
    <n v="4.66"/>
    <n v="0"/>
    <d v="2025-09-28T01:32:06"/>
    <s v="https://etrain.info/train/Punjab-Mail-12137/history?d=1y"/>
    <n v="809"/>
    <x v="15"/>
  </r>
  <r>
    <x v="40"/>
    <s v="Punjab Mail"/>
    <s v="RKMP"/>
    <x v="134"/>
    <n v="19"/>
    <n v="74.25"/>
    <n v="21.1"/>
    <n v="4.66"/>
    <n v="0"/>
    <d v="2025-09-28T01:32:10"/>
    <s v="https://etrain.info/train/Punjab-Mail-12137/history?d=1y"/>
    <n v="810"/>
    <x v="16"/>
  </r>
  <r>
    <x v="40"/>
    <s v="Punjab Mail"/>
    <s v="BPL"/>
    <x v="36"/>
    <n v="26"/>
    <n v="53.15"/>
    <n v="42.19"/>
    <n v="4.66"/>
    <n v="0"/>
    <d v="2025-09-28T01:32:14"/>
    <s v="https://etrain.info/train/Punjab-Mail-12137/history?d=1y"/>
    <n v="811"/>
    <x v="17"/>
  </r>
  <r>
    <x v="40"/>
    <s v="Punjab Mail"/>
    <s v="BHS"/>
    <x v="252"/>
    <n v="37"/>
    <n v="17.809999999999999"/>
    <n v="73.7"/>
    <n v="8.49"/>
    <n v="0"/>
    <d v="2025-09-28T01:32:18"/>
    <s v="https://etrain.info/train/Punjab-Mail-12137/history?d=1y"/>
    <n v="812"/>
    <x v="18"/>
  </r>
  <r>
    <x v="40"/>
    <s v="Punjab Mail"/>
    <s v="BAQ"/>
    <x v="253"/>
    <n v="42"/>
    <n v="7.12"/>
    <n v="83.01"/>
    <n v="9.86"/>
    <n v="0.01"/>
    <d v="2025-09-28T01:32:20"/>
    <s v="https://etrain.info/train/Punjab-Mail-12137/history?d=1y"/>
    <n v="813"/>
    <x v="19"/>
  </r>
  <r>
    <x v="40"/>
    <s v="Punjab Mail"/>
    <s v="BINA"/>
    <x v="118"/>
    <n v="18"/>
    <n v="80.819999999999993"/>
    <n v="12.05"/>
    <n v="7.12"/>
    <n v="0.01"/>
    <d v="2025-09-28T01:32:22"/>
    <s v="https://etrain.info/train/Punjab-Mail-12137/history?d=1y"/>
    <n v="814"/>
    <x v="20"/>
  </r>
  <r>
    <x v="40"/>
    <s v="Punjab Mail"/>
    <s v="LAR"/>
    <x v="135"/>
    <n v="28"/>
    <n v="53.15"/>
    <n v="38.630000000000003"/>
    <n v="8.2200000000000006"/>
    <n v="0"/>
    <d v="2025-09-28T01:32:26"/>
    <s v="https://etrain.info/train/Punjab-Mail-12137/history?d=1y"/>
    <n v="815"/>
    <x v="21"/>
  </r>
  <r>
    <x v="40"/>
    <s v="Punjab Mail"/>
    <s v="BAB"/>
    <x v="254"/>
    <n v="35"/>
    <n v="38.08"/>
    <n v="52.88"/>
    <n v="9.0399999999999991"/>
    <n v="0"/>
    <d v="2025-09-28T01:32:27"/>
    <s v="https://etrain.info/train/Punjab-Mail-12137/history?d=1y"/>
    <n v="816"/>
    <x v="22"/>
  </r>
  <r>
    <x v="40"/>
    <s v="Punjab Mail"/>
    <s v="VGLJ"/>
    <x v="37"/>
    <n v="30"/>
    <n v="55.07"/>
    <n v="36.99"/>
    <n v="7.95"/>
    <n v="0"/>
    <d v="2025-09-28T01:32:31"/>
    <s v="https://etrain.info/train/Punjab-Mail-12137/history?d=1y"/>
    <n v="817"/>
    <x v="23"/>
  </r>
  <r>
    <x v="40"/>
    <s v="Punjab Mail"/>
    <s v="DAA"/>
    <x v="255"/>
    <n v="35"/>
    <n v="40.270000000000003"/>
    <n v="49.59"/>
    <n v="10.14"/>
    <n v="0"/>
    <d v="2025-09-28T01:32:35"/>
    <s v="https://etrain.info/train/Punjab-Mail-12137/history?d=1y"/>
    <n v="818"/>
    <x v="24"/>
  </r>
  <r>
    <x v="40"/>
    <s v="Punjab Mail"/>
    <s v="DBA"/>
    <x v="256"/>
    <m/>
    <n v="24.93"/>
    <n v="63.56"/>
    <n v="11.51"/>
    <n v="0"/>
    <d v="2025-09-28T01:32:39"/>
    <s v="https://etrain.info/train/Punjab-Mail-12137/history?d=1y"/>
    <n v="819"/>
    <x v="25"/>
  </r>
  <r>
    <x v="40"/>
    <s v="Punjab Mail"/>
    <s v="GWL"/>
    <x v="38"/>
    <n v="55"/>
    <n v="5.75"/>
    <n v="79.45"/>
    <n v="14.79"/>
    <n v="0.01"/>
    <d v="2025-09-28T01:32:41"/>
    <s v="https://etrain.info/train/Punjab-Mail-12137/history?d=1y"/>
    <n v="820"/>
    <x v="26"/>
  </r>
  <r>
    <x v="40"/>
    <s v="Punjab Mail"/>
    <s v="MRA"/>
    <x v="136"/>
    <n v="56"/>
    <n v="1.1000000000000001"/>
    <n v="81.64"/>
    <n v="17.260000000000002"/>
    <n v="0"/>
    <d v="2025-09-28T01:32:45"/>
    <s v="https://etrain.info/train/Punjab-Mail-12137/history?d=1y"/>
    <n v="821"/>
    <x v="27"/>
  </r>
  <r>
    <x v="40"/>
    <s v="Punjab Mail"/>
    <s v="DHO"/>
    <x v="137"/>
    <n v="21"/>
    <n v="79.45"/>
    <n v="12.05"/>
    <n v="8.49"/>
    <n v="0.01"/>
    <d v="2025-09-28T01:32:47"/>
    <s v="https://etrain.info/train/Punjab-Mail-12137/history?d=1y"/>
    <n v="822"/>
    <x v="28"/>
  </r>
  <r>
    <x v="40"/>
    <s v="Punjab Mail"/>
    <s v="AGC"/>
    <x v="39"/>
    <n v="26"/>
    <n v="69.040000000000006"/>
    <n v="21.64"/>
    <n v="9.32"/>
    <n v="0"/>
    <d v="2025-09-28T01:32:51"/>
    <s v="https://etrain.info/train/Punjab-Mail-12137/history?d=1y"/>
    <n v="823"/>
    <x v="29"/>
  </r>
  <r>
    <x v="40"/>
    <s v="Punjab Mail"/>
    <s v="RKM"/>
    <x v="257"/>
    <n v="28"/>
    <n v="64.11"/>
    <n v="26.3"/>
    <n v="9.59"/>
    <n v="0"/>
    <d v="2025-09-28T01:32:53"/>
    <s v="https://etrain.info/train/Punjab-Mail-12137/history?d=1y"/>
    <n v="824"/>
    <x v="30"/>
  </r>
  <r>
    <x v="40"/>
    <s v="Punjab Mail"/>
    <s v="MTJ"/>
    <x v="119"/>
    <n v="41"/>
    <n v="21.37"/>
    <n v="65.75"/>
    <n v="12.88"/>
    <n v="0"/>
    <d v="2025-09-28T01:32:56"/>
    <s v="https://etrain.info/train/Punjab-Mail-12137/history?d=1y"/>
    <n v="825"/>
    <x v="31"/>
  </r>
  <r>
    <x v="40"/>
    <s v="Punjab Mail"/>
    <s v="KSV"/>
    <x v="258"/>
    <n v="48"/>
    <n v="4.93"/>
    <n v="81.099999999999994"/>
    <n v="13.97"/>
    <n v="0"/>
    <d v="2025-09-28T01:33:01"/>
    <s v="https://etrain.info/train/Punjab-Mail-12137/history?d=1y"/>
    <n v="826"/>
    <x v="32"/>
  </r>
  <r>
    <x v="40"/>
    <s v="Punjab Mail"/>
    <s v="FDB"/>
    <x v="120"/>
    <n v="26"/>
    <n v="75.89"/>
    <n v="14.52"/>
    <n v="9.59"/>
    <n v="0"/>
    <d v="2025-09-28T01:33:02"/>
    <s v="https://etrain.info/train/Punjab-Mail-12137/history?d=1y"/>
    <n v="827"/>
    <x v="33"/>
  </r>
  <r>
    <x v="40"/>
    <s v="Punjab Mail"/>
    <s v="NZM"/>
    <x v="40"/>
    <n v="36"/>
    <n v="50.41"/>
    <n v="38.36"/>
    <n v="11.23"/>
    <n v="0"/>
    <d v="2025-09-28T01:33:07"/>
    <s v="https://etrain.info/train/Punjab-Mail-12137/history?d=1y"/>
    <n v="828"/>
    <x v="34"/>
  </r>
  <r>
    <x v="40"/>
    <s v="Punjab Mail"/>
    <s v="NDLS"/>
    <x v="41"/>
    <n v="43"/>
    <n v="35.07"/>
    <n v="51.51"/>
    <n v="13.42"/>
    <n v="0"/>
    <d v="2025-09-28T01:33:10"/>
    <s v="https://etrain.info/train/Punjab-Mail-12137/history?d=1y"/>
    <n v="829"/>
    <x v="35"/>
  </r>
  <r>
    <x v="40"/>
    <s v="Punjab Mail"/>
    <s v="DKZ"/>
    <x v="259"/>
    <n v="49"/>
    <n v="21.64"/>
    <n v="62.19"/>
    <n v="16.16"/>
    <n v="0.01"/>
    <d v="2025-09-28T01:33:12"/>
    <s v="https://etrain.info/train/Punjab-Mail-12137/history?d=1y"/>
    <n v="830"/>
    <x v="36"/>
  </r>
  <r>
    <x v="40"/>
    <s v="Punjab Mail"/>
    <s v="SSB"/>
    <x v="260"/>
    <n v="55"/>
    <n v="14.52"/>
    <n v="62.74"/>
    <n v="22.74"/>
    <n v="0"/>
    <d v="2025-09-28T01:33:16"/>
    <s v="https://etrain.info/train/Punjab-Mail-12137/history?d=1y"/>
    <n v="831"/>
    <x v="37"/>
  </r>
  <r>
    <x v="40"/>
    <s v="Punjab Mail"/>
    <s v="BGZ"/>
    <x v="261"/>
    <n v="61"/>
    <n v="4.93"/>
    <n v="67.95"/>
    <n v="27.12"/>
    <n v="0"/>
    <d v="2025-09-28T01:33:20"/>
    <s v="https://etrain.info/train/Punjab-Mail-12137/history?d=1y"/>
    <n v="832"/>
    <x v="38"/>
  </r>
  <r>
    <x v="40"/>
    <s v="Punjab Mail"/>
    <s v="ROK"/>
    <x v="262"/>
    <n v="64"/>
    <n v="3.84"/>
    <n v="66.03"/>
    <n v="30.14"/>
    <n v="0"/>
    <d v="2025-09-28T01:33:24"/>
    <s v="https://etrain.info/train/Punjab-Mail-12137/history?d=1y"/>
    <n v="833"/>
    <x v="39"/>
  </r>
  <r>
    <x v="40"/>
    <s v="Punjab Mail"/>
    <s v="JIND"/>
    <x v="263"/>
    <n v="64"/>
    <n v="7.67"/>
    <n v="62.19"/>
    <n v="30.14"/>
    <n v="0"/>
    <d v="2025-09-28T01:33:26"/>
    <s v="https://etrain.info/train/Punjab-Mail-12137/history?d=1y"/>
    <n v="834"/>
    <x v="40"/>
  </r>
  <r>
    <x v="40"/>
    <s v="Punjab Mail"/>
    <s v="NRW"/>
    <x v="264"/>
    <n v="65"/>
    <n v="7.12"/>
    <n v="60.82"/>
    <n v="32.049999999999997"/>
    <n v="0.01"/>
    <d v="2025-09-28T01:33:27"/>
    <s v="https://etrain.info/train/Punjab-Mail-12137/history?d=1y"/>
    <n v="835"/>
    <x v="41"/>
  </r>
  <r>
    <x v="40"/>
    <s v="Punjab Mail"/>
    <s v="TUN"/>
    <x v="265"/>
    <m/>
    <n v="7.12"/>
    <n v="59.73"/>
    <n v="33.15"/>
    <n v="0"/>
    <d v="2025-09-28T01:33:30"/>
    <s v="https://etrain.info/train/Punjab-Mail-12137/history?d=1y"/>
    <n v="836"/>
    <x v="42"/>
  </r>
  <r>
    <x v="40"/>
    <s v="Punjab Mail"/>
    <s v="JHL"/>
    <x v="266"/>
    <n v="62"/>
    <n v="13.42"/>
    <n v="55.07"/>
    <n v="31.51"/>
    <n v="0"/>
    <d v="2025-09-28T01:33:34"/>
    <s v="https://etrain.info/train/Punjab-Mail-12137/history?d=1y"/>
    <n v="837"/>
    <x v="43"/>
  </r>
  <r>
    <x v="40"/>
    <s v="Punjab Mail"/>
    <s v="BRZ"/>
    <x v="267"/>
    <n v="64"/>
    <n v="10.41"/>
    <n v="56.16"/>
    <n v="33.42"/>
    <n v="0.01"/>
    <d v="2025-09-28T01:33:36"/>
    <s v="https://etrain.info/train/Punjab-Mail-12137/history?d=1y"/>
    <n v="838"/>
    <x v="44"/>
  </r>
  <r>
    <x v="40"/>
    <s v="Punjab Mail"/>
    <s v="BLZ"/>
    <x v="268"/>
    <m/>
    <n v="10.14"/>
    <n v="55.34"/>
    <n v="34.520000000000003"/>
    <n v="0"/>
    <d v="2025-09-28T01:33:38"/>
    <s v="https://etrain.info/train/Punjab-Mail-12137/history?d=1y"/>
    <n v="839"/>
    <x v="45"/>
  </r>
  <r>
    <x v="40"/>
    <s v="Punjab Mail"/>
    <s v="MSZ"/>
    <x v="269"/>
    <n v="68"/>
    <n v="7.95"/>
    <n v="55.62"/>
    <n v="36.44"/>
    <n v="0"/>
    <d v="2025-09-28T01:33:42"/>
    <s v="https://etrain.info/train/Punjab-Mail-12137/history?d=1y"/>
    <n v="840"/>
    <x v="46"/>
  </r>
  <r>
    <x v="40"/>
    <s v="Punjab Mail"/>
    <s v="MAUR"/>
    <x v="270"/>
    <n v="70"/>
    <n v="6.58"/>
    <n v="55.07"/>
    <n v="38.36"/>
    <n v="0"/>
    <d v="2025-09-28T01:33:46"/>
    <s v="https://etrain.info/train/Punjab-Mail-12137/history?d=1y"/>
    <n v="841"/>
    <x v="47"/>
  </r>
  <r>
    <x v="40"/>
    <s v="Punjab Mail"/>
    <s v="BTI"/>
    <x v="271"/>
    <n v="49"/>
    <n v="40.549999999999997"/>
    <n v="39.450000000000003"/>
    <n v="20"/>
    <n v="0"/>
    <d v="2025-09-28T01:33:48"/>
    <s v="https://etrain.info/train/Punjab-Mail-12137/history?d=1y"/>
    <n v="842"/>
    <x v="48"/>
  </r>
  <r>
    <x v="40"/>
    <s v="Punjab Mail"/>
    <s v="GNA"/>
    <x v="272"/>
    <n v="57"/>
    <n v="30.14"/>
    <n v="45.21"/>
    <n v="24.66"/>
    <n v="0"/>
    <d v="2025-09-28T01:33:52"/>
    <s v="https://etrain.info/train/Punjab-Mail-12137/history?d=1y"/>
    <n v="843"/>
    <x v="49"/>
  </r>
  <r>
    <x v="40"/>
    <s v="Punjab Mail"/>
    <s v="GJUT"/>
    <x v="273"/>
    <m/>
    <n v="27.67"/>
    <n v="45.75"/>
    <n v="26.58"/>
    <n v="0"/>
    <d v="2025-09-28T01:33:55"/>
    <s v="https://etrain.info/train/Punjab-Mail-12137/history?d=1y"/>
    <n v="844"/>
    <x v="50"/>
  </r>
  <r>
    <x v="40"/>
    <s v="Punjab Mail"/>
    <s v="KKP"/>
    <x v="274"/>
    <m/>
    <n v="25.75"/>
    <n v="43.56"/>
    <n v="30.68"/>
    <n v="0"/>
    <d v="2025-09-28T01:33:57"/>
    <s v="https://etrain.info/train/Punjab-Mail-12137/history?d=1y"/>
    <n v="845"/>
    <x v="51"/>
  </r>
  <r>
    <x v="40"/>
    <s v="Punjab Mail"/>
    <s v="FDK"/>
    <x v="275"/>
    <n v="66"/>
    <n v="25.21"/>
    <n v="40.270000000000003"/>
    <n v="34.520000000000003"/>
    <n v="0"/>
    <d v="2025-09-28T01:34:01"/>
    <s v="https://etrain.info/train/Punjab-Mail-12137/history?d=1y"/>
    <n v="846"/>
    <x v="52"/>
  </r>
  <r>
    <x v="40"/>
    <s v="Punjab Mail"/>
    <s v="FZR"/>
    <x v="276"/>
    <n v="39"/>
    <n v="53.42"/>
    <n v="31.23"/>
    <n v="15.34"/>
    <n v="0.01"/>
    <d v="2025-09-28T01:34:03"/>
    <s v="https://etrain.info/train/Punjab-Mail-12137/history?d=1y"/>
    <n v="847"/>
    <x v="53"/>
  </r>
  <r>
    <x v="41"/>
    <s v="Punjab Mail"/>
    <s v="FZR"/>
    <x v="276"/>
    <m/>
    <n v="98.08"/>
    <n v="1.64"/>
    <n v="0.27"/>
    <n v="0"/>
    <d v="2025-09-28T01:34:21"/>
    <s v="https://etrain.info/train/Punjab-Mail-12138/history?d=1y"/>
    <n v="848"/>
    <x v="0"/>
  </r>
  <r>
    <x v="41"/>
    <s v="Punjab Mail"/>
    <s v="FDK"/>
    <x v="275"/>
    <n v="12"/>
    <n v="93.15"/>
    <n v="6.58"/>
    <n v="0.27"/>
    <n v="0"/>
    <d v="2025-09-28T01:34:25"/>
    <s v="https://etrain.info/train/Punjab-Mail-12138/history?d=1y"/>
    <n v="849"/>
    <x v="1"/>
  </r>
  <r>
    <x v="41"/>
    <s v="Punjab Mail"/>
    <s v="KKP"/>
    <x v="274"/>
    <n v="16"/>
    <n v="69.040000000000006"/>
    <n v="30.41"/>
    <n v="0.55000000000000004"/>
    <n v="0"/>
    <d v="2025-09-28T01:34:28"/>
    <s v="https://etrain.info/train/Punjab-Mail-12138/history?d=1y"/>
    <n v="850"/>
    <x v="2"/>
  </r>
  <r>
    <x v="41"/>
    <s v="Punjab Mail"/>
    <s v="GJUT"/>
    <x v="273"/>
    <n v="14"/>
    <n v="86.03"/>
    <n v="13.15"/>
    <n v="0.82"/>
    <n v="0"/>
    <d v="2025-09-28T01:34:32"/>
    <s v="https://etrain.info/train/Punjab-Mail-12138/history?d=1y"/>
    <n v="851"/>
    <x v="3"/>
  </r>
  <r>
    <x v="41"/>
    <s v="Punjab Mail"/>
    <s v="GNA"/>
    <x v="272"/>
    <n v="13"/>
    <n v="86.3"/>
    <n v="12.6"/>
    <n v="1.1000000000000001"/>
    <n v="0"/>
    <d v="2025-09-28T01:34:35"/>
    <s v="https://etrain.info/train/Punjab-Mail-12138/history?d=1y"/>
    <n v="852"/>
    <x v="4"/>
  </r>
  <r>
    <x v="41"/>
    <s v="Punjab Mail"/>
    <s v="BTI"/>
    <x v="271"/>
    <n v="6"/>
    <n v="96.71"/>
    <n v="2.74"/>
    <n v="0.55000000000000004"/>
    <n v="0"/>
    <d v="2025-09-28T01:34:39"/>
    <s v="https://etrain.info/train/Punjab-Mail-12138/history?d=1y"/>
    <n v="853"/>
    <x v="5"/>
  </r>
  <r>
    <x v="41"/>
    <s v="Punjab Mail"/>
    <s v="MAUR"/>
    <x v="270"/>
    <n v="13"/>
    <n v="90.96"/>
    <n v="8.2200000000000006"/>
    <n v="0.82"/>
    <n v="0"/>
    <d v="2025-09-28T01:34:43"/>
    <s v="https://etrain.info/train/Punjab-Mail-12138/history?d=1y"/>
    <n v="854"/>
    <x v="6"/>
  </r>
  <r>
    <x v="41"/>
    <s v="Punjab Mail"/>
    <s v="MSZ"/>
    <x v="269"/>
    <n v="15"/>
    <n v="86.58"/>
    <n v="12.6"/>
    <n v="0.82"/>
    <n v="0"/>
    <d v="2025-09-28T01:34:47"/>
    <s v="https://etrain.info/train/Punjab-Mail-12138/history?d=1y"/>
    <n v="855"/>
    <x v="7"/>
  </r>
  <r>
    <x v="41"/>
    <s v="Punjab Mail"/>
    <s v="BLZ"/>
    <x v="268"/>
    <n v="16"/>
    <n v="84.93"/>
    <n v="13.42"/>
    <n v="1.64"/>
    <n v="0.01"/>
    <d v="2025-09-28T01:34:48"/>
    <s v="https://etrain.info/train/Punjab-Mail-12138/history?d=1y"/>
    <n v="856"/>
    <x v="8"/>
  </r>
  <r>
    <x v="41"/>
    <s v="Punjab Mail"/>
    <s v="BRZ"/>
    <x v="267"/>
    <n v="18"/>
    <n v="79.45"/>
    <n v="18.899999999999999"/>
    <n v="1.64"/>
    <n v="0.01"/>
    <d v="2025-09-28T01:34:50"/>
    <s v="https://etrain.info/train/Punjab-Mail-12138/history?d=1y"/>
    <n v="857"/>
    <x v="9"/>
  </r>
  <r>
    <x v="41"/>
    <s v="Punjab Mail"/>
    <s v="JHL"/>
    <x v="266"/>
    <n v="15"/>
    <n v="85.75"/>
    <n v="12.33"/>
    <n v="1.92"/>
    <n v="0"/>
    <d v="2025-09-28T01:34:51"/>
    <s v="https://etrain.info/train/Punjab-Mail-12138/history?d=1y"/>
    <n v="858"/>
    <x v="10"/>
  </r>
  <r>
    <x v="41"/>
    <s v="Punjab Mail"/>
    <s v="TUN"/>
    <x v="265"/>
    <n v="15"/>
    <n v="84.66"/>
    <n v="12.88"/>
    <n v="2.4700000000000002"/>
    <n v="0"/>
    <d v="2025-09-28T01:34:55"/>
    <s v="https://etrain.info/train/Punjab-Mail-12138/history?d=1y"/>
    <n v="859"/>
    <x v="11"/>
  </r>
  <r>
    <x v="41"/>
    <s v="Punjab Mail"/>
    <s v="NRW"/>
    <x v="264"/>
    <n v="21"/>
    <n v="57.81"/>
    <n v="38.9"/>
    <n v="3.29"/>
    <n v="0"/>
    <d v="2025-09-28T01:34:59"/>
    <s v="https://etrain.info/train/Punjab-Mail-12138/history?d=1y"/>
    <n v="860"/>
    <x v="12"/>
  </r>
  <r>
    <x v="41"/>
    <s v="Punjab Mail"/>
    <s v="JIND"/>
    <x v="263"/>
    <m/>
    <n v="73.150000000000006"/>
    <n v="23.01"/>
    <n v="3.84"/>
    <n v="0"/>
    <d v="2025-09-28T01:35:02"/>
    <s v="https://etrain.info/train/Punjab-Mail-12138/history?d=1y"/>
    <n v="861"/>
    <x v="13"/>
  </r>
  <r>
    <x v="41"/>
    <s v="Punjab Mail"/>
    <s v="ROK"/>
    <x v="262"/>
    <n v="15"/>
    <n v="75.34"/>
    <n v="20.27"/>
    <n v="4.38"/>
    <n v="0.01"/>
    <d v="2025-09-28T01:35:03"/>
    <s v="https://etrain.info/train/Punjab-Mail-12138/history?d=1y"/>
    <n v="862"/>
    <x v="14"/>
  </r>
  <r>
    <x v="41"/>
    <s v="Punjab Mail"/>
    <s v="BGZ"/>
    <x v="261"/>
    <n v="18"/>
    <n v="67.400000000000006"/>
    <n v="27.4"/>
    <n v="5.21"/>
    <n v="0"/>
    <d v="2025-09-28T01:35:07"/>
    <s v="https://etrain.info/train/Punjab-Mail-12138/history?d=1y"/>
    <n v="863"/>
    <x v="15"/>
  </r>
  <r>
    <x v="41"/>
    <s v="Punjab Mail"/>
    <s v="SSB"/>
    <x v="260"/>
    <n v="14"/>
    <n v="81.92"/>
    <n v="13.97"/>
    <n v="4.1100000000000003"/>
    <n v="0"/>
    <d v="2025-09-28T01:35:11"/>
    <s v="https://etrain.info/train/Punjab-Mail-12138/history?d=1y"/>
    <n v="864"/>
    <x v="16"/>
  </r>
  <r>
    <x v="41"/>
    <s v="Punjab Mail"/>
    <s v="DKZ"/>
    <x v="259"/>
    <n v="17"/>
    <n v="76.44"/>
    <n v="18.36"/>
    <n v="5.21"/>
    <n v="0"/>
    <d v="2025-09-28T01:35:14"/>
    <s v="https://etrain.info/train/Punjab-Mail-12138/history?d=1y"/>
    <n v="865"/>
    <x v="17"/>
  </r>
  <r>
    <x v="41"/>
    <s v="Punjab Mail"/>
    <s v="NDLS"/>
    <x v="41"/>
    <n v="15"/>
    <n v="81.64"/>
    <n v="12.88"/>
    <n v="5.48"/>
    <n v="0"/>
    <d v="2025-09-28T01:35:18"/>
    <s v="https://etrain.info/train/Punjab-Mail-12138/history?d=1y"/>
    <n v="866"/>
    <x v="18"/>
  </r>
  <r>
    <x v="41"/>
    <s v="Punjab Mail"/>
    <s v="FDB"/>
    <x v="120"/>
    <n v="25"/>
    <n v="64.38"/>
    <n v="22.19"/>
    <n v="13.42"/>
    <n v="0.01"/>
    <d v="2025-09-28T01:35:20"/>
    <s v="https://etrain.info/train/Punjab-Mail-12138/history?d=1y"/>
    <n v="867"/>
    <x v="19"/>
  </r>
  <r>
    <x v="41"/>
    <s v="Punjab Mail"/>
    <s v="KSV"/>
    <x v="258"/>
    <n v="29"/>
    <n v="63.56"/>
    <n v="20"/>
    <n v="16.440000000000001"/>
    <n v="0"/>
    <d v="2025-09-28T01:35:23"/>
    <s v="https://etrain.info/train/Punjab-Mail-12138/history?d=1y"/>
    <n v="868"/>
    <x v="20"/>
  </r>
  <r>
    <x v="41"/>
    <s v="Punjab Mail"/>
    <s v="MTJ"/>
    <x v="119"/>
    <n v="42"/>
    <n v="14.52"/>
    <n v="67.400000000000006"/>
    <n v="18.079999999999998"/>
    <n v="0"/>
    <d v="2025-09-28T01:35:25"/>
    <s v="https://etrain.info/train/Punjab-Mail-12138/history?d=1y"/>
    <n v="869"/>
    <x v="21"/>
  </r>
  <r>
    <x v="41"/>
    <s v="Punjab Mail"/>
    <s v="RKM"/>
    <x v="257"/>
    <n v="54"/>
    <n v="0.55000000000000004"/>
    <n v="78.08"/>
    <n v="21.37"/>
    <n v="0"/>
    <d v="2025-09-28T01:35:29"/>
    <s v="https://etrain.info/train/Punjab-Mail-12138/history?d=1y"/>
    <n v="870"/>
    <x v="22"/>
  </r>
  <r>
    <x v="41"/>
    <s v="Punjab Mail"/>
    <s v="AGC"/>
    <x v="39"/>
    <n v="48"/>
    <n v="1.64"/>
    <n v="80"/>
    <n v="18.36"/>
    <n v="0"/>
    <d v="2025-09-28T01:35:31"/>
    <s v="https://etrain.info/train/Punjab-Mail-12138/history?d=1y"/>
    <n v="871"/>
    <x v="23"/>
  </r>
  <r>
    <x v="41"/>
    <s v="Punjab Mail"/>
    <s v="DHO"/>
    <x v="137"/>
    <n v="27"/>
    <n v="56.71"/>
    <n v="33.700000000000003"/>
    <n v="9.59"/>
    <n v="0"/>
    <d v="2025-09-28T01:35:34"/>
    <s v="https://etrain.info/train/Punjab-Mail-12138/history?d=1y"/>
    <n v="872"/>
    <x v="24"/>
  </r>
  <r>
    <x v="41"/>
    <s v="Punjab Mail"/>
    <s v="MRA"/>
    <x v="136"/>
    <n v="23"/>
    <n v="69.040000000000006"/>
    <n v="20.82"/>
    <n v="10.14"/>
    <n v="0"/>
    <d v="2025-09-28T01:35:38"/>
    <s v="https://etrain.info/train/Punjab-Mail-12138/history?d=1y"/>
    <n v="873"/>
    <x v="25"/>
  </r>
  <r>
    <x v="41"/>
    <s v="Punjab Mail"/>
    <s v="GWL"/>
    <x v="38"/>
    <m/>
    <n v="52.05"/>
    <n v="36.44"/>
    <n v="11.51"/>
    <n v="0"/>
    <d v="2025-09-28T01:35:40"/>
    <s v="https://etrain.info/train/Punjab-Mail-12138/history?d=1y"/>
    <n v="874"/>
    <x v="26"/>
  </r>
  <r>
    <x v="41"/>
    <s v="Punjab Mail"/>
    <s v="DBA"/>
    <x v="256"/>
    <n v="37"/>
    <n v="38.630000000000003"/>
    <n v="47.95"/>
    <n v="13.15"/>
    <n v="0.27"/>
    <d v="2025-09-28T01:35:42"/>
    <s v="https://etrain.info/train/Punjab-Mail-12138/history?d=1y"/>
    <n v="875"/>
    <x v="27"/>
  </r>
  <r>
    <x v="41"/>
    <s v="Punjab Mail"/>
    <s v="DAA"/>
    <x v="255"/>
    <n v="48"/>
    <n v="6.85"/>
    <n v="75.89"/>
    <n v="16.989999999999998"/>
    <n v="0.27"/>
    <d v="2025-09-28T01:35:44"/>
    <s v="https://etrain.info/train/Punjab-Mail-12138/history?d=1y"/>
    <n v="876"/>
    <x v="28"/>
  </r>
  <r>
    <x v="41"/>
    <s v="Punjab Mail"/>
    <s v="VGLJ"/>
    <x v="37"/>
    <n v="27"/>
    <n v="63.56"/>
    <n v="25.21"/>
    <n v="10.96"/>
    <n v="0.27"/>
    <d v="2025-09-28T01:35:45"/>
    <s v="https://etrain.info/train/Punjab-Mail-12138/history?d=1y"/>
    <n v="877"/>
    <x v="29"/>
  </r>
  <r>
    <x v="41"/>
    <s v="Punjab Mail"/>
    <s v="BAB"/>
    <x v="254"/>
    <n v="33"/>
    <n v="48.77"/>
    <n v="38.36"/>
    <n v="12.6"/>
    <n v="0.27"/>
    <d v="2025-09-28T01:35:47"/>
    <s v="https://etrain.info/train/Punjab-Mail-12138/history?d=1y"/>
    <n v="878"/>
    <x v="30"/>
  </r>
  <r>
    <x v="41"/>
    <s v="Punjab Mail"/>
    <s v="LAR"/>
    <x v="135"/>
    <n v="43"/>
    <n v="22.47"/>
    <n v="61.37"/>
    <n v="15.89"/>
    <n v="0.27"/>
    <d v="2025-09-28T01:35:48"/>
    <s v="https://etrain.info/train/Punjab-Mail-12138/history?d=1y"/>
    <n v="879"/>
    <x v="31"/>
  </r>
  <r>
    <x v="41"/>
    <s v="Punjab Mail"/>
    <s v="BINA"/>
    <x v="118"/>
    <n v="34"/>
    <n v="63.01"/>
    <n v="21.64"/>
    <n v="15.34"/>
    <n v="0.01"/>
    <d v="2025-09-28T01:35:50"/>
    <s v="https://etrain.info/train/Punjab-Mail-12138/history?d=1y"/>
    <n v="880"/>
    <x v="32"/>
  </r>
  <r>
    <x v="41"/>
    <s v="Punjab Mail"/>
    <s v="BAQ"/>
    <x v="253"/>
    <n v="43"/>
    <n v="35.89"/>
    <n v="45.75"/>
    <n v="18.36"/>
    <n v="0"/>
    <d v="2025-09-28T01:35:52"/>
    <s v="https://etrain.info/train/Punjab-Mail-12138/history?d=1y"/>
    <n v="881"/>
    <x v="33"/>
  </r>
  <r>
    <x v="41"/>
    <s v="Punjab Mail"/>
    <s v="BHS"/>
    <x v="252"/>
    <n v="51"/>
    <n v="14.79"/>
    <n v="64.38"/>
    <n v="20.82"/>
    <n v="0.01"/>
    <d v="2025-09-28T01:35:53"/>
    <s v="https://etrain.info/train/Punjab-Mail-12138/history?d=1y"/>
    <n v="882"/>
    <x v="34"/>
  </r>
  <r>
    <x v="41"/>
    <s v="Punjab Mail"/>
    <s v="BPL"/>
    <x v="36"/>
    <m/>
    <n v="38.36"/>
    <n v="41.64"/>
    <n v="20"/>
    <n v="0"/>
    <d v="2025-09-28T01:35:56"/>
    <s v="https://etrain.info/train/Punjab-Mail-12138/history?d=1y"/>
    <n v="883"/>
    <x v="35"/>
  </r>
  <r>
    <x v="41"/>
    <s v="Punjab Mail"/>
    <s v="RKMP"/>
    <x v="134"/>
    <n v="46"/>
    <n v="37.26"/>
    <n v="40"/>
    <n v="22.74"/>
    <n v="0"/>
    <d v="2025-09-28T01:36:00"/>
    <s v="https://etrain.info/train/Punjab-Mail-12138/history?d=1y"/>
    <n v="884"/>
    <x v="36"/>
  </r>
  <r>
    <x v="41"/>
    <s v="Punjab Mail"/>
    <s v="NDPM"/>
    <x v="251"/>
    <n v="49"/>
    <n v="32.880000000000003"/>
    <n v="42.19"/>
    <n v="24.93"/>
    <n v="0"/>
    <d v="2025-09-28T01:36:04"/>
    <s v="https://etrain.info/train/Punjab-Mail-12138/history?d=1y"/>
    <n v="885"/>
    <x v="37"/>
  </r>
  <r>
    <x v="41"/>
    <s v="Punjab Mail"/>
    <s v="ET"/>
    <x v="35"/>
    <n v="50"/>
    <n v="29.86"/>
    <n v="46.3"/>
    <n v="23.84"/>
    <n v="0"/>
    <d v="2025-09-28T01:36:08"/>
    <s v="https://etrain.info/train/Punjab-Mail-12138/history?d=1y"/>
    <n v="886"/>
    <x v="38"/>
  </r>
  <r>
    <x v="41"/>
    <s v="Punjab Mail"/>
    <s v="BPF"/>
    <x v="250"/>
    <n v="61"/>
    <n v="5.21"/>
    <n v="67.400000000000006"/>
    <n v="27.4"/>
    <n v="0"/>
    <d v="2025-09-28T01:36:11"/>
    <s v="https://etrain.info/train/Punjab-Mail-12138/history?d=1y"/>
    <n v="887"/>
    <x v="39"/>
  </r>
  <r>
    <x v="41"/>
    <s v="Punjab Mail"/>
    <s v="HD"/>
    <x v="249"/>
    <n v="70"/>
    <n v="1.1000000000000001"/>
    <n v="66.849999999999994"/>
    <n v="32.049999999999997"/>
    <n v="0"/>
    <d v="2025-09-28T01:36:15"/>
    <s v="https://etrain.info/train/Punjab-Mail-12138/history?d=1y"/>
    <n v="888"/>
    <x v="40"/>
  </r>
  <r>
    <x v="41"/>
    <s v="Punjab Mail"/>
    <s v="KKN"/>
    <x v="248"/>
    <n v="75"/>
    <n v="0"/>
    <n v="63.29"/>
    <n v="36.71"/>
    <n v="0"/>
    <d v="2025-09-28T01:36:17"/>
    <s v="https://etrain.info/train/Punjab-Mail-12138/history?d=1y"/>
    <n v="889"/>
    <x v="41"/>
  </r>
  <r>
    <x v="41"/>
    <s v="Punjab Mail"/>
    <s v="KNW"/>
    <x v="247"/>
    <n v="39"/>
    <n v="61.37"/>
    <n v="17.53"/>
    <n v="21.1"/>
    <n v="0"/>
    <d v="2025-09-28T01:36:19"/>
    <s v="https://etrain.info/train/Punjab-Mail-12138/history?d=1y"/>
    <n v="890"/>
    <x v="42"/>
  </r>
  <r>
    <x v="41"/>
    <s v="Punjab Mail"/>
    <s v="BAU"/>
    <x v="246"/>
    <m/>
    <n v="56.44"/>
    <n v="21.92"/>
    <n v="21.64"/>
    <n v="0"/>
    <d v="2025-09-28T01:36:22"/>
    <s v="https://etrain.info/train/Punjab-Mail-12138/history?d=1y"/>
    <n v="891"/>
    <x v="43"/>
  </r>
  <r>
    <x v="41"/>
    <s v="Punjab Mail"/>
    <s v="BSL"/>
    <x v="245"/>
    <n v="52"/>
    <n v="28.49"/>
    <n v="49.32"/>
    <n v="22.19"/>
    <n v="0"/>
    <d v="2025-09-28T01:36:25"/>
    <s v="https://etrain.info/train/Punjab-Mail-12138/history?d=1y"/>
    <n v="892"/>
    <x v="44"/>
  </r>
  <r>
    <x v="41"/>
    <s v="Punjab Mail"/>
    <s v="JL"/>
    <x v="244"/>
    <n v="49"/>
    <n v="35.619999999999997"/>
    <n v="43.29"/>
    <n v="21.1"/>
    <n v="0"/>
    <d v="2025-09-28T01:36:29"/>
    <s v="https://etrain.info/train/Punjab-Mail-12138/history?d=1y"/>
    <n v="893"/>
    <x v="45"/>
  </r>
  <r>
    <x v="41"/>
    <s v="Punjab Mail"/>
    <s v="CSN"/>
    <x v="243"/>
    <n v="57"/>
    <n v="20"/>
    <n v="55.89"/>
    <n v="24.11"/>
    <n v="0"/>
    <d v="2025-09-28T01:36:31"/>
    <s v="https://etrain.info/train/Punjab-Mail-12138/history?d=1y"/>
    <n v="894"/>
    <x v="46"/>
  </r>
  <r>
    <x v="41"/>
    <s v="Punjab Mail"/>
    <s v="MMR"/>
    <x v="170"/>
    <n v="65"/>
    <n v="8.77"/>
    <n v="64.66"/>
    <n v="26.58"/>
    <n v="0"/>
    <d v="2025-09-28T01:36:35"/>
    <s v="https://etrain.info/train/Punjab-Mail-12138/history?d=1y"/>
    <n v="895"/>
    <x v="47"/>
  </r>
  <r>
    <x v="41"/>
    <s v="Punjab Mail"/>
    <s v="NK"/>
    <x v="169"/>
    <n v="62"/>
    <n v="10.41"/>
    <n v="63.56"/>
    <n v="26.03"/>
    <n v="0"/>
    <d v="2025-09-28T01:36:37"/>
    <s v="https://etrain.info/train/Punjab-Mail-12138/history?d=1y"/>
    <n v="896"/>
    <x v="48"/>
  </r>
  <r>
    <x v="41"/>
    <s v="Punjab Mail"/>
    <s v="KYN"/>
    <x v="166"/>
    <n v="47"/>
    <n v="41.92"/>
    <n v="37.53"/>
    <n v="20.55"/>
    <n v="0"/>
    <d v="2025-09-28T01:36:41"/>
    <s v="https://etrain.info/train/Punjab-Mail-12138/history?d=1y"/>
    <n v="897"/>
    <x v="49"/>
  </r>
  <r>
    <x v="41"/>
    <s v="Punjab Mail"/>
    <s v="DR"/>
    <x v="164"/>
    <n v="51"/>
    <n v="29.86"/>
    <n v="48.77"/>
    <n v="21.37"/>
    <n v="0"/>
    <d v="2025-09-28T01:36:44"/>
    <s v="https://etrain.info/train/Punjab-Mail-12138/history?d=1y"/>
    <n v="898"/>
    <x v="50"/>
  </r>
  <r>
    <x v="41"/>
    <s v="Punjab Mail"/>
    <s v="CSMT"/>
    <x v="163"/>
    <n v="36"/>
    <n v="61.37"/>
    <n v="17.809999999999999"/>
    <n v="19.73"/>
    <n v="1.0900000000000001"/>
    <d v="2025-09-28T01:36:46"/>
    <s v="https://etrain.info/train/Punjab-Mail-12138/history?d=1y"/>
    <n v="899"/>
    <x v="51"/>
  </r>
  <r>
    <x v="42"/>
    <s v="Guwahati Sbc Express"/>
    <s v="SMVB"/>
    <x v="76"/>
    <n v="6"/>
    <n v="91.67"/>
    <n v="8.33"/>
    <n v="0"/>
    <n v="0"/>
    <d v="2025-09-28T01:37:16"/>
    <s v="https://etrain.info/train/Guwahati-SBC-Express-12509/history?d=1y"/>
    <n v="900"/>
    <x v="0"/>
  </r>
  <r>
    <x v="42"/>
    <s v="Guwahati Sbc Express"/>
    <s v="KJM"/>
    <x v="77"/>
    <n v="23"/>
    <n v="33.33"/>
    <n v="58.33"/>
    <n v="8.33"/>
    <n v="0.01"/>
    <d v="2025-09-28T01:37:18"/>
    <s v="https://etrain.info/train/Guwahati-SBC-Express-12509/history?d=1y"/>
    <n v="901"/>
    <x v="1"/>
  </r>
  <r>
    <x v="42"/>
    <s v="Guwahati Sbc Express"/>
    <s v="BWT"/>
    <x v="78"/>
    <n v="23"/>
    <n v="41.67"/>
    <n v="50"/>
    <n v="8.33"/>
    <n v="0"/>
    <d v="2025-09-28T01:37:21"/>
    <s v="https://etrain.info/train/Guwahati-SBC-Express-12509/history?d=1y"/>
    <n v="902"/>
    <x v="2"/>
  </r>
  <r>
    <x v="42"/>
    <s v="Guwahati Sbc Express"/>
    <s v="JTJ"/>
    <x v="4"/>
    <n v="15"/>
    <n v="66.67"/>
    <n v="25"/>
    <n v="8.33"/>
    <n v="0"/>
    <d v="2025-09-28T01:37:25"/>
    <s v="https://etrain.info/train/Guwahati-SBC-Express-12509/history?d=1y"/>
    <n v="903"/>
    <x v="3"/>
  </r>
  <r>
    <x v="42"/>
    <s v="Guwahati Sbc Express"/>
    <s v="KPD"/>
    <x v="3"/>
    <n v="11"/>
    <n v="83.33"/>
    <n v="16.670000000000002"/>
    <n v="0"/>
    <n v="0"/>
    <d v="2025-09-28T01:37:27"/>
    <s v="https://etrain.info/train/Guwahati-SBC-Express-12509/history?d=1y"/>
    <n v="904"/>
    <x v="4"/>
  </r>
  <r>
    <x v="42"/>
    <s v="Guwahati Sbc Express"/>
    <s v="AJJ"/>
    <x v="2"/>
    <m/>
    <n v="25"/>
    <n v="66.67"/>
    <n v="8.33"/>
    <n v="0"/>
    <d v="2025-09-28T01:37:30"/>
    <s v="https://etrain.info/train/Guwahati-SBC-Express-12509/history?d=1y"/>
    <n v="905"/>
    <x v="5"/>
  </r>
  <r>
    <x v="42"/>
    <s v="Guwahati Sbc Express"/>
    <s v="PER"/>
    <x v="10"/>
    <n v="31"/>
    <n v="25"/>
    <n v="58.33"/>
    <n v="16.670000000000002"/>
    <n v="0"/>
    <d v="2025-09-28T01:37:31"/>
    <s v="https://etrain.info/train/Guwahati-SBC-Express-12509/history?d=1y"/>
    <n v="906"/>
    <x v="6"/>
  </r>
  <r>
    <x v="42"/>
    <s v="Guwahati Sbc Express"/>
    <s v="OGL"/>
    <x v="72"/>
    <m/>
    <n v="8.33"/>
    <n v="83.33"/>
    <n v="8.33"/>
    <n v="0"/>
    <d v="2025-09-28T01:37:34"/>
    <s v="https://etrain.info/train/Guwahati-SBC-Express-12509/history?d=1y"/>
    <n v="907"/>
    <x v="7"/>
  </r>
  <r>
    <x v="42"/>
    <s v="Guwahati Sbc Express"/>
    <s v="BZA"/>
    <x v="30"/>
    <n v="55"/>
    <n v="8.33"/>
    <n v="50"/>
    <n v="41.67"/>
    <n v="0"/>
    <d v="2025-09-28T01:37:36"/>
    <s v="https://etrain.info/train/Guwahati-SBC-Express-12509/history?d=1y"/>
    <n v="908"/>
    <x v="8"/>
  </r>
  <r>
    <x v="42"/>
    <s v="Guwahati Sbc Express"/>
    <s v="RJY"/>
    <x v="65"/>
    <n v="70"/>
    <n v="8.33"/>
    <n v="50"/>
    <n v="41.67"/>
    <n v="0"/>
    <d v="2025-09-28T01:37:38"/>
    <s v="https://etrain.info/train/Guwahati-SBC-Express-12509/history?d=1y"/>
    <n v="909"/>
    <x v="9"/>
  </r>
  <r>
    <x v="42"/>
    <s v="Guwahati Sbc Express"/>
    <s v="VSKP"/>
    <x v="60"/>
    <n v="48"/>
    <n v="33.33"/>
    <n v="41.67"/>
    <n v="25"/>
    <n v="0"/>
    <d v="2025-09-28T01:37:40"/>
    <s v="https://etrain.info/train/Guwahati-SBC-Express-12509/history?d=1y"/>
    <n v="910"/>
    <x v="10"/>
  </r>
  <r>
    <x v="42"/>
    <s v="Guwahati Sbc Express"/>
    <s v="VZM"/>
    <x v="59"/>
    <n v="62"/>
    <n v="25"/>
    <n v="25"/>
    <n v="50"/>
    <n v="0"/>
    <d v="2025-09-28T01:37:41"/>
    <s v="https://etrain.info/train/Guwahati-SBC-Express-12509/history?d=1y"/>
    <n v="911"/>
    <x v="11"/>
  </r>
  <r>
    <x v="42"/>
    <s v="Guwahati Sbc Express"/>
    <s v="CHE"/>
    <x v="57"/>
    <n v="71"/>
    <n v="8.33"/>
    <n v="25"/>
    <n v="66.67"/>
    <n v="0"/>
    <d v="2025-09-28T01:37:44"/>
    <s v="https://etrain.info/train/Guwahati-SBC-Express-12509/history?d=1y"/>
    <n v="912"/>
    <x v="12"/>
  </r>
  <r>
    <x v="42"/>
    <s v="Guwahati Sbc Express"/>
    <s v="PSA"/>
    <x v="55"/>
    <n v="65"/>
    <n v="8.33"/>
    <n v="41.67"/>
    <n v="50"/>
    <n v="0"/>
    <d v="2025-09-28T01:37:45"/>
    <s v="https://etrain.info/train/Guwahati-SBC-Express-12509/history?d=1y"/>
    <n v="913"/>
    <x v="13"/>
  </r>
  <r>
    <x v="42"/>
    <s v="Guwahati Sbc Express"/>
    <s v="BAM"/>
    <x v="52"/>
    <n v="77"/>
    <n v="0"/>
    <n v="25"/>
    <n v="75"/>
    <n v="0"/>
    <d v="2025-09-28T01:37:47"/>
    <s v="https://etrain.info/train/Guwahati-SBC-Express-12509/history?d=1y"/>
    <n v="914"/>
    <x v="14"/>
  </r>
  <r>
    <x v="42"/>
    <s v="Guwahati Sbc Express"/>
    <s v="BALU"/>
    <x v="50"/>
    <n v="82"/>
    <n v="0"/>
    <n v="16.670000000000002"/>
    <n v="83.33"/>
    <n v="0"/>
    <d v="2025-09-28T01:37:49"/>
    <s v="https://etrain.info/train/Guwahati-SBC-Express-12509/history?d=1y"/>
    <n v="915"/>
    <x v="15"/>
  </r>
  <r>
    <x v="42"/>
    <s v="Guwahati Sbc Express"/>
    <s v="KUR"/>
    <x v="49"/>
    <n v="79"/>
    <n v="8.33"/>
    <n v="16.670000000000002"/>
    <n v="75"/>
    <n v="0"/>
    <d v="2025-09-28T01:37:51"/>
    <s v="https://etrain.info/train/Guwahati-SBC-Express-12509/history?d=1y"/>
    <n v="916"/>
    <x v="16"/>
  </r>
  <r>
    <x v="42"/>
    <s v="Guwahati Sbc Express"/>
    <s v="BBS"/>
    <x v="48"/>
    <n v="79"/>
    <n v="0"/>
    <n v="25"/>
    <n v="75"/>
    <n v="0"/>
    <d v="2025-09-28T01:37:53"/>
    <s v="https://etrain.info/train/Guwahati-SBC-Express-12509/history?d=1y"/>
    <n v="917"/>
    <x v="17"/>
  </r>
  <r>
    <x v="42"/>
    <s v="Guwahati Sbc Express"/>
    <s v="CTC"/>
    <x v="47"/>
    <n v="0"/>
    <n v="100"/>
    <n v="0"/>
    <n v="0"/>
    <n v="0"/>
    <d v="2025-09-28T01:37:55"/>
    <s v="https://etrain.info/train/Guwahati-SBC-Express-12509/history?d=1y"/>
    <n v="918"/>
    <x v="18"/>
  </r>
  <r>
    <x v="42"/>
    <s v="Guwahati Sbc Express"/>
    <s v="JJKR"/>
    <x v="46"/>
    <m/>
    <n v="0"/>
    <n v="0"/>
    <n v="100"/>
    <n v="0"/>
    <d v="2025-09-28T01:37:57"/>
    <s v="https://etrain.info/train/Guwahati-SBC-Express-12509/history?d=1y"/>
    <n v="919"/>
    <x v="19"/>
  </r>
  <r>
    <x v="42"/>
    <s v="Guwahati Sbc Express"/>
    <s v="BHC"/>
    <x v="45"/>
    <m/>
    <n v="0"/>
    <n v="0"/>
    <n v="100"/>
    <n v="0"/>
    <d v="2025-09-28T01:38:01"/>
    <s v="https://etrain.info/train/Guwahati-SBC-Express-12509/history?d=1y"/>
    <n v="920"/>
    <x v="20"/>
  </r>
  <r>
    <x v="42"/>
    <s v="Guwahati Sbc Express"/>
    <s v="BLS"/>
    <x v="44"/>
    <n v="174"/>
    <n v="0"/>
    <n v="0"/>
    <n v="100"/>
    <n v="0"/>
    <d v="2025-09-28T01:38:02"/>
    <s v="https://etrain.info/train/Guwahati-SBC-Express-12509/history?d=1y"/>
    <n v="921"/>
    <x v="21"/>
  </r>
  <r>
    <x v="42"/>
    <s v="Guwahati Sbc Express"/>
    <s v="KGP"/>
    <x v="43"/>
    <n v="205"/>
    <n v="0"/>
    <n v="0"/>
    <n v="100"/>
    <n v="0"/>
    <d v="2025-09-28T01:38:04"/>
    <s v="https://etrain.info/train/Guwahati-SBC-Express-12509/history?d=1y"/>
    <n v="922"/>
    <x v="22"/>
  </r>
  <r>
    <x v="42"/>
    <s v="Guwahati Sbc Express"/>
    <s v="DKAE"/>
    <x v="277"/>
    <n v="240"/>
    <n v="0"/>
    <n v="0"/>
    <n v="100"/>
    <n v="0"/>
    <d v="2025-09-28T01:38:06"/>
    <s v="https://etrain.info/train/Guwahati-SBC-Express-12509/history?d=1y"/>
    <n v="923"/>
    <x v="23"/>
  </r>
  <r>
    <x v="42"/>
    <s v="Guwahati Sbc Express"/>
    <s v="BHP"/>
    <x v="129"/>
    <n v="249"/>
    <n v="0"/>
    <n v="0"/>
    <n v="100"/>
    <n v="0"/>
    <d v="2025-09-28T01:38:08"/>
    <s v="https://etrain.info/train/Guwahati-SBC-Express-12509/history?d=1y"/>
    <n v="924"/>
    <x v="24"/>
  </r>
  <r>
    <x v="42"/>
    <s v="Guwahati Sbc Express"/>
    <s v="RPH"/>
    <x v="278"/>
    <n v="245"/>
    <n v="0"/>
    <n v="0"/>
    <n v="100"/>
    <n v="0"/>
    <d v="2025-09-28T01:38:09"/>
    <s v="https://etrain.info/train/Guwahati-SBC-Express-12509/history?d=1y"/>
    <n v="925"/>
    <x v="25"/>
  </r>
  <r>
    <x v="42"/>
    <s v="Guwahati Sbc Express"/>
    <s v="NFK"/>
    <x v="279"/>
    <n v="208"/>
    <n v="0"/>
    <n v="0"/>
    <n v="100"/>
    <n v="0"/>
    <d v="2025-09-28T01:38:11"/>
    <s v="https://etrain.info/train/Guwahati-SBC-Express-12509/history?d=1y"/>
    <n v="926"/>
    <x v="26"/>
  </r>
  <r>
    <x v="42"/>
    <s v="Guwahati Sbc Express"/>
    <s v="MLDT"/>
    <x v="130"/>
    <n v="197"/>
    <n v="0"/>
    <n v="0"/>
    <n v="100"/>
    <n v="0"/>
    <d v="2025-09-28T01:38:13"/>
    <s v="https://etrain.info/train/Guwahati-SBC-Express-12509/history?d=1y"/>
    <n v="927"/>
    <x v="27"/>
  </r>
  <r>
    <x v="42"/>
    <s v="Guwahati Sbc Express"/>
    <s v="BOE"/>
    <x v="131"/>
    <n v="222"/>
    <n v="0"/>
    <n v="0"/>
    <n v="100"/>
    <n v="0"/>
    <d v="2025-09-28T01:38:15"/>
    <s v="https://etrain.info/train/Guwahati-SBC-Express-12509/history?d=1y"/>
    <n v="928"/>
    <x v="28"/>
  </r>
  <r>
    <x v="42"/>
    <s v="Guwahati Sbc Express"/>
    <s v="KNE"/>
    <x v="132"/>
    <n v="238"/>
    <n v="0"/>
    <n v="0"/>
    <n v="100"/>
    <n v="0"/>
    <d v="2025-09-28T01:38:16"/>
    <s v="https://etrain.info/train/Guwahati-SBC-Express-12509/history?d=1y"/>
    <n v="929"/>
    <x v="29"/>
  </r>
  <r>
    <x v="42"/>
    <s v="Guwahati Sbc Express"/>
    <s v="NJP"/>
    <x v="133"/>
    <n v="241"/>
    <n v="0"/>
    <n v="0"/>
    <n v="100"/>
    <n v="0"/>
    <d v="2025-09-28T01:38:18"/>
    <s v="https://etrain.info/train/Guwahati-SBC-Express-12509/history?d=1y"/>
    <n v="930"/>
    <x v="30"/>
  </r>
  <r>
    <x v="42"/>
    <s v="Guwahati Sbc Express"/>
    <s v="JPE"/>
    <x v="280"/>
    <n v="219"/>
    <n v="0"/>
    <n v="0"/>
    <n v="100"/>
    <n v="0"/>
    <d v="2025-09-28T01:38:20"/>
    <s v="https://etrain.info/train/Guwahati-SBC-Express-12509/history?d=1y"/>
    <n v="931"/>
    <x v="31"/>
  </r>
  <r>
    <x v="42"/>
    <s v="Guwahati Sbc Express"/>
    <s v="DQG"/>
    <x v="281"/>
    <n v="221"/>
    <n v="0"/>
    <n v="0"/>
    <n v="100"/>
    <n v="0"/>
    <d v="2025-09-28T01:38:22"/>
    <s v="https://etrain.info/train/Guwahati-SBC-Express-12509/history?d=1y"/>
    <n v="932"/>
    <x v="32"/>
  </r>
  <r>
    <x v="42"/>
    <s v="Guwahati Sbc Express"/>
    <s v="NCB"/>
    <x v="282"/>
    <n v="225"/>
    <n v="0"/>
    <n v="0"/>
    <n v="100"/>
    <n v="0"/>
    <d v="2025-09-28T01:38:23"/>
    <s v="https://etrain.info/train/Guwahati-SBC-Express-12509/history?d=1y"/>
    <n v="933"/>
    <x v="33"/>
  </r>
  <r>
    <x v="42"/>
    <s v="Guwahati Sbc Express"/>
    <s v="NOQ"/>
    <x v="283"/>
    <n v="232"/>
    <n v="0"/>
    <n v="0"/>
    <n v="100"/>
    <n v="0"/>
    <d v="2025-09-28T01:38:25"/>
    <s v="https://etrain.info/train/Guwahati-SBC-Express-12509/history?d=1y"/>
    <n v="934"/>
    <x v="34"/>
  </r>
  <r>
    <x v="42"/>
    <s v="Guwahati Sbc Express"/>
    <s v="KOJ"/>
    <x v="284"/>
    <n v="252"/>
    <n v="0"/>
    <n v="0"/>
    <n v="100"/>
    <n v="0"/>
    <d v="2025-09-28T01:38:27"/>
    <s v="https://etrain.info/train/Guwahati-SBC-Express-12509/history?d=1y"/>
    <n v="935"/>
    <x v="35"/>
  </r>
  <r>
    <x v="42"/>
    <s v="Guwahati Sbc Express"/>
    <s v="NBQ"/>
    <x v="285"/>
    <n v="222"/>
    <n v="0"/>
    <n v="0"/>
    <n v="100"/>
    <n v="0"/>
    <d v="2025-09-28T01:38:29"/>
    <s v="https://etrain.info/train/Guwahati-SBC-Express-12509/history?d=1y"/>
    <n v="936"/>
    <x v="36"/>
  </r>
  <r>
    <x v="42"/>
    <s v="Guwahati Sbc Express"/>
    <s v="BPRD"/>
    <x v="286"/>
    <n v="230"/>
    <n v="0"/>
    <n v="0"/>
    <n v="100"/>
    <n v="0"/>
    <d v="2025-09-28T01:38:31"/>
    <s v="https://etrain.info/train/Guwahati-SBC-Express-12509/history?d=1y"/>
    <n v="937"/>
    <x v="37"/>
  </r>
  <r>
    <x v="42"/>
    <s v="Guwahati Sbc Express"/>
    <s v="RNY"/>
    <x v="287"/>
    <n v="248"/>
    <n v="0"/>
    <n v="0"/>
    <n v="100"/>
    <n v="0"/>
    <d v="2025-09-28T01:38:33"/>
    <s v="https://etrain.info/train/Guwahati-SBC-Express-12509/history?d=1y"/>
    <n v="938"/>
    <x v="38"/>
  </r>
  <r>
    <x v="42"/>
    <s v="Guwahati Sbc Express"/>
    <s v="KYQ"/>
    <x v="288"/>
    <n v="225"/>
    <n v="0"/>
    <n v="0"/>
    <n v="100"/>
    <n v="0"/>
    <d v="2025-09-28T01:38:35"/>
    <s v="https://etrain.info/train/Guwahati-SBC-Express-12509/history?d=1y"/>
    <n v="939"/>
    <x v="39"/>
  </r>
  <r>
    <x v="42"/>
    <s v="Guwahati Sbc Express"/>
    <s v="GHY"/>
    <x v="289"/>
    <n v="208"/>
    <n v="0"/>
    <n v="8.33"/>
    <n v="91.67"/>
    <n v="0"/>
    <d v="2025-09-28T01:38:37"/>
    <s v="https://etrain.info/train/Guwahati-SBC-Express-12509/history?d=1y"/>
    <n v="940"/>
    <x v="40"/>
  </r>
  <r>
    <x v="43"/>
    <s v="Sbc Guwahati Express"/>
    <s v="GHY"/>
    <x v="289"/>
    <n v="2"/>
    <n v="100"/>
    <n v="0"/>
    <n v="0"/>
    <n v="0"/>
    <d v="2025-09-28T01:38:45"/>
    <s v="https://etrain.info/train/SBC-Guwahati-Express-12510/history?d=1y"/>
    <n v="941"/>
    <x v="0"/>
  </r>
  <r>
    <x v="43"/>
    <s v="Sbc Guwahati Express"/>
    <s v="KYQ"/>
    <x v="288"/>
    <m/>
    <n v="100"/>
    <n v="0"/>
    <n v="0"/>
    <n v="0"/>
    <d v="2025-09-28T01:38:47"/>
    <s v="https://etrain.info/train/SBC-Guwahati-Express-12510/history?d=1y"/>
    <n v="942"/>
    <x v="1"/>
  </r>
  <r>
    <x v="43"/>
    <s v="Sbc Guwahati Express"/>
    <s v="RNY"/>
    <x v="287"/>
    <n v="8"/>
    <n v="92.31"/>
    <n v="7.69"/>
    <n v="0"/>
    <n v="0"/>
    <d v="2025-09-28T01:38:51"/>
    <s v="https://etrain.info/train/SBC-Guwahati-Express-12510/history?d=1y"/>
    <n v="943"/>
    <x v="2"/>
  </r>
  <r>
    <x v="43"/>
    <s v="Sbc Guwahati Express"/>
    <s v="BPRD"/>
    <x v="286"/>
    <n v="14"/>
    <n v="61.54"/>
    <n v="38.46"/>
    <n v="0"/>
    <n v="0"/>
    <d v="2025-09-28T01:38:53"/>
    <s v="https://etrain.info/train/SBC-Guwahati-Express-12510/history?d=1y"/>
    <n v="944"/>
    <x v="3"/>
  </r>
  <r>
    <x v="43"/>
    <s v="Sbc Guwahati Express"/>
    <s v="NBQ"/>
    <x v="285"/>
    <n v="3"/>
    <n v="100"/>
    <n v="0"/>
    <n v="0"/>
    <n v="0"/>
    <d v="2025-09-28T01:38:55"/>
    <s v="https://etrain.info/train/SBC-Guwahati-Express-12510/history?d=1y"/>
    <n v="945"/>
    <x v="4"/>
  </r>
  <r>
    <x v="43"/>
    <s v="Sbc Guwahati Express"/>
    <s v="KOJ"/>
    <x v="284"/>
    <n v="7"/>
    <n v="92.31"/>
    <n v="7.69"/>
    <n v="0"/>
    <n v="0"/>
    <d v="2025-09-28T01:38:59"/>
    <s v="https://etrain.info/train/SBC-Guwahati-Express-12510/history?d=1y"/>
    <n v="946"/>
    <x v="5"/>
  </r>
  <r>
    <x v="43"/>
    <s v="Sbc Guwahati Express"/>
    <s v="NOQ"/>
    <x v="283"/>
    <n v="18"/>
    <n v="30.77"/>
    <n v="69.23"/>
    <n v="0"/>
    <n v="0"/>
    <d v="2025-09-28T01:39:01"/>
    <s v="https://etrain.info/train/SBC-Guwahati-Express-12510/history?d=1y"/>
    <n v="947"/>
    <x v="6"/>
  </r>
  <r>
    <x v="43"/>
    <s v="Sbc Guwahati Express"/>
    <s v="NCB"/>
    <x v="282"/>
    <n v="21"/>
    <n v="23.08"/>
    <n v="76.92"/>
    <n v="0"/>
    <n v="0"/>
    <d v="2025-09-28T01:39:03"/>
    <s v="https://etrain.info/train/SBC-Guwahati-Express-12510/history?d=1y"/>
    <n v="948"/>
    <x v="7"/>
  </r>
  <r>
    <x v="43"/>
    <s v="Sbc Guwahati Express"/>
    <s v="DQG"/>
    <x v="281"/>
    <n v="29"/>
    <n v="7.69"/>
    <n v="92.31"/>
    <n v="0"/>
    <n v="0"/>
    <d v="2025-09-28T01:39:05"/>
    <s v="https://etrain.info/train/SBC-Guwahati-Express-12510/history?d=1y"/>
    <n v="949"/>
    <x v="8"/>
  </r>
  <r>
    <x v="43"/>
    <s v="Sbc Guwahati Express"/>
    <s v="JPE"/>
    <x v="280"/>
    <n v="22"/>
    <n v="38.46"/>
    <n v="61.54"/>
    <n v="0"/>
    <n v="0"/>
    <d v="2025-09-28T01:39:07"/>
    <s v="https://etrain.info/train/SBC-Guwahati-Express-12510/history?d=1y"/>
    <n v="950"/>
    <x v="9"/>
  </r>
  <r>
    <x v="43"/>
    <s v="Sbc Guwahati Express"/>
    <s v="NJP"/>
    <x v="133"/>
    <n v="8"/>
    <n v="76.92"/>
    <n v="23.08"/>
    <n v="0"/>
    <n v="0"/>
    <d v="2025-09-28T01:39:08"/>
    <s v="https://etrain.info/train/SBC-Guwahati-Express-12510/history?d=1y"/>
    <n v="951"/>
    <x v="10"/>
  </r>
  <r>
    <x v="43"/>
    <s v="Sbc Guwahati Express"/>
    <s v="KNE"/>
    <x v="132"/>
    <n v="20"/>
    <n v="69.23"/>
    <n v="30.77"/>
    <n v="0"/>
    <n v="0"/>
    <d v="2025-09-28T01:39:12"/>
    <s v="https://etrain.info/train/SBC-Guwahati-Express-12510/history?d=1y"/>
    <n v="952"/>
    <x v="11"/>
  </r>
  <r>
    <x v="43"/>
    <s v="Sbc Guwahati Express"/>
    <s v="BOE"/>
    <x v="131"/>
    <n v="19"/>
    <n v="38.46"/>
    <n v="61.54"/>
    <n v="0"/>
    <n v="0"/>
    <d v="2025-09-28T01:39:14"/>
    <s v="https://etrain.info/train/SBC-Guwahati-Express-12510/history?d=1y"/>
    <n v="953"/>
    <x v="12"/>
  </r>
  <r>
    <x v="43"/>
    <s v="Sbc Guwahati Express"/>
    <s v="MLDT"/>
    <x v="130"/>
    <n v="12"/>
    <n v="76.92"/>
    <n v="15.38"/>
    <n v="7.69"/>
    <n v="0.01"/>
    <d v="2025-09-28T01:39:16"/>
    <s v="https://etrain.info/train/SBC-Guwahati-Express-12510/history?d=1y"/>
    <n v="954"/>
    <x v="13"/>
  </r>
  <r>
    <x v="43"/>
    <s v="Sbc Guwahati Express"/>
    <s v="NFK"/>
    <x v="279"/>
    <n v="21"/>
    <n v="69.23"/>
    <n v="15.38"/>
    <n v="15.38"/>
    <n v="0.01"/>
    <d v="2025-09-28T01:39:18"/>
    <s v="https://etrain.info/train/SBC-Guwahati-Express-12510/history?d=1y"/>
    <n v="955"/>
    <x v="14"/>
  </r>
  <r>
    <x v="43"/>
    <s v="Sbc Guwahati Express"/>
    <s v="RPH"/>
    <x v="278"/>
    <n v="19"/>
    <n v="69.23"/>
    <n v="15.38"/>
    <n v="15.38"/>
    <n v="0.01"/>
    <d v="2025-09-28T01:39:20"/>
    <s v="https://etrain.info/train/SBC-Guwahati-Express-12510/history?d=1y"/>
    <n v="956"/>
    <x v="15"/>
  </r>
  <r>
    <x v="43"/>
    <s v="Sbc Guwahati Express"/>
    <s v="BHP"/>
    <x v="129"/>
    <n v="24"/>
    <n v="53.85"/>
    <n v="30.77"/>
    <n v="15.38"/>
    <n v="0"/>
    <d v="2025-09-28T01:39:24"/>
    <s v="https://etrain.info/train/SBC-Guwahati-Express-12510/history?d=1y"/>
    <n v="957"/>
    <x v="16"/>
  </r>
  <r>
    <x v="43"/>
    <s v="Sbc Guwahati Express"/>
    <s v="DKAE"/>
    <x v="277"/>
    <n v="58"/>
    <n v="0"/>
    <n v="53.85"/>
    <n v="46.15"/>
    <n v="0"/>
    <d v="2025-09-28T01:39:25"/>
    <s v="https://etrain.info/train/SBC-Guwahati-Express-12510/history?d=1y"/>
    <n v="958"/>
    <x v="17"/>
  </r>
  <r>
    <x v="43"/>
    <s v="Sbc Guwahati Express"/>
    <s v="KGP"/>
    <x v="43"/>
    <n v="78"/>
    <n v="0"/>
    <n v="46.15"/>
    <n v="53.85"/>
    <n v="0"/>
    <d v="2025-09-28T01:39:27"/>
    <s v="https://etrain.info/train/SBC-Guwahati-Express-12510/history?d=1y"/>
    <n v="959"/>
    <x v="18"/>
  </r>
  <r>
    <x v="43"/>
    <s v="Sbc Guwahati Express"/>
    <s v="BLS"/>
    <x v="44"/>
    <m/>
    <n v="0"/>
    <n v="23.08"/>
    <n v="76.92"/>
    <n v="0"/>
    <d v="2025-09-28T01:39:30"/>
    <s v="https://etrain.info/train/SBC-Guwahati-Express-12510/history?d=1y"/>
    <n v="960"/>
    <x v="19"/>
  </r>
  <r>
    <x v="43"/>
    <s v="Sbc Guwahati Express"/>
    <s v="BHC"/>
    <x v="45"/>
    <n v="97"/>
    <n v="0"/>
    <n v="23.08"/>
    <n v="76.92"/>
    <n v="0"/>
    <d v="2025-09-28T01:39:32"/>
    <s v="https://etrain.info/train/SBC-Guwahati-Express-12510/history?d=1y"/>
    <n v="961"/>
    <x v="20"/>
  </r>
  <r>
    <x v="43"/>
    <s v="Sbc Guwahati Express"/>
    <s v="JJKR"/>
    <x v="46"/>
    <n v="97"/>
    <n v="0"/>
    <n v="23.08"/>
    <n v="76.92"/>
    <n v="0"/>
    <d v="2025-09-28T01:39:33"/>
    <s v="https://etrain.info/train/SBC-Guwahati-Express-12510/history?d=1y"/>
    <n v="962"/>
    <x v="21"/>
  </r>
  <r>
    <x v="43"/>
    <s v="Sbc Guwahati Express"/>
    <s v="CTC"/>
    <x v="47"/>
    <n v="131"/>
    <n v="0"/>
    <n v="15.38"/>
    <n v="84.62"/>
    <n v="0"/>
    <d v="2025-09-28T01:39:35"/>
    <s v="https://etrain.info/train/SBC-Guwahati-Express-12510/history?d=1y"/>
    <n v="963"/>
    <x v="22"/>
  </r>
  <r>
    <x v="43"/>
    <s v="Sbc Guwahati Express"/>
    <s v="BBS"/>
    <x v="48"/>
    <n v="124"/>
    <n v="0"/>
    <n v="7.69"/>
    <n v="92.31"/>
    <n v="0"/>
    <d v="2025-09-28T01:39:37"/>
    <s v="https://etrain.info/train/SBC-Guwahati-Express-12510/history?d=1y"/>
    <n v="964"/>
    <x v="23"/>
  </r>
  <r>
    <x v="43"/>
    <s v="Sbc Guwahati Express"/>
    <s v="KUR"/>
    <x v="49"/>
    <n v="119"/>
    <n v="0"/>
    <n v="15.38"/>
    <n v="84.62"/>
    <n v="0"/>
    <d v="2025-09-28T01:39:39"/>
    <s v="https://etrain.info/train/SBC-Guwahati-Express-12510/history?d=1y"/>
    <n v="965"/>
    <x v="24"/>
  </r>
  <r>
    <x v="43"/>
    <s v="Sbc Guwahati Express"/>
    <s v="BALU"/>
    <x v="50"/>
    <n v="126"/>
    <n v="0"/>
    <n v="7.69"/>
    <n v="92.31"/>
    <n v="0"/>
    <d v="2025-09-28T01:39:41"/>
    <s v="https://etrain.info/train/SBC-Guwahati-Express-12510/history?d=1y"/>
    <n v="966"/>
    <x v="25"/>
  </r>
  <r>
    <x v="43"/>
    <s v="Sbc Guwahati Express"/>
    <s v="BAM"/>
    <x v="52"/>
    <n v="123"/>
    <n v="0"/>
    <n v="7.69"/>
    <n v="92.31"/>
    <n v="0"/>
    <d v="2025-09-28T01:39:43"/>
    <s v="https://etrain.info/train/SBC-Guwahati-Express-12510/history?d=1y"/>
    <n v="967"/>
    <x v="26"/>
  </r>
  <r>
    <x v="43"/>
    <s v="Sbc Guwahati Express"/>
    <s v="PSA"/>
    <x v="55"/>
    <n v="110"/>
    <n v="0"/>
    <n v="15.38"/>
    <n v="84.62"/>
    <n v="0"/>
    <d v="2025-09-28T01:39:45"/>
    <s v="https://etrain.info/train/SBC-Guwahati-Express-12510/history?d=1y"/>
    <n v="968"/>
    <x v="27"/>
  </r>
  <r>
    <x v="43"/>
    <s v="Sbc Guwahati Express"/>
    <s v="CHE"/>
    <x v="57"/>
    <n v="112"/>
    <n v="0"/>
    <n v="15.38"/>
    <n v="84.62"/>
    <n v="0"/>
    <d v="2025-09-28T01:39:46"/>
    <s v="https://etrain.info/train/SBC-Guwahati-Express-12510/history?d=1y"/>
    <n v="969"/>
    <x v="28"/>
  </r>
  <r>
    <x v="43"/>
    <s v="Sbc Guwahati Express"/>
    <s v="VZM"/>
    <x v="59"/>
    <n v="124"/>
    <n v="0"/>
    <n v="7.69"/>
    <n v="92.31"/>
    <n v="0"/>
    <d v="2025-09-28T01:39:48"/>
    <s v="https://etrain.info/train/SBC-Guwahati-Express-12510/history?d=1y"/>
    <n v="970"/>
    <x v="29"/>
  </r>
  <r>
    <x v="43"/>
    <s v="Sbc Guwahati Express"/>
    <s v="VSKP"/>
    <x v="60"/>
    <n v="133"/>
    <n v="0"/>
    <n v="15.38"/>
    <n v="84.62"/>
    <n v="0"/>
    <d v="2025-09-28T01:39:49"/>
    <s v="https://etrain.info/train/SBC-Guwahati-Express-12510/history?d=1y"/>
    <n v="971"/>
    <x v="30"/>
  </r>
  <r>
    <x v="43"/>
    <s v="Sbc Guwahati Express"/>
    <s v="RJY"/>
    <x v="65"/>
    <n v="161"/>
    <n v="0"/>
    <n v="15.38"/>
    <n v="84.62"/>
    <n v="0"/>
    <d v="2025-09-28T01:39:51"/>
    <s v="https://etrain.info/train/SBC-Guwahati-Express-12510/history?d=1y"/>
    <n v="972"/>
    <x v="31"/>
  </r>
  <r>
    <x v="43"/>
    <s v="Sbc Guwahati Express"/>
    <s v="BZA"/>
    <x v="30"/>
    <n v="158"/>
    <n v="0"/>
    <n v="15.38"/>
    <n v="84.62"/>
    <n v="0"/>
    <d v="2025-09-28T01:39:53"/>
    <s v="https://etrain.info/train/SBC-Guwahati-Express-12510/history?d=1y"/>
    <n v="973"/>
    <x v="32"/>
  </r>
  <r>
    <x v="43"/>
    <s v="Sbc Guwahati Express"/>
    <s v="PER"/>
    <x v="10"/>
    <n v="200"/>
    <n v="0"/>
    <n v="7.69"/>
    <n v="92.31"/>
    <n v="0"/>
    <d v="2025-09-28T01:39:54"/>
    <s v="https://etrain.info/train/SBC-Guwahati-Express-12510/history?d=1y"/>
    <n v="974"/>
    <x v="33"/>
  </r>
  <r>
    <x v="43"/>
    <s v="Sbc Guwahati Express"/>
    <s v="AJJ"/>
    <x v="2"/>
    <n v="201"/>
    <n v="7.69"/>
    <n v="0"/>
    <n v="92.31"/>
    <n v="0"/>
    <d v="2025-09-28T01:39:56"/>
    <s v="https://etrain.info/train/SBC-Guwahati-Express-12510/history?d=1y"/>
    <n v="975"/>
    <x v="34"/>
  </r>
  <r>
    <x v="43"/>
    <s v="Sbc Guwahati Express"/>
    <s v="KPD"/>
    <x v="3"/>
    <n v="187"/>
    <n v="7.69"/>
    <n v="7.69"/>
    <n v="84.62"/>
    <n v="0"/>
    <d v="2025-09-28T01:39:57"/>
    <s v="https://etrain.info/train/SBC-Guwahati-Express-12510/history?d=1y"/>
    <n v="976"/>
    <x v="35"/>
  </r>
  <r>
    <x v="43"/>
    <s v="Sbc Guwahati Express"/>
    <s v="JTJ"/>
    <x v="4"/>
    <n v="182"/>
    <n v="7.69"/>
    <n v="7.69"/>
    <n v="84.62"/>
    <n v="0"/>
    <d v="2025-09-28T01:39:59"/>
    <s v="https://etrain.info/train/SBC-Guwahati-Express-12510/history?d=1y"/>
    <n v="977"/>
    <x v="36"/>
  </r>
  <r>
    <x v="43"/>
    <s v="Sbc Guwahati Express"/>
    <s v="BWT"/>
    <x v="78"/>
    <n v="198"/>
    <n v="7.69"/>
    <n v="7.69"/>
    <n v="84.62"/>
    <n v="0"/>
    <d v="2025-09-28T01:40:00"/>
    <s v="https://etrain.info/train/SBC-Guwahati-Express-12510/history?d=1y"/>
    <n v="978"/>
    <x v="37"/>
  </r>
  <r>
    <x v="43"/>
    <s v="Sbc Guwahati Express"/>
    <s v="KJM"/>
    <x v="77"/>
    <n v="208"/>
    <n v="0"/>
    <n v="15.38"/>
    <n v="84.62"/>
    <n v="0"/>
    <d v="2025-09-28T01:40:02"/>
    <s v="https://etrain.info/train/SBC-Guwahati-Express-12510/history?d=1y"/>
    <n v="979"/>
    <x v="38"/>
  </r>
  <r>
    <x v="43"/>
    <s v="Sbc Guwahati Express"/>
    <s v="SMVB"/>
    <x v="76"/>
    <n v="169"/>
    <n v="15.38"/>
    <n v="0"/>
    <n v="84.62"/>
    <n v="0"/>
    <d v="2025-09-28T01:40:04"/>
    <s v="https://etrain.info/train/SBC-Guwahati-Express-12510/history?d=1y"/>
    <n v="980"/>
    <x v="39"/>
  </r>
  <r>
    <x v="44"/>
    <s v="Nagercoil Express"/>
    <s v="CSMT"/>
    <x v="163"/>
    <n v="5"/>
    <n v="94.12"/>
    <n v="0"/>
    <n v="5.88"/>
    <n v="0"/>
    <d v="2025-09-28T01:40:12"/>
    <s v="https://etrain.info/train/Nagercoil-Express-16339/history?d=1y"/>
    <n v="981"/>
    <x v="0"/>
  </r>
  <r>
    <x v="44"/>
    <s v="Nagercoil Express"/>
    <s v="DR"/>
    <x v="164"/>
    <n v="9"/>
    <n v="94.12"/>
    <n v="0"/>
    <n v="5.88"/>
    <n v="0"/>
    <d v="2025-09-28T01:40:16"/>
    <s v="https://etrain.info/train/Nagercoil-Express-16339/history?d=1y"/>
    <n v="982"/>
    <x v="1"/>
  </r>
  <r>
    <x v="44"/>
    <s v="Nagercoil Express"/>
    <s v="TNA"/>
    <x v="165"/>
    <n v="13"/>
    <n v="88.24"/>
    <n v="5.88"/>
    <n v="5.88"/>
    <n v="0"/>
    <d v="2025-09-28T01:40:20"/>
    <s v="https://etrain.info/train/Nagercoil-Express-16339/history?d=1y"/>
    <n v="983"/>
    <x v="2"/>
  </r>
  <r>
    <x v="44"/>
    <s v="Nagercoil Express"/>
    <s v="KYN"/>
    <x v="166"/>
    <n v="26"/>
    <n v="5.88"/>
    <n v="88.24"/>
    <n v="5.88"/>
    <n v="0"/>
    <d v="2025-09-28T01:40:23"/>
    <s v="https://etrain.info/train/Nagercoil-Express-16339/history?d=1y"/>
    <n v="984"/>
    <x v="3"/>
  </r>
  <r>
    <x v="44"/>
    <s v="Nagercoil Express"/>
    <s v="KJT"/>
    <x v="290"/>
    <m/>
    <n v="41.18"/>
    <n v="52.94"/>
    <n v="5.88"/>
    <n v="0"/>
    <d v="2025-09-28T01:40:25"/>
    <s v="https://etrain.info/train/Nagercoil-Express-16339/history?d=1y"/>
    <n v="985"/>
    <x v="4"/>
  </r>
  <r>
    <x v="44"/>
    <s v="Nagercoil Express"/>
    <s v="PUNE"/>
    <x v="206"/>
    <n v="31"/>
    <n v="11.76"/>
    <n v="82.35"/>
    <n v="5.88"/>
    <n v="0.01"/>
    <d v="2025-09-28T01:40:27"/>
    <s v="https://etrain.info/train/Nagercoil-Express-16339/history?d=1y"/>
    <n v="986"/>
    <x v="5"/>
  </r>
  <r>
    <x v="44"/>
    <s v="Nagercoil Express"/>
    <s v="DD"/>
    <x v="291"/>
    <m/>
    <n v="5.88"/>
    <n v="82.35"/>
    <n v="11.76"/>
    <n v="0"/>
    <d v="2025-09-28T01:40:29"/>
    <s v="https://etrain.info/train/Nagercoil-Express-16339/history?d=1y"/>
    <n v="987"/>
    <x v="6"/>
  </r>
  <r>
    <x v="44"/>
    <s v="Nagercoil Express"/>
    <s v="KWV"/>
    <x v="292"/>
    <n v="35"/>
    <n v="0"/>
    <n v="88.24"/>
    <n v="11.76"/>
    <n v="0"/>
    <d v="2025-09-28T01:40:33"/>
    <s v="https://etrain.info/train/Nagercoil-Express-16339/history?d=1y"/>
    <n v="988"/>
    <x v="7"/>
  </r>
  <r>
    <x v="44"/>
    <s v="Nagercoil Express"/>
    <s v="SUR"/>
    <x v="207"/>
    <n v="52"/>
    <n v="0"/>
    <n v="88.24"/>
    <n v="11.76"/>
    <n v="0"/>
    <d v="2025-09-28T01:40:37"/>
    <s v="https://etrain.info/train/Nagercoil-Express-16339/history?d=1y"/>
    <n v="989"/>
    <x v="8"/>
  </r>
  <r>
    <x v="44"/>
    <s v="Nagercoil Express"/>
    <s v="KLBG"/>
    <x v="208"/>
    <m/>
    <n v="35.29"/>
    <n v="52.94"/>
    <n v="11.76"/>
    <n v="0"/>
    <d v="2025-09-28T01:40:39"/>
    <s v="https://etrain.info/train/Nagercoil-Express-16339/history?d=1y"/>
    <n v="990"/>
    <x v="9"/>
  </r>
  <r>
    <x v="44"/>
    <s v="Nagercoil Express"/>
    <s v="SDB"/>
    <x v="293"/>
    <n v="27"/>
    <n v="29.41"/>
    <n v="58.82"/>
    <n v="11.76"/>
    <n v="0.01"/>
    <d v="2025-09-28T01:40:40"/>
    <s v="https://etrain.info/train/Nagercoil-Express-16339/history?d=1y"/>
    <n v="991"/>
    <x v="10"/>
  </r>
  <r>
    <x v="44"/>
    <s v="Nagercoil Express"/>
    <s v="WADI"/>
    <x v="209"/>
    <n v="10"/>
    <n v="88.24"/>
    <n v="5.88"/>
    <n v="5.88"/>
    <n v="0"/>
    <d v="2025-09-28T01:40:44"/>
    <s v="https://etrain.info/train/Nagercoil-Express-16339/history?d=1y"/>
    <n v="992"/>
    <x v="11"/>
  </r>
  <r>
    <x v="44"/>
    <s v="Nagercoil Express"/>
    <s v="YG"/>
    <x v="210"/>
    <n v="14"/>
    <n v="82.35"/>
    <n v="11.76"/>
    <n v="5.88"/>
    <n v="0.01"/>
    <d v="2025-09-28T01:40:46"/>
    <s v="https://etrain.info/train/Nagercoil-Express-16339/history?d=1y"/>
    <n v="993"/>
    <x v="12"/>
  </r>
  <r>
    <x v="44"/>
    <s v="Nagercoil Express"/>
    <s v="RC"/>
    <x v="212"/>
    <n v="18"/>
    <n v="64.709999999999994"/>
    <n v="29.41"/>
    <n v="5.88"/>
    <n v="0"/>
    <d v="2025-09-28T01:40:49"/>
    <s v="https://etrain.info/train/Nagercoil-Express-16339/history?d=1y"/>
    <n v="994"/>
    <x v="13"/>
  </r>
  <r>
    <x v="44"/>
    <s v="Nagercoil Express"/>
    <s v="MALM"/>
    <x v="213"/>
    <m/>
    <n v="82.35"/>
    <n v="11.76"/>
    <n v="5.88"/>
    <n v="0"/>
    <d v="2025-09-28T01:40:51"/>
    <s v="https://etrain.info/train/Nagercoil-Express-16339/history?d=1y"/>
    <n v="995"/>
    <x v="14"/>
  </r>
  <r>
    <x v="44"/>
    <s v="Nagercoil Express"/>
    <s v="AD"/>
    <x v="214"/>
    <n v="26"/>
    <n v="47.06"/>
    <n v="47.06"/>
    <n v="5.88"/>
    <n v="0"/>
    <d v="2025-09-28T01:40:54"/>
    <s v="https://etrain.info/train/Nagercoil-Express-16339/history?d=1y"/>
    <n v="996"/>
    <x v="15"/>
  </r>
  <r>
    <x v="44"/>
    <s v="Nagercoil Express"/>
    <s v="GTL"/>
    <x v="215"/>
    <n v="19"/>
    <n v="58.82"/>
    <n v="35.29"/>
    <n v="5.88"/>
    <n v="0.01"/>
    <d v="2025-09-28T01:40:56"/>
    <s v="https://etrain.info/train/Nagercoil-Express-16339/history?d=1y"/>
    <n v="997"/>
    <x v="16"/>
  </r>
  <r>
    <x v="44"/>
    <s v="Nagercoil Express"/>
    <s v="ATP"/>
    <x v="294"/>
    <n v="25"/>
    <n v="41.18"/>
    <n v="52.94"/>
    <n v="5.88"/>
    <n v="0"/>
    <d v="2025-09-28T01:41:00"/>
    <s v="https://etrain.info/train/Nagercoil-Express-16339/history?d=1y"/>
    <n v="998"/>
    <x v="17"/>
  </r>
  <r>
    <x v="44"/>
    <s v="Nagercoil Express"/>
    <s v="DMM"/>
    <x v="295"/>
    <m/>
    <n v="58.82"/>
    <n v="35.29"/>
    <n v="5.88"/>
    <n v="0"/>
    <d v="2025-09-28T01:41:01"/>
    <s v="https://etrain.info/train/Nagercoil-Express-16339/history?d=1y"/>
    <n v="999"/>
    <x v="18"/>
  </r>
  <r>
    <x v="44"/>
    <s v="Nagercoil Express"/>
    <s v="KRY"/>
    <x v="296"/>
    <n v="23"/>
    <n v="58.82"/>
    <n v="35.29"/>
    <n v="5.88"/>
    <n v="0.01"/>
    <d v="2025-09-28T01:41:03"/>
    <s v="https://etrain.info/train/Nagercoil-Express-16339/history?d=1y"/>
    <n v="1000"/>
    <x v="19"/>
  </r>
  <r>
    <x v="44"/>
    <s v="Nagercoil Express"/>
    <s v="MPL"/>
    <x v="297"/>
    <n v="28"/>
    <n v="35.29"/>
    <n v="58.82"/>
    <n v="5.88"/>
    <n v="0.01"/>
    <d v="2025-09-28T01:41:04"/>
    <s v="https://etrain.info/train/Nagercoil-Express-16339/history?d=1y"/>
    <n v="1001"/>
    <x v="20"/>
  </r>
  <r>
    <x v="44"/>
    <s v="Nagercoil Express"/>
    <s v="PIL"/>
    <x v="298"/>
    <m/>
    <n v="70.59"/>
    <n v="23.53"/>
    <n v="5.88"/>
    <n v="0"/>
    <d v="2025-09-28T01:41:07"/>
    <s v="https://etrain.info/train/Nagercoil-Express-16339/history?d=1y"/>
    <n v="1002"/>
    <x v="21"/>
  </r>
  <r>
    <x v="44"/>
    <s v="Nagercoil Express"/>
    <s v="PAK"/>
    <x v="299"/>
    <n v="36"/>
    <n v="11.76"/>
    <n v="82.35"/>
    <n v="5.88"/>
    <n v="0.01"/>
    <d v="2025-09-28T01:41:08"/>
    <s v="https://etrain.info/train/Nagercoil-Express-16339/history?d=1y"/>
    <n v="1003"/>
    <x v="22"/>
  </r>
  <r>
    <x v="44"/>
    <s v="Nagercoil Express"/>
    <s v="CTO"/>
    <x v="115"/>
    <n v="35"/>
    <n v="17.649999999999999"/>
    <n v="70.59"/>
    <n v="11.76"/>
    <n v="0"/>
    <d v="2025-09-28T01:41:11"/>
    <s v="https://etrain.info/train/Nagercoil-Express-16339/history?d=1y"/>
    <n v="1004"/>
    <x v="23"/>
  </r>
  <r>
    <x v="44"/>
    <s v="Nagercoil Express"/>
    <s v="KPD"/>
    <x v="3"/>
    <n v="19"/>
    <n v="47.06"/>
    <n v="52.94"/>
    <n v="0"/>
    <n v="0"/>
    <d v="2025-09-28T01:41:13"/>
    <s v="https://etrain.info/train/Nagercoil-Express-16339/history?d=1y"/>
    <n v="1005"/>
    <x v="24"/>
  </r>
  <r>
    <x v="44"/>
    <s v="Nagercoil Express"/>
    <s v="TPT"/>
    <x v="300"/>
    <n v="13"/>
    <n v="70.59"/>
    <n v="29.41"/>
    <n v="0"/>
    <n v="0"/>
    <d v="2025-09-28T01:41:16"/>
    <s v="https://etrain.info/train/Nagercoil-Express-16339/history?d=1y"/>
    <n v="1006"/>
    <x v="25"/>
  </r>
  <r>
    <x v="44"/>
    <s v="Nagercoil Express"/>
    <s v="SLY"/>
    <x v="225"/>
    <m/>
    <n v="52.94"/>
    <n v="47.06"/>
    <n v="0"/>
    <n v="0"/>
    <d v="2025-09-28T01:41:18"/>
    <s v="https://etrain.info/train/Nagercoil-Express-16339/history?d=1y"/>
    <n v="1007"/>
    <x v="26"/>
  </r>
  <r>
    <x v="44"/>
    <s v="Nagercoil Express"/>
    <s v="SA"/>
    <x v="5"/>
    <n v="23"/>
    <n v="11.76"/>
    <n v="88.24"/>
    <n v="0"/>
    <n v="0"/>
    <d v="2025-09-28T01:41:20"/>
    <s v="https://etrain.info/train/Nagercoil-Express-16339/history?d=1y"/>
    <n v="1008"/>
    <x v="27"/>
  </r>
  <r>
    <x v="44"/>
    <s v="Nagercoil Express"/>
    <s v="NMKL"/>
    <x v="196"/>
    <m/>
    <n v="35.29"/>
    <n v="64.709999999999994"/>
    <n v="0"/>
    <n v="0"/>
    <d v="2025-09-28T01:41:23"/>
    <s v="https://etrain.info/train/Nagercoil-Express-16339/history?d=1y"/>
    <n v="1009"/>
    <x v="28"/>
  </r>
  <r>
    <x v="44"/>
    <s v="Nagercoil Express"/>
    <s v="KRR"/>
    <x v="198"/>
    <n v="6"/>
    <n v="94.12"/>
    <n v="5.88"/>
    <n v="0"/>
    <n v="0"/>
    <d v="2025-09-28T01:41:26"/>
    <s v="https://etrain.info/train/Nagercoil-Express-16339/history?d=1y"/>
    <n v="1010"/>
    <x v="29"/>
  </r>
  <r>
    <x v="44"/>
    <s v="Nagercoil Express"/>
    <s v="DG"/>
    <x v="19"/>
    <n v="6"/>
    <n v="94.12"/>
    <n v="5.88"/>
    <n v="0"/>
    <n v="0"/>
    <d v="2025-09-28T01:41:30"/>
    <s v="https://etrain.info/train/Nagercoil-Express-16339/history?d=1y"/>
    <n v="1011"/>
    <x v="30"/>
  </r>
  <r>
    <x v="44"/>
    <s v="Nagercoil Express"/>
    <s v="KQN"/>
    <x v="21"/>
    <n v="15"/>
    <n v="64.709999999999994"/>
    <n v="35.29"/>
    <n v="0"/>
    <n v="0"/>
    <d v="2025-09-28T01:41:33"/>
    <s v="https://etrain.info/train/Nagercoil-Express-16339/history?d=1y"/>
    <n v="1012"/>
    <x v="31"/>
  </r>
  <r>
    <x v="44"/>
    <s v="Nagercoil Express"/>
    <s v="MDU"/>
    <x v="22"/>
    <n v="8"/>
    <n v="76.47"/>
    <n v="23.53"/>
    <n v="0"/>
    <n v="0"/>
    <d v="2025-09-28T01:41:35"/>
    <s v="https://etrain.info/train/Nagercoil-Express-16339/history?d=1y"/>
    <n v="1013"/>
    <x v="32"/>
  </r>
  <r>
    <x v="44"/>
    <s v="Nagercoil Express"/>
    <s v="VPT"/>
    <x v="26"/>
    <n v="10"/>
    <n v="76.47"/>
    <n v="23.53"/>
    <n v="0"/>
    <n v="0"/>
    <d v="2025-09-28T01:41:37"/>
    <s v="https://etrain.info/train/Nagercoil-Express-16339/history?d=1y"/>
    <n v="1014"/>
    <x v="33"/>
  </r>
  <r>
    <x v="44"/>
    <s v="Nagercoil Express"/>
    <s v="SRT"/>
    <x v="27"/>
    <n v="10"/>
    <n v="76.47"/>
    <n v="23.53"/>
    <n v="0"/>
    <n v="0"/>
    <d v="2025-09-28T01:41:38"/>
    <s v="https://etrain.info/train/Nagercoil-Express-16339/history?d=1y"/>
    <n v="1015"/>
    <x v="34"/>
  </r>
  <r>
    <x v="44"/>
    <s v="Nagercoil Express"/>
    <s v="CVP"/>
    <x v="28"/>
    <n v="9"/>
    <n v="82.35"/>
    <n v="17.649999999999999"/>
    <n v="0"/>
    <n v="0"/>
    <d v="2025-09-28T01:41:42"/>
    <s v="https://etrain.info/train/Nagercoil-Express-16339/history?d=1y"/>
    <n v="1016"/>
    <x v="35"/>
  </r>
  <r>
    <x v="44"/>
    <s v="Nagercoil Express"/>
    <s v="TEN"/>
    <x v="29"/>
    <n v="0"/>
    <n v="100"/>
    <n v="0"/>
    <n v="0"/>
    <n v="0"/>
    <d v="2025-09-28T01:41:44"/>
    <s v="https://etrain.info/train/Nagercoil-Express-16339/history?d=1y"/>
    <n v="1017"/>
    <x v="36"/>
  </r>
  <r>
    <x v="44"/>
    <s v="Nagercoil Express"/>
    <s v="NNN"/>
    <x v="301"/>
    <n v="3"/>
    <n v="100"/>
    <n v="0"/>
    <n v="0"/>
    <n v="0"/>
    <d v="2025-09-28T01:41:45"/>
    <s v="https://etrain.info/train/Nagercoil-Express-16339/history?d=1y"/>
    <n v="1018"/>
    <x v="37"/>
  </r>
  <r>
    <x v="44"/>
    <s v="Nagercoil Express"/>
    <s v="VLY"/>
    <x v="302"/>
    <m/>
    <n v="100"/>
    <n v="0"/>
    <n v="0"/>
    <n v="0"/>
    <d v="2025-09-28T01:41:48"/>
    <s v="https://etrain.info/train/Nagercoil-Express-16339/history?d=1y"/>
    <n v="1019"/>
    <x v="38"/>
  </r>
  <r>
    <x v="44"/>
    <s v="Nagercoil Express"/>
    <s v="NCJ"/>
    <x v="303"/>
    <m/>
    <n v="100"/>
    <n v="0"/>
    <n v="0"/>
    <n v="0"/>
    <d v="2025-09-28T01:41:49"/>
    <s v="https://etrain.info/train/Nagercoil-Express-16339/history?d=1y"/>
    <n v="1020"/>
    <x v="39"/>
  </r>
  <r>
    <x v="45"/>
    <s v="Nagercoil Express"/>
    <s v="NCJ"/>
    <x v="303"/>
    <n v="1"/>
    <n v="100"/>
    <n v="0"/>
    <n v="0"/>
    <n v="0"/>
    <d v="2025-09-28T01:41:56"/>
    <s v="https://etrain.info/train/Nagercoil-Express-16340/history?d=1y"/>
    <n v="1021"/>
    <x v="0"/>
  </r>
  <r>
    <x v="45"/>
    <s v="Nagercoil Express"/>
    <s v="VLY"/>
    <x v="302"/>
    <n v="0"/>
    <n v="100"/>
    <n v="0"/>
    <n v="0"/>
    <n v="0"/>
    <d v="2025-09-28T01:41:58"/>
    <s v="https://etrain.info/train/Nagercoil-Express-16340/history?d=1y"/>
    <n v="1022"/>
    <x v="1"/>
  </r>
  <r>
    <x v="45"/>
    <s v="Nagercoil Express"/>
    <s v="NNN"/>
    <x v="301"/>
    <n v="2"/>
    <n v="100"/>
    <n v="0"/>
    <n v="0"/>
    <n v="0"/>
    <d v="2025-09-28T01:41:59"/>
    <s v="https://etrain.info/train/Nagercoil-Express-16340/history?d=1y"/>
    <n v="1023"/>
    <x v="2"/>
  </r>
  <r>
    <x v="45"/>
    <s v="Nagercoil Express"/>
    <s v="TEN"/>
    <x v="29"/>
    <n v="2"/>
    <n v="100"/>
    <n v="0"/>
    <n v="0"/>
    <n v="0"/>
    <d v="2025-09-28T01:42:01"/>
    <s v="https://etrain.info/train/Nagercoil-Express-16340/history?d=1y"/>
    <n v="1024"/>
    <x v="3"/>
  </r>
  <r>
    <x v="45"/>
    <s v="Nagercoil Express"/>
    <s v="CVP"/>
    <x v="28"/>
    <m/>
    <n v="75"/>
    <n v="25"/>
    <n v="0"/>
    <n v="0"/>
    <d v="2025-09-28T01:42:03"/>
    <s v="https://etrain.info/train/Nagercoil-Express-16340/history?d=1y"/>
    <n v="1025"/>
    <x v="4"/>
  </r>
  <r>
    <x v="45"/>
    <s v="Nagercoil Express"/>
    <s v="SRT"/>
    <x v="27"/>
    <m/>
    <n v="75"/>
    <n v="25"/>
    <n v="0"/>
    <n v="0"/>
    <d v="2025-09-28T01:42:06"/>
    <s v="https://etrain.info/train/Nagercoil-Express-16340/history?d=1y"/>
    <n v="1026"/>
    <x v="5"/>
  </r>
  <r>
    <x v="45"/>
    <s v="Nagercoil Express"/>
    <s v="VPT"/>
    <x v="26"/>
    <n v="8"/>
    <n v="81.25"/>
    <n v="18.75"/>
    <n v="0"/>
    <n v="0"/>
    <d v="2025-09-28T01:42:08"/>
    <s v="https://etrain.info/train/Nagercoil-Express-16340/history?d=1y"/>
    <n v="1027"/>
    <x v="6"/>
  </r>
  <r>
    <x v="45"/>
    <s v="Nagercoil Express"/>
    <s v="MDU"/>
    <x v="22"/>
    <n v="19"/>
    <n v="56.25"/>
    <n v="31.25"/>
    <n v="12.5"/>
    <n v="0"/>
    <d v="2025-09-28T01:42:09"/>
    <s v="https://etrain.info/train/Nagercoil-Express-16340/history?d=1y"/>
    <n v="1028"/>
    <x v="7"/>
  </r>
  <r>
    <x v="45"/>
    <s v="Nagercoil Express"/>
    <s v="KQN"/>
    <x v="21"/>
    <m/>
    <n v="25"/>
    <n v="37.5"/>
    <n v="37.5"/>
    <n v="0"/>
    <d v="2025-09-28T01:42:12"/>
    <s v="https://etrain.info/train/Nagercoil-Express-16340/history?d=1y"/>
    <n v="1029"/>
    <x v="8"/>
  </r>
  <r>
    <x v="45"/>
    <s v="Nagercoil Express"/>
    <s v="DG"/>
    <x v="19"/>
    <n v="39"/>
    <n v="37.5"/>
    <n v="31.25"/>
    <n v="31.25"/>
    <n v="0"/>
    <d v="2025-09-28T01:42:14"/>
    <s v="https://etrain.info/train/Nagercoil-Express-16340/history?d=1y"/>
    <n v="1030"/>
    <x v="9"/>
  </r>
  <r>
    <x v="45"/>
    <s v="Nagercoil Express"/>
    <s v="KRR"/>
    <x v="198"/>
    <n v="43"/>
    <n v="12.5"/>
    <n v="50"/>
    <n v="37.5"/>
    <n v="0"/>
    <d v="2025-09-28T01:42:15"/>
    <s v="https://etrain.info/train/Nagercoil-Express-16340/history?d=1y"/>
    <n v="1031"/>
    <x v="10"/>
  </r>
  <r>
    <x v="45"/>
    <s v="Nagercoil Express"/>
    <s v="NMKL"/>
    <x v="196"/>
    <m/>
    <n v="25"/>
    <n v="50"/>
    <n v="25"/>
    <n v="0"/>
    <d v="2025-09-28T01:42:18"/>
    <s v="https://etrain.info/train/Nagercoil-Express-16340/history?d=1y"/>
    <n v="1032"/>
    <x v="11"/>
  </r>
  <r>
    <x v="45"/>
    <s v="Nagercoil Express"/>
    <s v="SA"/>
    <x v="5"/>
    <n v="16"/>
    <n v="56.25"/>
    <n v="43.75"/>
    <n v="0"/>
    <n v="0"/>
    <d v="2025-09-28T01:42:20"/>
    <s v="https://etrain.info/train/Nagercoil-Express-16340/history?d=1y"/>
    <n v="1033"/>
    <x v="12"/>
  </r>
  <r>
    <x v="45"/>
    <s v="Nagercoil Express"/>
    <s v="SLY"/>
    <x v="225"/>
    <n v="40"/>
    <n v="0"/>
    <n v="93.75"/>
    <n v="6.25"/>
    <n v="0"/>
    <d v="2025-09-28T01:42:22"/>
    <s v="https://etrain.info/train/Nagercoil-Express-16340/history?d=1y"/>
    <n v="1034"/>
    <x v="13"/>
  </r>
  <r>
    <x v="45"/>
    <s v="Nagercoil Express"/>
    <s v="TPT"/>
    <x v="300"/>
    <m/>
    <n v="6.25"/>
    <n v="75"/>
    <n v="18.75"/>
    <n v="0"/>
    <d v="2025-09-28T01:42:25"/>
    <s v="https://etrain.info/train/Nagercoil-Express-16340/history?d=1y"/>
    <n v="1035"/>
    <x v="14"/>
  </r>
  <r>
    <x v="45"/>
    <s v="Nagercoil Express"/>
    <s v="KPD"/>
    <x v="3"/>
    <m/>
    <n v="87.5"/>
    <n v="12.5"/>
    <n v="0"/>
    <n v="0"/>
    <d v="2025-09-28T01:42:27"/>
    <s v="https://etrain.info/train/Nagercoil-Express-16340/history?d=1y"/>
    <n v="1036"/>
    <x v="15"/>
  </r>
  <r>
    <x v="45"/>
    <s v="Nagercoil Express"/>
    <s v="CTO"/>
    <x v="115"/>
    <n v="15"/>
    <n v="75"/>
    <n v="25"/>
    <n v="0"/>
    <n v="0"/>
    <d v="2025-09-28T01:42:29"/>
    <s v="https://etrain.info/train/Nagercoil-Express-16340/history?d=1y"/>
    <n v="1037"/>
    <x v="16"/>
  </r>
  <r>
    <x v="45"/>
    <s v="Nagercoil Express"/>
    <s v="PAK"/>
    <x v="299"/>
    <n v="28"/>
    <n v="0"/>
    <n v="93.75"/>
    <n v="6.25"/>
    <n v="0"/>
    <d v="2025-09-28T01:42:31"/>
    <s v="https://etrain.info/train/Nagercoil-Express-16340/history?d=1y"/>
    <n v="1038"/>
    <x v="17"/>
  </r>
  <r>
    <x v="45"/>
    <s v="Nagercoil Express"/>
    <s v="PIL"/>
    <x v="298"/>
    <n v="31"/>
    <n v="0"/>
    <n v="93.75"/>
    <n v="6.25"/>
    <n v="0"/>
    <d v="2025-09-28T01:42:32"/>
    <s v="https://etrain.info/train/Nagercoil-Express-16340/history?d=1y"/>
    <n v="1039"/>
    <x v="18"/>
  </r>
  <r>
    <x v="45"/>
    <s v="Nagercoil Express"/>
    <s v="MPL"/>
    <x v="297"/>
    <n v="34"/>
    <n v="6.25"/>
    <n v="87.5"/>
    <n v="6.25"/>
    <n v="0"/>
    <d v="2025-09-28T01:42:34"/>
    <s v="https://etrain.info/train/Nagercoil-Express-16340/history?d=1y"/>
    <n v="1040"/>
    <x v="19"/>
  </r>
  <r>
    <x v="45"/>
    <s v="Nagercoil Express"/>
    <s v="KRY"/>
    <x v="296"/>
    <n v="27"/>
    <n v="37.5"/>
    <n v="56.25"/>
    <n v="6.25"/>
    <n v="0"/>
    <d v="2025-09-28T01:42:36"/>
    <s v="https://etrain.info/train/Nagercoil-Express-16340/history?d=1y"/>
    <n v="1041"/>
    <x v="20"/>
  </r>
  <r>
    <x v="45"/>
    <s v="Nagercoil Express"/>
    <s v="DMM"/>
    <x v="295"/>
    <n v="11"/>
    <n v="75"/>
    <n v="25"/>
    <n v="0"/>
    <n v="0"/>
    <d v="2025-09-28T01:42:38"/>
    <s v="https://etrain.info/train/Nagercoil-Express-16340/history?d=1y"/>
    <n v="1042"/>
    <x v="21"/>
  </r>
  <r>
    <x v="45"/>
    <s v="Nagercoil Express"/>
    <s v="ATP"/>
    <x v="294"/>
    <n v="10"/>
    <n v="68.75"/>
    <n v="31.25"/>
    <n v="0"/>
    <n v="0"/>
    <d v="2025-09-28T01:42:40"/>
    <s v="https://etrain.info/train/Nagercoil-Express-16340/history?d=1y"/>
    <n v="1043"/>
    <x v="22"/>
  </r>
  <r>
    <x v="45"/>
    <s v="Nagercoil Express"/>
    <s v="GTL"/>
    <x v="215"/>
    <n v="15"/>
    <n v="56.25"/>
    <n v="43.75"/>
    <n v="0"/>
    <n v="0"/>
    <d v="2025-09-28T01:42:42"/>
    <s v="https://etrain.info/train/Nagercoil-Express-16340/history?d=1y"/>
    <n v="1044"/>
    <x v="23"/>
  </r>
  <r>
    <x v="45"/>
    <s v="Nagercoil Express"/>
    <s v="AD"/>
    <x v="214"/>
    <n v="24"/>
    <n v="25"/>
    <n v="75"/>
    <n v="0"/>
    <n v="0"/>
    <d v="2025-09-28T01:42:43"/>
    <s v="https://etrain.info/train/Nagercoil-Express-16340/history?d=1y"/>
    <n v="1045"/>
    <x v="24"/>
  </r>
  <r>
    <x v="45"/>
    <s v="Nagercoil Express"/>
    <s v="MALM"/>
    <x v="213"/>
    <n v="24"/>
    <n v="18.75"/>
    <n v="75"/>
    <n v="6.25"/>
    <n v="0"/>
    <d v="2025-09-28T01:42:45"/>
    <s v="https://etrain.info/train/Nagercoil-Express-16340/history?d=1y"/>
    <n v="1046"/>
    <x v="25"/>
  </r>
  <r>
    <x v="45"/>
    <s v="Nagercoil Express"/>
    <s v="RC"/>
    <x v="212"/>
    <m/>
    <n v="68.75"/>
    <n v="31.25"/>
    <n v="0"/>
    <n v="0"/>
    <d v="2025-09-28T01:42:48"/>
    <s v="https://etrain.info/train/Nagercoil-Express-16340/history?d=1y"/>
    <n v="1047"/>
    <x v="26"/>
  </r>
  <r>
    <x v="45"/>
    <s v="Nagercoil Express"/>
    <s v="YG"/>
    <x v="210"/>
    <n v="19"/>
    <n v="37.5"/>
    <n v="62.5"/>
    <n v="0"/>
    <n v="0"/>
    <d v="2025-09-28T01:42:49"/>
    <s v="https://etrain.info/train/Nagercoil-Express-16340/history?d=1y"/>
    <n v="1048"/>
    <x v="27"/>
  </r>
  <r>
    <x v="45"/>
    <s v="Nagercoil Express"/>
    <s v="WADI"/>
    <x v="209"/>
    <n v="10"/>
    <n v="81.25"/>
    <n v="18.75"/>
    <n v="0"/>
    <n v="0"/>
    <d v="2025-09-28T01:42:51"/>
    <s v="https://etrain.info/train/Nagercoil-Express-16340/history?d=1y"/>
    <n v="1049"/>
    <x v="28"/>
  </r>
  <r>
    <x v="45"/>
    <s v="Nagercoil Express"/>
    <s v="SDB"/>
    <x v="293"/>
    <n v="10"/>
    <n v="81.25"/>
    <n v="18.75"/>
    <n v="0"/>
    <n v="0"/>
    <d v="2025-09-28T01:42:53"/>
    <s v="https://etrain.info/train/Nagercoil-Express-16340/history?d=1y"/>
    <n v="1050"/>
    <x v="29"/>
  </r>
  <r>
    <x v="45"/>
    <s v="Nagercoil Express"/>
    <s v="KLBG"/>
    <x v="208"/>
    <n v="17"/>
    <n v="56.25"/>
    <n v="43.75"/>
    <n v="0"/>
    <n v="0"/>
    <d v="2025-09-28T01:42:55"/>
    <s v="https://etrain.info/train/Nagercoil-Express-16340/history?d=1y"/>
    <n v="1051"/>
    <x v="30"/>
  </r>
  <r>
    <x v="45"/>
    <s v="Nagercoil Express"/>
    <s v="SUR"/>
    <x v="207"/>
    <n v="18"/>
    <n v="43.75"/>
    <n v="56.25"/>
    <n v="0"/>
    <n v="0"/>
    <d v="2025-09-28T01:42:57"/>
    <s v="https://etrain.info/train/Nagercoil-Express-16340/history?d=1y"/>
    <n v="1052"/>
    <x v="31"/>
  </r>
  <r>
    <x v="45"/>
    <s v="Nagercoil Express"/>
    <s v="KWV"/>
    <x v="292"/>
    <n v="19"/>
    <n v="43.75"/>
    <n v="56.25"/>
    <n v="0"/>
    <n v="0"/>
    <d v="2025-09-28T01:42:59"/>
    <s v="https://etrain.info/train/Nagercoil-Express-16340/history?d=1y"/>
    <n v="1053"/>
    <x v="32"/>
  </r>
  <r>
    <x v="45"/>
    <s v="Nagercoil Express"/>
    <s v="DD"/>
    <x v="291"/>
    <n v="7"/>
    <n v="87.5"/>
    <n v="12.5"/>
    <n v="0"/>
    <n v="0"/>
    <d v="2025-09-28T01:43:01"/>
    <s v="https://etrain.info/train/Nagercoil-Express-16340/history?d=1y"/>
    <n v="1054"/>
    <x v="33"/>
  </r>
  <r>
    <x v="45"/>
    <s v="Nagercoil Express"/>
    <s v="PUNE"/>
    <x v="206"/>
    <n v="14"/>
    <n v="68.75"/>
    <n v="31.25"/>
    <n v="0"/>
    <n v="0"/>
    <d v="2025-09-28T01:43:03"/>
    <s v="https://etrain.info/train/Nagercoil-Express-16340/history?d=1y"/>
    <n v="1055"/>
    <x v="34"/>
  </r>
  <r>
    <x v="45"/>
    <s v="Nagercoil Express"/>
    <s v="KYN"/>
    <x v="166"/>
    <n v="29"/>
    <n v="12.5"/>
    <n v="81.25"/>
    <n v="6.25"/>
    <n v="0"/>
    <d v="2025-09-28T01:43:05"/>
    <s v="https://etrain.info/train/Nagercoil-Express-16340/history?d=1y"/>
    <n v="1056"/>
    <x v="35"/>
  </r>
  <r>
    <x v="45"/>
    <s v="Nagercoil Express"/>
    <s v="TNA"/>
    <x v="165"/>
    <n v="31"/>
    <n v="12.5"/>
    <n v="81.25"/>
    <n v="6.25"/>
    <n v="0"/>
    <d v="2025-09-28T01:43:06"/>
    <s v="https://etrain.info/train/Nagercoil-Express-16340/history?d=1y"/>
    <n v="1057"/>
    <x v="36"/>
  </r>
  <r>
    <x v="45"/>
    <s v="Nagercoil Express"/>
    <s v="DR"/>
    <x v="164"/>
    <n v="27"/>
    <n v="18.75"/>
    <n v="75"/>
    <n v="6.25"/>
    <n v="0"/>
    <d v="2025-09-28T01:43:08"/>
    <s v="https://etrain.info/train/Nagercoil-Express-16340/history?d=1y"/>
    <n v="1058"/>
    <x v="37"/>
  </r>
  <r>
    <x v="45"/>
    <s v="Nagercoil Express"/>
    <s v="CSMT"/>
    <x v="163"/>
    <n v="17"/>
    <n v="62.5"/>
    <n v="37.5"/>
    <n v="0"/>
    <n v="0"/>
    <d v="2025-09-28T01:43:10"/>
    <s v="https://etrain.info/train/Nagercoil-Express-16340/history?d=1y"/>
    <n v="1059"/>
    <x v="38"/>
  </r>
  <r>
    <x v="46"/>
    <s v="Guruvayur Express"/>
    <s v="MS"/>
    <x v="11"/>
    <n v="0"/>
    <n v="100"/>
    <n v="0"/>
    <n v="0"/>
    <n v="0"/>
    <d v="2025-09-28T01:43:16"/>
    <s v="https://etrain.info/train/Guruvayur-Express-16127/history?d=1y"/>
    <n v="1060"/>
    <x v="0"/>
  </r>
  <r>
    <x v="46"/>
    <s v="Guruvayur Express"/>
    <s v="TBM"/>
    <x v="12"/>
    <m/>
    <n v="100"/>
    <n v="0"/>
    <n v="0"/>
    <n v="0"/>
    <d v="2025-09-28T01:43:19"/>
    <s v="https://etrain.info/train/Guruvayur-Express-16127/history?d=1y"/>
    <n v="1061"/>
    <x v="1"/>
  </r>
  <r>
    <x v="46"/>
    <s v="Guruvayur Express"/>
    <s v="CGL"/>
    <x v="13"/>
    <n v="3"/>
    <n v="96.67"/>
    <n v="3.33"/>
    <n v="0"/>
    <n v="0"/>
    <d v="2025-09-28T01:43:23"/>
    <s v="https://etrain.info/train/Guruvayur-Express-16127/history?d=1y"/>
    <n v="1062"/>
    <x v="2"/>
  </r>
  <r>
    <x v="46"/>
    <s v="Guruvayur Express"/>
    <s v="MLMR"/>
    <x v="14"/>
    <n v="16"/>
    <n v="63.33"/>
    <n v="36.67"/>
    <n v="0"/>
    <n v="0"/>
    <d v="2025-09-28T01:43:25"/>
    <s v="https://etrain.info/train/Guruvayur-Express-16127/history?d=1y"/>
    <n v="1063"/>
    <x v="3"/>
  </r>
  <r>
    <x v="46"/>
    <s v="Guruvayur Express"/>
    <s v="TMV"/>
    <x v="24"/>
    <n v="15"/>
    <n v="56.67"/>
    <n v="43.33"/>
    <n v="0"/>
    <n v="0"/>
    <d v="2025-09-28T01:43:26"/>
    <s v="https://etrain.info/train/Guruvayur-Express-16127/history?d=1y"/>
    <n v="1064"/>
    <x v="4"/>
  </r>
  <r>
    <x v="46"/>
    <s v="Guruvayur Express"/>
    <s v="VM"/>
    <x v="15"/>
    <n v="3"/>
    <n v="93.33"/>
    <n v="6.67"/>
    <n v="0"/>
    <n v="0"/>
    <d v="2025-09-28T01:43:31"/>
    <s v="https://etrain.info/train/Guruvayur-Express-16127/history?d=1y"/>
    <n v="1065"/>
    <x v="5"/>
  </r>
  <r>
    <x v="46"/>
    <s v="Guruvayur Express"/>
    <s v="VRI"/>
    <x v="16"/>
    <n v="4"/>
    <n v="93.33"/>
    <n v="6.67"/>
    <n v="0"/>
    <n v="0"/>
    <d v="2025-09-28T01:43:34"/>
    <s v="https://etrain.info/train/Guruvayur-Express-16127/history?d=1y"/>
    <n v="1066"/>
    <x v="6"/>
  </r>
  <r>
    <x v="46"/>
    <s v="Guruvayur Express"/>
    <s v="PNDM"/>
    <x v="304"/>
    <n v="3"/>
    <n v="93.33"/>
    <n v="6.67"/>
    <n v="0"/>
    <n v="0"/>
    <d v="2025-09-28T01:43:38"/>
    <s v="https://etrain.info/train/Guruvayur-Express-16127/history?d=1y"/>
    <n v="1067"/>
    <x v="7"/>
  </r>
  <r>
    <x v="46"/>
    <s v="Guruvayur Express"/>
    <s v="ALU"/>
    <x v="305"/>
    <n v="19"/>
    <n v="70"/>
    <n v="26.67"/>
    <n v="3.33"/>
    <n v="0"/>
    <d v="2025-09-28T01:43:42"/>
    <s v="https://etrain.info/train/Guruvayur-Express-16127/history?d=1y"/>
    <n v="1068"/>
    <x v="8"/>
  </r>
  <r>
    <x v="46"/>
    <s v="Guruvayur Express"/>
    <s v="SRGM"/>
    <x v="306"/>
    <n v="18"/>
    <n v="70"/>
    <n v="26.67"/>
    <n v="3.33"/>
    <n v="0"/>
    <d v="2025-09-28T01:43:46"/>
    <s v="https://etrain.info/train/Guruvayur-Express-16127/history?d=1y"/>
    <n v="1069"/>
    <x v="9"/>
  </r>
  <r>
    <x v="46"/>
    <s v="Guruvayur Express"/>
    <s v="TPJ"/>
    <x v="17"/>
    <n v="8"/>
    <n v="86.67"/>
    <n v="10"/>
    <n v="3.33"/>
    <n v="0"/>
    <d v="2025-09-28T01:43:51"/>
    <s v="https://etrain.info/train/Guruvayur-Express-16127/history?d=1y"/>
    <n v="1070"/>
    <x v="10"/>
  </r>
  <r>
    <x v="46"/>
    <s v="Guruvayur Express"/>
    <s v="MPA"/>
    <x v="18"/>
    <n v="16"/>
    <n v="80"/>
    <n v="16.670000000000002"/>
    <n v="3.33"/>
    <n v="0"/>
    <d v="2025-09-28T01:43:54"/>
    <s v="https://etrain.info/train/Guruvayur-Express-16127/history?d=1y"/>
    <n v="1071"/>
    <x v="11"/>
  </r>
  <r>
    <x v="46"/>
    <s v="Guruvayur Express"/>
    <s v="DG"/>
    <x v="19"/>
    <n v="20"/>
    <n v="46.67"/>
    <n v="50"/>
    <n v="3.33"/>
    <n v="0"/>
    <d v="2025-09-28T01:43:58"/>
    <s v="https://etrain.info/train/Guruvayur-Express-16127/history?d=1y"/>
    <n v="1072"/>
    <x v="12"/>
  </r>
  <r>
    <x v="46"/>
    <s v="Guruvayur Express"/>
    <s v="KQN"/>
    <x v="21"/>
    <n v="21"/>
    <n v="33.33"/>
    <n v="63.33"/>
    <n v="3.33"/>
    <n v="0.01"/>
    <d v="2025-09-28T01:44:00"/>
    <s v="https://etrain.info/train/Guruvayur-Express-16127/history?d=1y"/>
    <n v="1073"/>
    <x v="13"/>
  </r>
  <r>
    <x v="46"/>
    <s v="Guruvayur Express"/>
    <s v="SDN"/>
    <x v="25"/>
    <n v="27"/>
    <n v="16.670000000000002"/>
    <n v="80"/>
    <n v="3.33"/>
    <n v="0"/>
    <d v="2025-09-28T01:44:04"/>
    <s v="https://etrain.info/train/Guruvayur-Express-16127/history?d=1y"/>
    <n v="1074"/>
    <x v="14"/>
  </r>
  <r>
    <x v="46"/>
    <s v="Guruvayur Express"/>
    <s v="KON"/>
    <x v="307"/>
    <n v="27"/>
    <n v="20"/>
    <n v="76.67"/>
    <n v="3.33"/>
    <n v="0"/>
    <d v="2025-09-28T01:44:08"/>
    <s v="https://etrain.info/train/Guruvayur-Express-16127/history?d=1y"/>
    <n v="1075"/>
    <x v="15"/>
  </r>
  <r>
    <x v="46"/>
    <s v="Guruvayur Express"/>
    <s v="MDU"/>
    <x v="22"/>
    <n v="15"/>
    <n v="60"/>
    <n v="36.67"/>
    <n v="3.33"/>
    <n v="0"/>
    <d v="2025-09-28T01:44:12"/>
    <s v="https://etrain.info/train/Guruvayur-Express-16127/history?d=1y"/>
    <n v="1076"/>
    <x v="16"/>
  </r>
  <r>
    <x v="46"/>
    <s v="Guruvayur Express"/>
    <s v="VPT"/>
    <x v="26"/>
    <n v="13"/>
    <n v="73.33"/>
    <n v="23.33"/>
    <n v="3.33"/>
    <n v="0.01"/>
    <d v="2025-09-28T01:44:14"/>
    <s v="https://etrain.info/train/Guruvayur-Express-16127/history?d=1y"/>
    <n v="1077"/>
    <x v="17"/>
  </r>
  <r>
    <x v="46"/>
    <s v="Guruvayur Express"/>
    <s v="SRT"/>
    <x v="27"/>
    <n v="13"/>
    <n v="73.33"/>
    <n v="23.33"/>
    <n v="3.33"/>
    <n v="0.01"/>
    <d v="2025-09-28T01:44:16"/>
    <s v="https://etrain.info/train/Guruvayur-Express-16127/history?d=1y"/>
    <n v="1078"/>
    <x v="18"/>
  </r>
  <r>
    <x v="46"/>
    <s v="Guruvayur Express"/>
    <s v="CVP"/>
    <x v="28"/>
    <n v="22"/>
    <n v="43.33"/>
    <n v="53.33"/>
    <n v="3.33"/>
    <n v="0.01"/>
    <d v="2025-09-28T01:44:18"/>
    <s v="https://etrain.info/train/Guruvayur-Express-16127/history?d=1y"/>
    <n v="1079"/>
    <x v="19"/>
  </r>
  <r>
    <x v="46"/>
    <s v="Guruvayur Express"/>
    <s v="MEJ"/>
    <x v="308"/>
    <n v="27"/>
    <n v="33.33"/>
    <n v="63.33"/>
    <n v="3.33"/>
    <n v="0.01"/>
    <d v="2025-09-28T01:44:19"/>
    <s v="https://etrain.info/train/Guruvayur-Express-16127/history?d=1y"/>
    <n v="1080"/>
    <x v="20"/>
  </r>
  <r>
    <x v="46"/>
    <s v="Guruvayur Express"/>
    <s v="TEN"/>
    <x v="29"/>
    <n v="22"/>
    <n v="40"/>
    <n v="56.67"/>
    <n v="3.33"/>
    <n v="0"/>
    <d v="2025-09-28T01:44:23"/>
    <s v="https://etrain.info/train/Guruvayur-Express-16127/history?d=1y"/>
    <n v="1081"/>
    <x v="21"/>
  </r>
  <r>
    <x v="46"/>
    <s v="Guruvayur Express"/>
    <s v="NNN"/>
    <x v="301"/>
    <n v="27"/>
    <n v="33.33"/>
    <n v="63.33"/>
    <n v="3.33"/>
    <n v="0.01"/>
    <d v="2025-09-28T01:44:25"/>
    <s v="https://etrain.info/train/Guruvayur-Express-16127/history?d=1y"/>
    <n v="1082"/>
    <x v="22"/>
  </r>
  <r>
    <x v="46"/>
    <s v="Guruvayur Express"/>
    <s v="VLY"/>
    <x v="302"/>
    <n v="26"/>
    <n v="33.33"/>
    <n v="63.33"/>
    <n v="3.33"/>
    <n v="0.01"/>
    <d v="2025-09-28T01:44:27"/>
    <s v="https://etrain.info/train/Guruvayur-Express-16127/history?d=1y"/>
    <n v="1083"/>
    <x v="23"/>
  </r>
  <r>
    <x v="46"/>
    <s v="Guruvayur Express"/>
    <s v="AAY"/>
    <x v="309"/>
    <n v="24"/>
    <n v="36.67"/>
    <n v="60"/>
    <n v="3.33"/>
    <n v="0"/>
    <d v="2025-09-28T01:44:32"/>
    <s v="https://etrain.info/train/Guruvayur-Express-16127/history?d=1y"/>
    <n v="1084"/>
    <x v="24"/>
  </r>
  <r>
    <x v="46"/>
    <s v="Guruvayur Express"/>
    <s v="NJT"/>
    <x v="310"/>
    <n v="16"/>
    <n v="60"/>
    <n v="36.67"/>
    <n v="3.33"/>
    <n v="0"/>
    <d v="2025-09-28T01:44:36"/>
    <s v="https://etrain.info/train/Guruvayur-Express-16127/history?d=1y"/>
    <n v="1085"/>
    <x v="25"/>
  </r>
  <r>
    <x v="46"/>
    <s v="Guruvayur Express"/>
    <s v="ERL"/>
    <x v="311"/>
    <m/>
    <n v="26.67"/>
    <n v="70"/>
    <n v="3.33"/>
    <n v="0"/>
    <d v="2025-09-28T01:44:38"/>
    <s v="https://etrain.info/train/Guruvayur-Express-16127/history?d=1y"/>
    <n v="1086"/>
    <x v="26"/>
  </r>
  <r>
    <x v="46"/>
    <s v="Guruvayur Express"/>
    <s v="KZT"/>
    <x v="312"/>
    <n v="30"/>
    <n v="23.33"/>
    <n v="73.33"/>
    <n v="3.33"/>
    <n v="0.01"/>
    <d v="2025-09-28T01:44:39"/>
    <s v="https://etrain.info/train/Guruvayur-Express-16127/history?d=1y"/>
    <n v="1087"/>
    <x v="27"/>
  </r>
  <r>
    <x v="46"/>
    <s v="Guruvayur Express"/>
    <s v="NYY"/>
    <x v="313"/>
    <m/>
    <n v="10"/>
    <n v="83.33"/>
    <n v="6.67"/>
    <n v="0"/>
    <d v="2025-09-28T01:44:41"/>
    <s v="https://etrain.info/train/Guruvayur-Express-16127/history?d=1y"/>
    <n v="1088"/>
    <x v="28"/>
  </r>
  <r>
    <x v="46"/>
    <s v="Guruvayur Express"/>
    <s v="TVC"/>
    <x v="100"/>
    <n v="30"/>
    <n v="20"/>
    <n v="73.33"/>
    <n v="6.67"/>
    <n v="0"/>
    <d v="2025-09-28T01:44:45"/>
    <s v="https://etrain.info/train/Guruvayur-Express-16127/history?d=1y"/>
    <n v="1089"/>
    <x v="29"/>
  </r>
  <r>
    <x v="46"/>
    <s v="Guruvayur Express"/>
    <s v="CRY"/>
    <x v="314"/>
    <n v="14"/>
    <n v="80"/>
    <n v="6.67"/>
    <n v="13.33"/>
    <n v="0"/>
    <d v="2025-09-28T01:44:46"/>
    <s v="https://etrain.info/train/Guruvayur-Express-16127/history?d=1y"/>
    <n v="1090"/>
    <x v="30"/>
  </r>
  <r>
    <x v="46"/>
    <s v="Guruvayur Express"/>
    <s v="KVU"/>
    <x v="315"/>
    <n v="53"/>
    <n v="6.67"/>
    <n v="70"/>
    <n v="23.33"/>
    <n v="0"/>
    <d v="2025-09-28T01:44:48"/>
    <s v="https://etrain.info/train/Guruvayur-Express-16127/history?d=1y"/>
    <n v="1091"/>
    <x v="31"/>
  </r>
  <r>
    <x v="46"/>
    <s v="Guruvayur Express"/>
    <s v="VAK"/>
    <x v="101"/>
    <m/>
    <n v="10"/>
    <n v="66.67"/>
    <n v="23.33"/>
    <n v="0"/>
    <d v="2025-09-28T01:44:50"/>
    <s v="https://etrain.info/train/Guruvayur-Express-16127/history?d=1y"/>
    <n v="1092"/>
    <x v="32"/>
  </r>
  <r>
    <x v="46"/>
    <s v="Guruvayur Express"/>
    <s v="PVU"/>
    <x v="316"/>
    <n v="59"/>
    <n v="6.67"/>
    <n v="60"/>
    <n v="33.33"/>
    <n v="0"/>
    <d v="2025-09-28T01:44:51"/>
    <s v="https://etrain.info/train/Guruvayur-Express-16127/history?d=1y"/>
    <n v="1093"/>
    <x v="33"/>
  </r>
  <r>
    <x v="46"/>
    <s v="Guruvayur Express"/>
    <s v="QLN"/>
    <x v="102"/>
    <n v="59"/>
    <n v="13.33"/>
    <n v="53.33"/>
    <n v="33.33"/>
    <n v="0.01"/>
    <d v="2025-09-28T01:44:54"/>
    <s v="https://etrain.info/train/Guruvayur-Express-16127/history?d=1y"/>
    <n v="1094"/>
    <x v="34"/>
  </r>
  <r>
    <x v="46"/>
    <s v="Guruvayur Express"/>
    <s v="KYJ"/>
    <x v="103"/>
    <n v="69"/>
    <n v="0"/>
    <n v="50"/>
    <n v="50"/>
    <n v="0"/>
    <d v="2025-09-28T01:44:56"/>
    <s v="https://etrain.info/train/Guruvayur-Express-16127/history?d=1y"/>
    <n v="1095"/>
    <x v="35"/>
  </r>
  <r>
    <x v="46"/>
    <s v="Guruvayur Express"/>
    <s v="HAD"/>
    <x v="317"/>
    <n v="70"/>
    <n v="0"/>
    <n v="46.67"/>
    <n v="53.33"/>
    <n v="0"/>
    <d v="2025-09-28T01:44:57"/>
    <s v="https://etrain.info/train/Guruvayur-Express-16127/history?d=1y"/>
    <n v="1096"/>
    <x v="36"/>
  </r>
  <r>
    <x v="46"/>
    <s v="Guruvayur Express"/>
    <s v="ALLP"/>
    <x v="318"/>
    <n v="73"/>
    <n v="0"/>
    <n v="36.67"/>
    <n v="63.33"/>
    <n v="0"/>
    <d v="2025-09-28T01:44:59"/>
    <s v="https://etrain.info/train/Guruvayur-Express-16127/history?d=1y"/>
    <n v="1097"/>
    <x v="37"/>
  </r>
  <r>
    <x v="46"/>
    <s v="Guruvayur Express"/>
    <s v="SRTL"/>
    <x v="319"/>
    <n v="77"/>
    <n v="0"/>
    <n v="30"/>
    <n v="70"/>
    <n v="0"/>
    <d v="2025-09-28T01:45:01"/>
    <s v="https://etrain.info/train/Guruvayur-Express-16127/history?d=1y"/>
    <n v="1098"/>
    <x v="38"/>
  </r>
  <r>
    <x v="46"/>
    <s v="Guruvayur Express"/>
    <s v="ERS"/>
    <x v="320"/>
    <n v="43"/>
    <n v="16.670000000000002"/>
    <n v="60"/>
    <n v="23.33"/>
    <n v="0"/>
    <d v="2025-09-28T01:45:02"/>
    <s v="https://etrain.info/train/Guruvayur-Express-16127/history?d=1y"/>
    <n v="1099"/>
    <x v="39"/>
  </r>
  <r>
    <x v="46"/>
    <s v="Guruvayur Express"/>
    <s v="ERN"/>
    <x v="110"/>
    <n v="45"/>
    <n v="10"/>
    <n v="66.67"/>
    <n v="23.33"/>
    <n v="0"/>
    <d v="2025-09-28T01:45:04"/>
    <s v="https://etrain.info/train/Guruvayur-Express-16127/history?d=1y"/>
    <n v="1100"/>
    <x v="40"/>
  </r>
  <r>
    <x v="46"/>
    <s v="Guruvayur Express"/>
    <s v="AWY"/>
    <x v="111"/>
    <n v="42"/>
    <n v="10"/>
    <n v="66.67"/>
    <n v="23.33"/>
    <n v="0"/>
    <d v="2025-09-28T01:45:05"/>
    <s v="https://etrain.info/train/Guruvayur-Express-16127/history?d=1y"/>
    <n v="1101"/>
    <x v="41"/>
  </r>
  <r>
    <x v="46"/>
    <s v="Guruvayur Express"/>
    <s v="AFK"/>
    <x v="321"/>
    <n v="46"/>
    <n v="6.67"/>
    <n v="70"/>
    <n v="23.33"/>
    <n v="0"/>
    <d v="2025-09-28T01:45:07"/>
    <s v="https://etrain.info/train/Guruvayur-Express-16127/history?d=1y"/>
    <n v="1102"/>
    <x v="42"/>
  </r>
  <r>
    <x v="46"/>
    <s v="Guruvayur Express"/>
    <s v="CKI"/>
    <x v="322"/>
    <m/>
    <n v="6.67"/>
    <n v="63.33"/>
    <n v="30"/>
    <n v="0"/>
    <d v="2025-09-28T01:45:09"/>
    <s v="https://etrain.info/train/Guruvayur-Express-16127/history?d=1y"/>
    <n v="1103"/>
    <x v="43"/>
  </r>
  <r>
    <x v="46"/>
    <s v="Guruvayur Express"/>
    <s v="IJK"/>
    <x v="323"/>
    <n v="54"/>
    <n v="6.67"/>
    <n v="63.33"/>
    <n v="30"/>
    <n v="0"/>
    <d v="2025-09-28T01:45:11"/>
    <s v="https://etrain.info/train/Guruvayur-Express-16127/history?d=1y"/>
    <n v="1104"/>
    <x v="44"/>
  </r>
  <r>
    <x v="46"/>
    <s v="Guruvayur Express"/>
    <s v="TCR"/>
    <x v="112"/>
    <n v="30"/>
    <n v="53.33"/>
    <n v="20"/>
    <n v="26.67"/>
    <n v="0"/>
    <d v="2025-09-28T01:45:13"/>
    <s v="https://etrain.info/train/Guruvayur-Express-16127/history?d=1y"/>
    <n v="1105"/>
    <x v="45"/>
  </r>
  <r>
    <x v="46"/>
    <s v="Guruvayur Express"/>
    <s v="PNQ"/>
    <x v="324"/>
    <n v="36"/>
    <n v="43.33"/>
    <n v="26.67"/>
    <n v="30"/>
    <n v="0"/>
    <d v="2025-09-28T01:45:15"/>
    <s v="https://etrain.info/train/Guruvayur-Express-16127/history?d=1y"/>
    <n v="1106"/>
    <x v="46"/>
  </r>
  <r>
    <x v="46"/>
    <s v="Guruvayur Express"/>
    <s v="GUV"/>
    <x v="325"/>
    <n v="22"/>
    <n v="70"/>
    <n v="13.33"/>
    <n v="16.670000000000002"/>
    <n v="0"/>
    <d v="2025-09-28T01:45:17"/>
    <s v="https://etrain.info/train/Guruvayur-Express-16127/history?d=1y"/>
    <n v="1107"/>
    <x v="47"/>
  </r>
  <r>
    <x v="47"/>
    <s v="Guruvayur Express"/>
    <s v="GUV"/>
    <x v="325"/>
    <m/>
    <n v="100"/>
    <n v="0"/>
    <n v="0"/>
    <n v="0"/>
    <d v="2025-09-28T01:45:23"/>
    <s v="https://etrain.info/train/Guruvayur-Express-16128/history?d=1y"/>
    <n v="1108"/>
    <x v="0"/>
  </r>
  <r>
    <x v="47"/>
    <s v="Guruvayur Express"/>
    <s v="PNQ"/>
    <x v="324"/>
    <n v="8"/>
    <n v="90"/>
    <n v="10"/>
    <n v="0"/>
    <n v="0"/>
    <d v="2025-09-28T01:45:25"/>
    <s v="https://etrain.info/train/Guruvayur-Express-16128/history?d=1y"/>
    <n v="1109"/>
    <x v="1"/>
  </r>
  <r>
    <x v="47"/>
    <s v="Guruvayur Express"/>
    <s v="TCR"/>
    <x v="112"/>
    <n v="11"/>
    <n v="83.33"/>
    <n v="16.670000000000002"/>
    <n v="0"/>
    <n v="0"/>
    <d v="2025-09-28T01:45:27"/>
    <s v="https://etrain.info/train/Guruvayur-Express-16128/history?d=1y"/>
    <n v="1110"/>
    <x v="2"/>
  </r>
  <r>
    <x v="47"/>
    <s v="Guruvayur Express"/>
    <s v="IJK"/>
    <x v="323"/>
    <n v="17"/>
    <n v="60"/>
    <n v="40"/>
    <n v="0"/>
    <n v="0"/>
    <d v="2025-09-28T01:45:28"/>
    <s v="https://etrain.info/train/Guruvayur-Express-16128/history?d=1y"/>
    <n v="1111"/>
    <x v="3"/>
  </r>
  <r>
    <x v="47"/>
    <s v="Guruvayur Express"/>
    <s v="CKI"/>
    <x v="322"/>
    <m/>
    <n v="50"/>
    <n v="50"/>
    <n v="0"/>
    <n v="0"/>
    <d v="2025-09-28T01:45:31"/>
    <s v="https://etrain.info/train/Guruvayur-Express-16128/history?d=1y"/>
    <n v="1112"/>
    <x v="4"/>
  </r>
  <r>
    <x v="47"/>
    <s v="Guruvayur Express"/>
    <s v="AFK"/>
    <x v="321"/>
    <n v="23"/>
    <n v="26.67"/>
    <n v="70"/>
    <n v="3.33"/>
    <n v="0"/>
    <d v="2025-09-28T01:45:35"/>
    <s v="https://etrain.info/train/Guruvayur-Express-16128/history?d=1y"/>
    <n v="1113"/>
    <x v="5"/>
  </r>
  <r>
    <x v="47"/>
    <s v="Guruvayur Express"/>
    <s v="AWY"/>
    <x v="111"/>
    <n v="29"/>
    <n v="6.67"/>
    <n v="90"/>
    <n v="3.33"/>
    <n v="0"/>
    <d v="2025-09-28T01:45:39"/>
    <s v="https://etrain.info/train/Guruvayur-Express-16128/history?d=1y"/>
    <n v="1114"/>
    <x v="6"/>
  </r>
  <r>
    <x v="47"/>
    <s v="Guruvayur Express"/>
    <s v="ERN"/>
    <x v="110"/>
    <n v="29"/>
    <n v="6.67"/>
    <n v="90"/>
    <n v="3.33"/>
    <n v="0"/>
    <d v="2025-09-28T01:45:43"/>
    <s v="https://etrain.info/train/Guruvayur-Express-16128/history?d=1y"/>
    <n v="1115"/>
    <x v="7"/>
  </r>
  <r>
    <x v="47"/>
    <s v="Guruvayur Express"/>
    <s v="ERS"/>
    <x v="320"/>
    <n v="27"/>
    <n v="13.33"/>
    <n v="83.33"/>
    <n v="3.33"/>
    <n v="0.01"/>
    <d v="2025-09-28T01:45:45"/>
    <s v="https://etrain.info/train/Guruvayur-Express-16128/history?d=1y"/>
    <n v="1116"/>
    <x v="8"/>
  </r>
  <r>
    <x v="47"/>
    <s v="Guruvayur Express"/>
    <s v="SRTL"/>
    <x v="319"/>
    <n v="29"/>
    <n v="10"/>
    <n v="86.67"/>
    <n v="3.33"/>
    <n v="0"/>
    <d v="2025-09-28T01:45:49"/>
    <s v="https://etrain.info/train/Guruvayur-Express-16128/history?d=1y"/>
    <n v="1117"/>
    <x v="9"/>
  </r>
  <r>
    <x v="47"/>
    <s v="Guruvayur Express"/>
    <s v="ALLP"/>
    <x v="318"/>
    <n v="31"/>
    <n v="6.67"/>
    <n v="90"/>
    <n v="3.33"/>
    <n v="0"/>
    <d v="2025-09-28T01:45:52"/>
    <s v="https://etrain.info/train/Guruvayur-Express-16128/history?d=1y"/>
    <n v="1118"/>
    <x v="10"/>
  </r>
  <r>
    <x v="47"/>
    <s v="Guruvayur Express"/>
    <s v="HAD"/>
    <x v="317"/>
    <n v="33"/>
    <n v="6.67"/>
    <n v="90"/>
    <n v="3.33"/>
    <n v="0"/>
    <d v="2025-09-28T01:45:56"/>
    <s v="https://etrain.info/train/Guruvayur-Express-16128/history?d=1y"/>
    <n v="1119"/>
    <x v="11"/>
  </r>
  <r>
    <x v="47"/>
    <s v="Guruvayur Express"/>
    <s v="KYJ"/>
    <x v="103"/>
    <n v="33"/>
    <n v="6.67"/>
    <n v="90"/>
    <n v="3.33"/>
    <n v="0"/>
    <d v="2025-09-28T01:46:00"/>
    <s v="https://etrain.info/train/Guruvayur-Express-16128/history?d=1y"/>
    <n v="1120"/>
    <x v="12"/>
  </r>
  <r>
    <x v="47"/>
    <s v="Guruvayur Express"/>
    <s v="QLN"/>
    <x v="102"/>
    <m/>
    <n v="10"/>
    <n v="86.67"/>
    <n v="3.33"/>
    <n v="0"/>
    <d v="2025-09-28T01:46:02"/>
    <s v="https://etrain.info/train/Guruvayur-Express-16128/history?d=1y"/>
    <n v="1121"/>
    <x v="13"/>
  </r>
  <r>
    <x v="47"/>
    <s v="Guruvayur Express"/>
    <s v="PVU"/>
    <x v="316"/>
    <n v="33"/>
    <n v="6.67"/>
    <n v="90"/>
    <n v="3.33"/>
    <n v="0"/>
    <d v="2025-09-28T01:46:06"/>
    <s v="https://etrain.info/train/Guruvayur-Express-16128/history?d=1y"/>
    <n v="1122"/>
    <x v="14"/>
  </r>
  <r>
    <x v="47"/>
    <s v="Guruvayur Express"/>
    <s v="VAK"/>
    <x v="101"/>
    <n v="38"/>
    <n v="6.67"/>
    <n v="86.67"/>
    <n v="6.67"/>
    <n v="0"/>
    <d v="2025-09-28T01:46:10"/>
    <s v="https://etrain.info/train/Guruvayur-Express-16128/history?d=1y"/>
    <n v="1123"/>
    <x v="15"/>
  </r>
  <r>
    <x v="47"/>
    <s v="Guruvayur Express"/>
    <s v="CRY"/>
    <x v="314"/>
    <n v="8"/>
    <n v="86.67"/>
    <n v="13.33"/>
    <n v="0"/>
    <n v="0"/>
    <d v="2025-09-28T01:46:14"/>
    <s v="https://etrain.info/train/Guruvayur-Express-16128/history?d=1y"/>
    <n v="1124"/>
    <x v="16"/>
  </r>
  <r>
    <x v="47"/>
    <s v="Guruvayur Express"/>
    <s v="TVC"/>
    <x v="100"/>
    <n v="29"/>
    <n v="0"/>
    <n v="96.67"/>
    <n v="3.33"/>
    <n v="0"/>
    <d v="2025-09-28T01:46:17"/>
    <s v="https://etrain.info/train/Guruvayur-Express-16128/history?d=1y"/>
    <n v="1125"/>
    <x v="17"/>
  </r>
  <r>
    <x v="47"/>
    <s v="Guruvayur Express"/>
    <s v="NYY"/>
    <x v="313"/>
    <n v="36"/>
    <n v="0"/>
    <n v="96.67"/>
    <n v="3.33"/>
    <n v="0"/>
    <d v="2025-09-28T01:46:21"/>
    <s v="https://etrain.info/train/Guruvayur-Express-16128/history?d=1y"/>
    <n v="1126"/>
    <x v="18"/>
  </r>
  <r>
    <x v="47"/>
    <s v="Guruvayur Express"/>
    <s v="KZT"/>
    <x v="312"/>
    <n v="39"/>
    <n v="0"/>
    <n v="93.33"/>
    <n v="6.67"/>
    <n v="0"/>
    <d v="2025-09-28T01:46:25"/>
    <s v="https://etrain.info/train/Guruvayur-Express-16128/history?d=1y"/>
    <n v="1127"/>
    <x v="19"/>
  </r>
  <r>
    <x v="47"/>
    <s v="Guruvayur Express"/>
    <s v="ERL"/>
    <x v="311"/>
    <n v="49"/>
    <n v="0"/>
    <n v="93.33"/>
    <n v="6.67"/>
    <n v="0"/>
    <d v="2025-09-28T01:46:29"/>
    <s v="https://etrain.info/train/Guruvayur-Express-16128/history?d=1y"/>
    <n v="1128"/>
    <x v="20"/>
  </r>
  <r>
    <x v="47"/>
    <s v="Guruvayur Express"/>
    <s v="NJT"/>
    <x v="310"/>
    <n v="50"/>
    <n v="0"/>
    <n v="93.33"/>
    <n v="6.67"/>
    <n v="0"/>
    <d v="2025-09-28T01:46:33"/>
    <s v="https://etrain.info/train/Guruvayur-Express-16128/history?d=1y"/>
    <n v="1129"/>
    <x v="21"/>
  </r>
  <r>
    <x v="47"/>
    <s v="Guruvayur Express"/>
    <s v="AAY"/>
    <x v="309"/>
    <m/>
    <n v="3.33"/>
    <n v="93.33"/>
    <n v="3.33"/>
    <n v="0"/>
    <d v="2025-09-28T01:46:35"/>
    <s v="https://etrain.info/train/Guruvayur-Express-16128/history?d=1y"/>
    <n v="1130"/>
    <x v="22"/>
  </r>
  <r>
    <x v="47"/>
    <s v="Guruvayur Express"/>
    <s v="VLY"/>
    <x v="302"/>
    <n v="34"/>
    <n v="0"/>
    <n v="96.67"/>
    <n v="3.33"/>
    <n v="0"/>
    <d v="2025-09-28T01:46:38"/>
    <s v="https://etrain.info/train/Guruvayur-Express-16128/history?d=1y"/>
    <n v="1131"/>
    <x v="23"/>
  </r>
  <r>
    <x v="47"/>
    <s v="Guruvayur Express"/>
    <s v="NNN"/>
    <x v="301"/>
    <n v="36"/>
    <n v="0"/>
    <n v="96.67"/>
    <n v="3.33"/>
    <n v="0"/>
    <d v="2025-09-28T01:46:42"/>
    <s v="https://etrain.info/train/Guruvayur-Express-16128/history?d=1y"/>
    <n v="1132"/>
    <x v="24"/>
  </r>
  <r>
    <x v="47"/>
    <s v="Guruvayur Express"/>
    <s v="TEN"/>
    <x v="29"/>
    <n v="5"/>
    <n v="93.33"/>
    <n v="6.67"/>
    <n v="0"/>
    <n v="0"/>
    <d v="2025-09-28T01:46:46"/>
    <s v="https://etrain.info/train/Guruvayur-Express-16128/history?d=1y"/>
    <n v="1133"/>
    <x v="25"/>
  </r>
  <r>
    <x v="47"/>
    <s v="Guruvayur Express"/>
    <s v="MEJ"/>
    <x v="308"/>
    <n v="8"/>
    <n v="86.67"/>
    <n v="13.33"/>
    <n v="0"/>
    <n v="0"/>
    <d v="2025-09-28T01:46:50"/>
    <s v="https://etrain.info/train/Guruvayur-Express-16128/history?d=1y"/>
    <n v="1134"/>
    <x v="26"/>
  </r>
  <r>
    <x v="47"/>
    <s v="Guruvayur Express"/>
    <s v="CVP"/>
    <x v="28"/>
    <n v="11"/>
    <n v="83.33"/>
    <n v="16.670000000000002"/>
    <n v="0"/>
    <n v="0"/>
    <d v="2025-09-28T01:46:51"/>
    <s v="https://etrain.info/train/Guruvayur-Express-16128/history?d=1y"/>
    <n v="1135"/>
    <x v="27"/>
  </r>
  <r>
    <x v="47"/>
    <s v="Guruvayur Express"/>
    <s v="SRT"/>
    <x v="27"/>
    <n v="14"/>
    <n v="66.67"/>
    <n v="33.33"/>
    <n v="0"/>
    <n v="0"/>
    <d v="2025-09-28T01:46:53"/>
    <s v="https://etrain.info/train/Guruvayur-Express-16128/history?d=1y"/>
    <n v="1136"/>
    <x v="28"/>
  </r>
  <r>
    <x v="47"/>
    <s v="Guruvayur Express"/>
    <s v="VPT"/>
    <x v="26"/>
    <n v="20"/>
    <n v="40"/>
    <n v="60"/>
    <n v="0"/>
    <n v="0"/>
    <d v="2025-09-28T01:46:55"/>
    <s v="https://etrain.info/train/Guruvayur-Express-16128/history?d=1y"/>
    <n v="1137"/>
    <x v="29"/>
  </r>
  <r>
    <x v="47"/>
    <s v="Guruvayur Express"/>
    <s v="MDU"/>
    <x v="22"/>
    <n v="5"/>
    <n v="90"/>
    <n v="10"/>
    <n v="0"/>
    <n v="0"/>
    <d v="2025-09-28T01:46:56"/>
    <s v="https://etrain.info/train/Guruvayur-Express-16128/history?d=1y"/>
    <n v="1138"/>
    <x v="30"/>
  </r>
  <r>
    <x v="47"/>
    <s v="Guruvayur Express"/>
    <s v="SDN"/>
    <x v="25"/>
    <n v="8"/>
    <n v="76.67"/>
    <n v="23.33"/>
    <n v="0"/>
    <n v="0"/>
    <d v="2025-09-28T01:46:58"/>
    <s v="https://etrain.info/train/Guruvayur-Express-16128/history?d=1y"/>
    <n v="1139"/>
    <x v="31"/>
  </r>
  <r>
    <x v="47"/>
    <s v="Guruvayur Express"/>
    <s v="KQN"/>
    <x v="21"/>
    <n v="8"/>
    <n v="73.33"/>
    <n v="26.67"/>
    <n v="0"/>
    <n v="0"/>
    <d v="2025-09-28T01:46:59"/>
    <s v="https://etrain.info/train/Guruvayur-Express-16128/history?d=1y"/>
    <n v="1140"/>
    <x v="32"/>
  </r>
  <r>
    <x v="47"/>
    <s v="Guruvayur Express"/>
    <s v="DG"/>
    <x v="19"/>
    <n v="7"/>
    <n v="76.67"/>
    <n v="23.33"/>
    <n v="0"/>
    <n v="0"/>
    <d v="2025-09-28T01:47:01"/>
    <s v="https://etrain.info/train/Guruvayur-Express-16128/history?d=1y"/>
    <n v="1141"/>
    <x v="33"/>
  </r>
  <r>
    <x v="47"/>
    <s v="Guruvayur Express"/>
    <s v="MPA"/>
    <x v="18"/>
    <n v="7"/>
    <n v="80"/>
    <n v="20"/>
    <n v="0"/>
    <n v="0"/>
    <d v="2025-09-28T01:47:02"/>
    <s v="https://etrain.info/train/Guruvayur-Express-16128/history?d=1y"/>
    <n v="1142"/>
    <x v="34"/>
  </r>
  <r>
    <x v="47"/>
    <s v="Guruvayur Express"/>
    <s v="TPJ"/>
    <x v="17"/>
    <n v="37"/>
    <n v="16.670000000000002"/>
    <n v="73.33"/>
    <n v="10"/>
    <n v="0"/>
    <d v="2025-09-28T01:47:04"/>
    <s v="https://etrain.info/train/Guruvayur-Express-16128/history?d=1y"/>
    <n v="1143"/>
    <x v="35"/>
  </r>
  <r>
    <x v="47"/>
    <s v="Guruvayur Express"/>
    <s v="SRGM"/>
    <x v="306"/>
    <n v="38"/>
    <n v="16.670000000000002"/>
    <n v="66.67"/>
    <n v="16.670000000000002"/>
    <n v="0"/>
    <d v="2025-09-28T01:47:07"/>
    <s v="https://etrain.info/train/Guruvayur-Express-16128/history?d=1y"/>
    <n v="1144"/>
    <x v="36"/>
  </r>
  <r>
    <x v="47"/>
    <s v="Guruvayur Express"/>
    <s v="ALU"/>
    <x v="305"/>
    <n v="43"/>
    <n v="6.67"/>
    <n v="76.67"/>
    <n v="16.670000000000002"/>
    <n v="0"/>
    <d v="2025-09-28T01:47:11"/>
    <s v="https://etrain.info/train/Guruvayur-Express-16128/history?d=1y"/>
    <n v="1145"/>
    <x v="37"/>
  </r>
  <r>
    <x v="47"/>
    <s v="Guruvayur Express"/>
    <s v="PNDM"/>
    <x v="304"/>
    <n v="24"/>
    <n v="36.67"/>
    <n v="60"/>
    <n v="3.33"/>
    <n v="0"/>
    <d v="2025-09-28T01:47:15"/>
    <s v="https://etrain.info/train/Guruvayur-Express-16128/history?d=1y"/>
    <n v="1146"/>
    <x v="38"/>
  </r>
  <r>
    <x v="47"/>
    <s v="Guruvayur Express"/>
    <s v="VRI"/>
    <x v="16"/>
    <m/>
    <n v="0"/>
    <n v="60"/>
    <n v="40"/>
    <n v="0"/>
    <d v="2025-09-28T01:47:17"/>
    <s v="https://etrain.info/train/Guruvayur-Express-16128/history?d=1y"/>
    <n v="1147"/>
    <x v="39"/>
  </r>
  <r>
    <x v="47"/>
    <s v="Guruvayur Express"/>
    <s v="VM"/>
    <x v="15"/>
    <n v="10"/>
    <n v="76.67"/>
    <n v="23.33"/>
    <n v="0"/>
    <n v="0"/>
    <d v="2025-09-28T01:47:19"/>
    <s v="https://etrain.info/train/Guruvayur-Express-16128/history?d=1y"/>
    <n v="1148"/>
    <x v="40"/>
  </r>
  <r>
    <x v="47"/>
    <s v="Guruvayur Express"/>
    <s v="TMV"/>
    <x v="24"/>
    <n v="16"/>
    <n v="60"/>
    <n v="40"/>
    <n v="0"/>
    <n v="0"/>
    <d v="2025-09-28T01:47:20"/>
    <s v="https://etrain.info/train/Guruvayur-Express-16128/history?d=1y"/>
    <n v="1149"/>
    <x v="41"/>
  </r>
  <r>
    <x v="47"/>
    <s v="Guruvayur Express"/>
    <s v="MLMR"/>
    <x v="14"/>
    <n v="14"/>
    <n v="60"/>
    <n v="40"/>
    <n v="0"/>
    <n v="0"/>
    <d v="2025-09-28T01:47:22"/>
    <s v="https://etrain.info/train/Guruvayur-Express-16128/history?d=1y"/>
    <n v="1150"/>
    <x v="42"/>
  </r>
  <r>
    <x v="47"/>
    <s v="Guruvayur Express"/>
    <s v="CGL"/>
    <x v="13"/>
    <n v="13"/>
    <n v="60"/>
    <n v="40"/>
    <n v="0"/>
    <n v="0"/>
    <d v="2025-09-28T01:47:24"/>
    <s v="https://etrain.info/train/Guruvayur-Express-16128/history?d=1y"/>
    <n v="1151"/>
    <x v="43"/>
  </r>
  <r>
    <x v="47"/>
    <s v="Guruvayur Express"/>
    <s v="TBM"/>
    <x v="12"/>
    <n v="19"/>
    <n v="36.67"/>
    <n v="63.33"/>
    <n v="0"/>
    <n v="0"/>
    <d v="2025-09-28T01:47:25"/>
    <s v="https://etrain.info/train/Guruvayur-Express-16128/history?d=1y"/>
    <n v="1152"/>
    <x v="44"/>
  </r>
  <r>
    <x v="47"/>
    <s v="Guruvayur Express"/>
    <s v="MBM"/>
    <x v="23"/>
    <n v="0"/>
    <n v="100"/>
    <n v="0"/>
    <n v="0"/>
    <n v="0"/>
    <d v="2025-09-28T01:47:27"/>
    <s v="https://etrain.info/train/Guruvayur-Express-16128/history?d=1y"/>
    <n v="1153"/>
    <x v="45"/>
  </r>
  <r>
    <x v="47"/>
    <s v="Guruvayur Express"/>
    <s v="MS"/>
    <x v="11"/>
    <n v="1"/>
    <n v="100"/>
    <n v="0"/>
    <n v="0"/>
    <n v="0"/>
    <d v="2025-09-28T01:47:28"/>
    <s v="https://etrain.info/train/Guruvayur-Express-16128/history?d=1y"/>
    <n v="1154"/>
    <x v="46"/>
  </r>
  <r>
    <x v="48"/>
    <s v="Chennai Intercity"/>
    <s v="MAS"/>
    <x v="0"/>
    <n v="1"/>
    <n v="100"/>
    <n v="0"/>
    <n v="0"/>
    <n v="0"/>
    <d v="2025-09-28T01:47:33"/>
    <s v="https://etrain.info/train/Chennai-Intercity-22601/history?d=1y"/>
    <n v="1155"/>
    <x v="0"/>
  </r>
  <r>
    <x v="48"/>
    <s v="Chennai Intercity"/>
    <s v="AJJ"/>
    <x v="2"/>
    <m/>
    <n v="75"/>
    <n v="0"/>
    <n v="25"/>
    <n v="0"/>
    <d v="2025-09-28T01:47:35"/>
    <s v="https://etrain.info/train/Chennai-Intercity-22601/history?d=1y"/>
    <n v="1156"/>
    <x v="1"/>
  </r>
  <r>
    <x v="48"/>
    <s v="Chennai Intercity"/>
    <s v="KPD"/>
    <x v="3"/>
    <n v="55"/>
    <n v="75"/>
    <n v="0"/>
    <n v="25"/>
    <n v="0"/>
    <d v="2025-09-28T01:47:37"/>
    <s v="https://etrain.info/train/Chennai-Intercity-22601/history?d=1y"/>
    <n v="1157"/>
    <x v="2"/>
  </r>
  <r>
    <x v="48"/>
    <s v="Chennai Intercity"/>
    <s v="JTJ"/>
    <x v="4"/>
    <m/>
    <n v="75"/>
    <n v="0"/>
    <n v="25"/>
    <n v="0"/>
    <d v="2025-09-28T01:47:39"/>
    <s v="https://etrain.info/train/Chennai-Intercity-22601/history?d=1y"/>
    <n v="1158"/>
    <x v="3"/>
  </r>
  <r>
    <x v="48"/>
    <s v="Chennai Intercity"/>
    <s v="KPN"/>
    <x v="79"/>
    <n v="59"/>
    <n v="75"/>
    <n v="0"/>
    <n v="25"/>
    <n v="0"/>
    <d v="2025-09-28T01:47:41"/>
    <s v="https://etrain.info/train/Chennai-Intercity-22601/history?d=1y"/>
    <n v="1159"/>
    <x v="4"/>
  </r>
  <r>
    <x v="48"/>
    <s v="Chennai Intercity"/>
    <s v="BWT"/>
    <x v="78"/>
    <n v="63"/>
    <n v="50"/>
    <n v="25"/>
    <n v="25"/>
    <n v="0"/>
    <d v="2025-09-28T01:47:42"/>
    <s v="https://etrain.info/train/Chennai-Intercity-22601/history?d=1y"/>
    <n v="1160"/>
    <x v="5"/>
  </r>
  <r>
    <x v="48"/>
    <s v="Chennai Intercity"/>
    <s v="MLO"/>
    <x v="326"/>
    <n v="59"/>
    <n v="50"/>
    <n v="25"/>
    <n v="25"/>
    <n v="0"/>
    <d v="2025-09-28T01:47:44"/>
    <s v="https://etrain.info/train/Chennai-Intercity-22601/history?d=1y"/>
    <n v="1161"/>
    <x v="6"/>
  </r>
  <r>
    <x v="48"/>
    <s v="Chennai Intercity"/>
    <s v="KJM"/>
    <x v="77"/>
    <n v="73"/>
    <n v="25"/>
    <n v="50"/>
    <n v="25"/>
    <n v="0"/>
    <d v="2025-09-28T01:47:45"/>
    <s v="https://etrain.info/train/Chennai-Intercity-22601/history?d=1y"/>
    <n v="1162"/>
    <x v="7"/>
  </r>
  <r>
    <x v="48"/>
    <s v="Chennai Intercity"/>
    <s v="YNK"/>
    <x v="327"/>
    <n v="59"/>
    <n v="75"/>
    <n v="0"/>
    <n v="25"/>
    <n v="0"/>
    <d v="2025-09-28T01:47:47"/>
    <s v="https://etrain.info/train/Chennai-Intercity-22601/history?d=1y"/>
    <n v="1163"/>
    <x v="8"/>
  </r>
  <r>
    <x v="48"/>
    <s v="Chennai Intercity"/>
    <s v="HUP"/>
    <x v="328"/>
    <n v="62"/>
    <n v="75"/>
    <n v="0"/>
    <n v="25"/>
    <n v="0"/>
    <d v="2025-09-28T01:47:48"/>
    <s v="https://etrain.info/train/Chennai-Intercity-22601/history?d=1y"/>
    <n v="1164"/>
    <x v="9"/>
  </r>
  <r>
    <x v="48"/>
    <s v="Chennai Intercity"/>
    <s v="SSPN"/>
    <x v="329"/>
    <m/>
    <n v="75"/>
    <n v="0"/>
    <n v="25"/>
    <n v="0"/>
    <d v="2025-09-28T01:47:50"/>
    <s v="https://etrain.info/train/Chennai-Intercity-22601/history?d=1y"/>
    <n v="1165"/>
    <x v="10"/>
  </r>
  <r>
    <x v="48"/>
    <s v="Chennai Intercity"/>
    <s v="DMM"/>
    <x v="295"/>
    <n v="65"/>
    <n v="75"/>
    <n v="0"/>
    <n v="25"/>
    <n v="0"/>
    <d v="2025-09-28T01:47:51"/>
    <s v="https://etrain.info/train/Chennai-Intercity-22601/history?d=1y"/>
    <n v="1166"/>
    <x v="11"/>
  </r>
  <r>
    <x v="48"/>
    <s v="Chennai Intercity"/>
    <s v="ATP"/>
    <x v="294"/>
    <n v="64"/>
    <n v="75"/>
    <n v="0"/>
    <n v="25"/>
    <n v="0"/>
    <d v="2025-09-28T01:47:53"/>
    <s v="https://etrain.info/train/Chennai-Intercity-22601/history?d=1y"/>
    <n v="1167"/>
    <x v="12"/>
  </r>
  <r>
    <x v="48"/>
    <s v="Chennai Intercity"/>
    <s v="GTL"/>
    <x v="215"/>
    <n v="70"/>
    <n v="75"/>
    <n v="0"/>
    <n v="25"/>
    <n v="0"/>
    <d v="2025-09-28T01:47:55"/>
    <s v="https://etrain.info/train/Chennai-Intercity-22601/history?d=1y"/>
    <n v="1168"/>
    <x v="13"/>
  </r>
  <r>
    <x v="48"/>
    <s v="Chennai Intercity"/>
    <s v="AD"/>
    <x v="214"/>
    <n v="66"/>
    <n v="75"/>
    <n v="0"/>
    <n v="25"/>
    <n v="0"/>
    <d v="2025-09-28T01:47:57"/>
    <s v="https://etrain.info/train/Chennai-Intercity-22601/history?d=1y"/>
    <n v="1169"/>
    <x v="14"/>
  </r>
  <r>
    <x v="48"/>
    <s v="Chennai Intercity"/>
    <s v="MALM"/>
    <x v="213"/>
    <n v="61"/>
    <n v="75"/>
    <n v="0"/>
    <n v="25"/>
    <n v="0"/>
    <d v="2025-09-28T01:47:58"/>
    <s v="https://etrain.info/train/Chennai-Intercity-22601/history?d=1y"/>
    <n v="1170"/>
    <x v="15"/>
  </r>
  <r>
    <x v="48"/>
    <s v="Chennai Intercity"/>
    <s v="RC"/>
    <x v="212"/>
    <n v="61"/>
    <n v="75"/>
    <n v="0"/>
    <n v="25"/>
    <n v="0"/>
    <d v="2025-09-28T01:47:59"/>
    <s v="https://etrain.info/train/Chennai-Intercity-22601/history?d=1y"/>
    <n v="1171"/>
    <x v="16"/>
  </r>
  <r>
    <x v="48"/>
    <s v="Chennai Intercity"/>
    <s v="WADI"/>
    <x v="209"/>
    <n v="54"/>
    <n v="50"/>
    <n v="25"/>
    <n v="25"/>
    <n v="0"/>
    <d v="2025-09-28T01:48:01"/>
    <s v="https://etrain.info/train/Chennai-Intercity-22601/history?d=1y"/>
    <n v="1172"/>
    <x v="17"/>
  </r>
  <r>
    <x v="48"/>
    <s v="Chennai Intercity"/>
    <s v="KLBG"/>
    <x v="208"/>
    <n v="67"/>
    <n v="25"/>
    <n v="50"/>
    <n v="25"/>
    <n v="0"/>
    <d v="2025-09-28T01:48:02"/>
    <s v="https://etrain.info/train/Chennai-Intercity-22601/history?d=1y"/>
    <n v="1173"/>
    <x v="18"/>
  </r>
  <r>
    <x v="48"/>
    <s v="Chennai Intercity"/>
    <s v="SUR"/>
    <x v="207"/>
    <n v="66"/>
    <n v="0"/>
    <n v="75"/>
    <n v="25"/>
    <n v="0"/>
    <d v="2025-09-28T01:48:04"/>
    <s v="https://etrain.info/train/Chennai-Intercity-22601/history?d=1y"/>
    <n v="1174"/>
    <x v="19"/>
  </r>
  <r>
    <x v="48"/>
    <s v="Chennai Intercity"/>
    <s v="DD"/>
    <x v="291"/>
    <n v="59"/>
    <n v="25"/>
    <n v="50"/>
    <n v="25"/>
    <n v="0"/>
    <d v="2025-09-28T01:48:06"/>
    <s v="https://etrain.info/train/Chennai-Intercity-22601/history?d=1y"/>
    <n v="1175"/>
    <x v="20"/>
  </r>
  <r>
    <x v="48"/>
    <s v="Chennai Intercity"/>
    <s v="ANG"/>
    <x v="330"/>
    <n v="90"/>
    <n v="0"/>
    <n v="50"/>
    <n v="50"/>
    <n v="0"/>
    <d v="2025-09-28T01:48:07"/>
    <s v="https://etrain.info/train/Chennai-Intercity-22601/history?d=1y"/>
    <n v="1176"/>
    <x v="21"/>
  </r>
  <r>
    <x v="48"/>
    <s v="Chennai Intercity"/>
    <s v="SNSI"/>
    <x v="331"/>
    <n v="40"/>
    <n v="75"/>
    <n v="0"/>
    <n v="25"/>
    <n v="0"/>
    <d v="2025-09-28T01:48:09"/>
    <s v="https://etrain.info/train/Chennai-Intercity-22601/history?d=1y"/>
    <n v="1177"/>
    <x v="22"/>
  </r>
  <r>
    <x v="49"/>
    <s v="Chennai Intercity"/>
    <s v="SNSI"/>
    <x v="331"/>
    <n v="2"/>
    <n v="100"/>
    <n v="0"/>
    <n v="0"/>
    <n v="0"/>
    <d v="2025-09-28T01:48:13"/>
    <s v="https://etrain.info/train/Chennai-Intercity-22602/history?d=1y"/>
    <n v="1178"/>
    <x v="0"/>
  </r>
  <r>
    <x v="49"/>
    <s v="Chennai Intercity"/>
    <s v="ANG"/>
    <x v="330"/>
    <m/>
    <n v="0"/>
    <n v="100"/>
    <n v="0"/>
    <n v="0"/>
    <d v="2025-09-28T01:48:15"/>
    <s v="https://etrain.info/train/Chennai-Intercity-22602/history?d=1y"/>
    <n v="1179"/>
    <x v="1"/>
  </r>
  <r>
    <x v="49"/>
    <s v="Chennai Intercity"/>
    <s v="DD"/>
    <x v="291"/>
    <n v="18"/>
    <n v="50"/>
    <n v="50"/>
    <n v="0"/>
    <n v="0"/>
    <d v="2025-09-28T01:48:17"/>
    <s v="https://etrain.info/train/Chennai-Intercity-22602/history?d=1y"/>
    <n v="1180"/>
    <x v="2"/>
  </r>
  <r>
    <x v="49"/>
    <s v="Chennai Intercity"/>
    <s v="SUR"/>
    <x v="207"/>
    <n v="30"/>
    <n v="25"/>
    <n v="75"/>
    <n v="0"/>
    <n v="0"/>
    <d v="2025-09-28T01:48:18"/>
    <s v="https://etrain.info/train/Chennai-Intercity-22602/history?d=1y"/>
    <n v="1181"/>
    <x v="3"/>
  </r>
  <r>
    <x v="49"/>
    <s v="Chennai Intercity"/>
    <s v="KLBG"/>
    <x v="208"/>
    <n v="26"/>
    <n v="0"/>
    <n v="100"/>
    <n v="0"/>
    <n v="0"/>
    <d v="2025-09-28T01:48:20"/>
    <s v="https://etrain.info/train/Chennai-Intercity-22602/history?d=1y"/>
    <n v="1182"/>
    <x v="4"/>
  </r>
  <r>
    <x v="49"/>
    <s v="Chennai Intercity"/>
    <s v="WADI"/>
    <x v="209"/>
    <m/>
    <n v="100"/>
    <n v="0"/>
    <n v="0"/>
    <n v="0"/>
    <d v="2025-09-28T01:48:22"/>
    <s v="https://etrain.info/train/Chennai-Intercity-22602/history?d=1y"/>
    <n v="1183"/>
    <x v="5"/>
  </r>
  <r>
    <x v="49"/>
    <s v="Chennai Intercity"/>
    <s v="RC"/>
    <x v="212"/>
    <n v="13"/>
    <n v="50"/>
    <n v="50"/>
    <n v="0"/>
    <n v="0"/>
    <d v="2025-09-28T01:48:23"/>
    <s v="https://etrain.info/train/Chennai-Intercity-22602/history?d=1y"/>
    <n v="1184"/>
    <x v="6"/>
  </r>
  <r>
    <x v="49"/>
    <s v="Chennai Intercity"/>
    <s v="MALM"/>
    <x v="213"/>
    <m/>
    <n v="50"/>
    <n v="50"/>
    <n v="0"/>
    <n v="0"/>
    <d v="2025-09-28T01:48:25"/>
    <s v="https://etrain.info/train/Chennai-Intercity-22602/history?d=1y"/>
    <n v="1185"/>
    <x v="7"/>
  </r>
  <r>
    <x v="49"/>
    <s v="Chennai Intercity"/>
    <s v="AD"/>
    <x v="214"/>
    <n v="17"/>
    <n v="75"/>
    <n v="25"/>
    <n v="0"/>
    <n v="0"/>
    <d v="2025-09-28T01:48:27"/>
    <s v="https://etrain.info/train/Chennai-Intercity-22602/history?d=1y"/>
    <n v="1186"/>
    <x v="8"/>
  </r>
  <r>
    <x v="49"/>
    <s v="Chennai Intercity"/>
    <s v="GTL"/>
    <x v="215"/>
    <n v="15"/>
    <n v="50"/>
    <n v="50"/>
    <n v="0"/>
    <n v="0"/>
    <d v="2025-09-28T01:48:29"/>
    <s v="https://etrain.info/train/Chennai-Intercity-22602/history?d=1y"/>
    <n v="1187"/>
    <x v="9"/>
  </r>
  <r>
    <x v="49"/>
    <s v="Chennai Intercity"/>
    <s v="ATP"/>
    <x v="294"/>
    <n v="21"/>
    <n v="50"/>
    <n v="50"/>
    <n v="0"/>
    <n v="0"/>
    <d v="2025-09-28T01:48:30"/>
    <s v="https://etrain.info/train/Chennai-Intercity-22602/history?d=1y"/>
    <n v="1188"/>
    <x v="10"/>
  </r>
  <r>
    <x v="49"/>
    <s v="Chennai Intercity"/>
    <s v="DMM"/>
    <x v="295"/>
    <n v="0"/>
    <n v="100"/>
    <n v="0"/>
    <n v="0"/>
    <n v="0"/>
    <d v="2025-09-28T01:48:32"/>
    <s v="https://etrain.info/train/Chennai-Intercity-22602/history?d=1y"/>
    <n v="1189"/>
    <x v="11"/>
  </r>
  <r>
    <x v="49"/>
    <s v="Chennai Intercity"/>
    <s v="SSPN"/>
    <x v="329"/>
    <n v="13"/>
    <n v="50"/>
    <n v="50"/>
    <n v="0"/>
    <n v="0"/>
    <d v="2025-09-28T01:48:34"/>
    <s v="https://etrain.info/train/Chennai-Intercity-22602/history?d=1y"/>
    <n v="1190"/>
    <x v="12"/>
  </r>
  <r>
    <x v="49"/>
    <s v="Chennai Intercity"/>
    <s v="HUP"/>
    <x v="328"/>
    <n v="12"/>
    <n v="75"/>
    <n v="25"/>
    <n v="0"/>
    <n v="0"/>
    <d v="2025-09-28T01:48:36"/>
    <s v="https://etrain.info/train/Chennai-Intercity-22602/history?d=1y"/>
    <n v="1191"/>
    <x v="13"/>
  </r>
  <r>
    <x v="49"/>
    <s v="Chennai Intercity"/>
    <s v="YNK"/>
    <x v="327"/>
    <n v="19"/>
    <n v="25"/>
    <n v="75"/>
    <n v="0"/>
    <n v="0"/>
    <d v="2025-09-28T01:48:38"/>
    <s v="https://etrain.info/train/Chennai-Intercity-22602/history?d=1y"/>
    <n v="1192"/>
    <x v="14"/>
  </r>
  <r>
    <x v="49"/>
    <s v="Chennai Intercity"/>
    <s v="KJM"/>
    <x v="77"/>
    <n v="4"/>
    <n v="75"/>
    <n v="25"/>
    <n v="0"/>
    <n v="0"/>
    <d v="2025-09-28T01:48:40"/>
    <s v="https://etrain.info/train/Chennai-Intercity-22602/history?d=1y"/>
    <n v="1193"/>
    <x v="15"/>
  </r>
  <r>
    <x v="49"/>
    <s v="Chennai Intercity"/>
    <s v="MLO"/>
    <x v="326"/>
    <n v="8"/>
    <n v="75"/>
    <n v="25"/>
    <n v="0"/>
    <n v="0"/>
    <d v="2025-09-28T01:48:41"/>
    <s v="https://etrain.info/train/Chennai-Intercity-22602/history?d=1y"/>
    <n v="1194"/>
    <x v="16"/>
  </r>
  <r>
    <x v="49"/>
    <s v="Chennai Intercity"/>
    <s v="BWT"/>
    <x v="78"/>
    <n v="8"/>
    <n v="75"/>
    <n v="25"/>
    <n v="0"/>
    <n v="0"/>
    <d v="2025-09-28T01:48:43"/>
    <s v="https://etrain.info/train/Chennai-Intercity-22602/history?d=1y"/>
    <n v="1195"/>
    <x v="17"/>
  </r>
  <r>
    <x v="49"/>
    <s v="Chennai Intercity"/>
    <s v="KPN"/>
    <x v="79"/>
    <n v="12"/>
    <n v="50"/>
    <n v="50"/>
    <n v="0"/>
    <n v="0"/>
    <d v="2025-09-28T01:48:44"/>
    <s v="https://etrain.info/train/Chennai-Intercity-22602/history?d=1y"/>
    <n v="1196"/>
    <x v="18"/>
  </r>
  <r>
    <x v="49"/>
    <s v="Chennai Intercity"/>
    <s v="JTJ"/>
    <x v="4"/>
    <n v="2"/>
    <n v="100"/>
    <n v="0"/>
    <n v="0"/>
    <n v="0"/>
    <d v="2025-09-28T01:48:46"/>
    <s v="https://etrain.info/train/Chennai-Intercity-22602/history?d=1y"/>
    <n v="1197"/>
    <x v="19"/>
  </r>
  <r>
    <x v="49"/>
    <s v="Chennai Intercity"/>
    <s v="KPD"/>
    <x v="3"/>
    <n v="5"/>
    <n v="100"/>
    <n v="0"/>
    <n v="0"/>
    <n v="0"/>
    <d v="2025-09-28T01:48:48"/>
    <s v="https://etrain.info/train/Chennai-Intercity-22602/history?d=1y"/>
    <n v="1198"/>
    <x v="20"/>
  </r>
  <r>
    <x v="49"/>
    <s v="Chennai Intercity"/>
    <s v="AJJ"/>
    <x v="2"/>
    <m/>
    <n v="100"/>
    <n v="0"/>
    <n v="0"/>
    <n v="0"/>
    <d v="2025-09-28T01:48:49"/>
    <s v="https://etrain.info/train/Chennai-Intercity-22602/history?d=1y"/>
    <n v="1199"/>
    <x v="21"/>
  </r>
  <r>
    <x v="49"/>
    <s v="Chennai Intercity"/>
    <s v="PER"/>
    <x v="10"/>
    <n v="19"/>
    <n v="50"/>
    <n v="50"/>
    <n v="0"/>
    <n v="0"/>
    <d v="2025-09-28T01:48:51"/>
    <s v="https://etrain.info/train/Chennai-Intercity-22602/history?d=1y"/>
    <n v="1200"/>
    <x v="22"/>
  </r>
  <r>
    <x v="49"/>
    <s v="Chennai Intercity"/>
    <s v="MAS"/>
    <x v="0"/>
    <n v="10"/>
    <n v="75"/>
    <n v="25"/>
    <n v="0"/>
    <n v="0"/>
    <d v="2025-09-28T01:48:53"/>
    <s v="https://etrain.info/train/Chennai-Intercity-22602/history?d=1y"/>
    <n v="1201"/>
    <x v="23"/>
  </r>
  <r>
    <x v="50"/>
    <s v="Shatabdi"/>
    <s v="MMCT"/>
    <x v="122"/>
    <n v="1"/>
    <n v="100"/>
    <n v="0"/>
    <n v="0"/>
    <n v="0"/>
    <d v="2025-09-28T01:48:57"/>
    <s v="https://etrain.info/train/Shatabdi-12009/history?d=1y"/>
    <n v="1202"/>
    <x v="0"/>
  </r>
  <r>
    <x v="50"/>
    <s v="Shatabdi"/>
    <s v="BVI"/>
    <x v="123"/>
    <n v="13"/>
    <n v="72"/>
    <n v="28"/>
    <n v="0"/>
    <n v="0"/>
    <d v="2025-09-28T01:48:59"/>
    <s v="https://etrain.info/train/Shatabdi-12009/history?d=1y"/>
    <n v="1203"/>
    <x v="1"/>
  </r>
  <r>
    <x v="50"/>
    <s v="Shatabdi"/>
    <s v="VAPI"/>
    <x v="228"/>
    <n v="19"/>
    <n v="16"/>
    <n v="84"/>
    <n v="0"/>
    <n v="0"/>
    <d v="2025-09-28T01:49:00"/>
    <s v="https://etrain.info/train/Shatabdi-12009/history?d=1y"/>
    <n v="1204"/>
    <x v="2"/>
  </r>
  <r>
    <x v="50"/>
    <s v="Shatabdi"/>
    <s v="ST"/>
    <x v="124"/>
    <n v="10"/>
    <n v="84"/>
    <n v="16"/>
    <n v="0"/>
    <n v="0"/>
    <d v="2025-09-28T01:49:02"/>
    <s v="https://etrain.info/train/Shatabdi-12009/history?d=1y"/>
    <n v="1205"/>
    <x v="3"/>
  </r>
  <r>
    <x v="50"/>
    <s v="Shatabdi"/>
    <s v="BH"/>
    <x v="231"/>
    <n v="13"/>
    <n v="72"/>
    <n v="28"/>
    <n v="0"/>
    <n v="0"/>
    <d v="2025-09-28T01:49:04"/>
    <s v="https://etrain.info/train/Shatabdi-12009/history?d=1y"/>
    <n v="1206"/>
    <x v="4"/>
  </r>
  <r>
    <x v="50"/>
    <s v="Shatabdi"/>
    <s v="BRC"/>
    <x v="125"/>
    <n v="7"/>
    <n v="96"/>
    <n v="4"/>
    <n v="0"/>
    <n v="0"/>
    <d v="2025-09-28T01:49:05"/>
    <s v="https://etrain.info/train/Shatabdi-12009/history?d=1y"/>
    <n v="1207"/>
    <x v="5"/>
  </r>
  <r>
    <x v="50"/>
    <s v="Shatabdi"/>
    <s v="ANND"/>
    <x v="332"/>
    <n v="8"/>
    <n v="92"/>
    <n v="8"/>
    <n v="0"/>
    <n v="0"/>
    <d v="2025-09-28T01:49:07"/>
    <s v="https://etrain.info/train/Shatabdi-12009/history?d=1y"/>
    <n v="1208"/>
    <x v="6"/>
  </r>
  <r>
    <x v="50"/>
    <s v="Shatabdi"/>
    <s v="ND"/>
    <x v="333"/>
    <n v="7"/>
    <n v="96"/>
    <n v="4"/>
    <n v="0"/>
    <n v="0"/>
    <d v="2025-09-28T01:49:08"/>
    <s v="https://etrain.info/train/Shatabdi-12009/history?d=1y"/>
    <n v="1209"/>
    <x v="7"/>
  </r>
  <r>
    <x v="50"/>
    <s v="Shatabdi"/>
    <s v="ADI"/>
    <x v="334"/>
    <m/>
    <n v="92"/>
    <n v="8"/>
    <n v="0"/>
    <n v="0"/>
    <d v="2025-09-28T01:49:10"/>
    <s v="https://etrain.info/train/Shatabdi-12009/history?d=1y"/>
    <n v="1210"/>
    <x v="8"/>
  </r>
  <r>
    <x v="51"/>
    <s v="Shatabdi"/>
    <s v="ADI"/>
    <x v="334"/>
    <n v="0"/>
    <n v="100"/>
    <n v="0"/>
    <n v="0"/>
    <n v="0"/>
    <d v="2025-09-28T01:49:14"/>
    <s v="https://etrain.info/train/Shatabdi-12010/history?d=1y"/>
    <n v="1211"/>
    <x v="0"/>
  </r>
  <r>
    <x v="51"/>
    <s v="Shatabdi"/>
    <s v="ND"/>
    <x v="333"/>
    <n v="9"/>
    <n v="84"/>
    <n v="16"/>
    <n v="0"/>
    <n v="0"/>
    <d v="2025-09-28T01:49:15"/>
    <s v="https://etrain.info/train/Shatabdi-12010/history?d=1y"/>
    <n v="1212"/>
    <x v="1"/>
  </r>
  <r>
    <x v="51"/>
    <s v="Shatabdi"/>
    <s v="ANND"/>
    <x v="332"/>
    <n v="5"/>
    <n v="96"/>
    <n v="4"/>
    <n v="0"/>
    <n v="0"/>
    <d v="2025-09-28T01:49:16"/>
    <s v="https://etrain.info/train/Shatabdi-12010/history?d=1y"/>
    <n v="1213"/>
    <x v="2"/>
  </r>
  <r>
    <x v="51"/>
    <s v="Shatabdi"/>
    <s v="BRC"/>
    <x v="125"/>
    <n v="5"/>
    <n v="96"/>
    <n v="4"/>
    <n v="0"/>
    <n v="0"/>
    <d v="2025-09-28T01:49:18"/>
    <s v="https://etrain.info/train/Shatabdi-12010/history?d=1y"/>
    <n v="1214"/>
    <x v="3"/>
  </r>
  <r>
    <x v="51"/>
    <s v="Shatabdi"/>
    <s v="BH"/>
    <x v="231"/>
    <m/>
    <n v="100"/>
    <n v="0"/>
    <n v="0"/>
    <n v="0"/>
    <d v="2025-09-28T01:49:20"/>
    <s v="https://etrain.info/train/Shatabdi-12010/history?d=1y"/>
    <n v="1215"/>
    <x v="4"/>
  </r>
  <r>
    <x v="51"/>
    <s v="Shatabdi"/>
    <s v="ST"/>
    <x v="124"/>
    <n v="3"/>
    <n v="100"/>
    <n v="0"/>
    <n v="0"/>
    <n v="0"/>
    <d v="2025-09-28T01:49:21"/>
    <s v="https://etrain.info/train/Shatabdi-12010/history?d=1y"/>
    <n v="1216"/>
    <x v="5"/>
  </r>
  <r>
    <x v="51"/>
    <s v="Shatabdi"/>
    <s v="VAPI"/>
    <x v="228"/>
    <m/>
    <n v="100"/>
    <n v="0"/>
    <n v="0"/>
    <n v="0"/>
    <d v="2025-09-28T01:49:23"/>
    <s v="https://etrain.info/train/Shatabdi-12010/history?d=1y"/>
    <n v="1217"/>
    <x v="6"/>
  </r>
  <r>
    <x v="51"/>
    <s v="Shatabdi"/>
    <s v="BVI"/>
    <x v="123"/>
    <n v="21"/>
    <n v="12"/>
    <n v="88"/>
    <n v="0"/>
    <n v="0"/>
    <d v="2025-09-28T01:49:25"/>
    <s v="https://etrain.info/train/Shatabdi-12010/history?d=1y"/>
    <n v="1218"/>
    <x v="7"/>
  </r>
  <r>
    <x v="51"/>
    <s v="Shatabdi"/>
    <s v="MMCT"/>
    <x v="122"/>
    <n v="2"/>
    <n v="96"/>
    <n v="4"/>
    <n v="0"/>
    <n v="0"/>
    <d v="2025-09-28T01:49:27"/>
    <s v="https://etrain.info/train/Shatabdi-12010/history?d=1y"/>
    <n v="1219"/>
    <x v="8"/>
  </r>
  <r>
    <x v="52"/>
    <s v="Shatabdi"/>
    <s v="HWH"/>
    <x v="42"/>
    <n v="1"/>
    <n v="100"/>
    <n v="0"/>
    <n v="0"/>
    <n v="0"/>
    <d v="2025-09-28T01:49:31"/>
    <s v="https://etrain.info/train/Shatabdi-12019/history?d=1y"/>
    <n v="1220"/>
    <x v="0"/>
  </r>
  <r>
    <x v="52"/>
    <s v="Shatabdi"/>
    <s v="DGR"/>
    <x v="335"/>
    <n v="12"/>
    <n v="80"/>
    <n v="20"/>
    <n v="0"/>
    <n v="0"/>
    <d v="2025-09-28T01:49:32"/>
    <s v="https://etrain.info/train/Shatabdi-12019/history?d=1y"/>
    <n v="1221"/>
    <x v="1"/>
  </r>
  <r>
    <x v="52"/>
    <s v="Shatabdi"/>
    <s v="RNG"/>
    <x v="336"/>
    <n v="14"/>
    <n v="72"/>
    <n v="28"/>
    <n v="0"/>
    <n v="0"/>
    <d v="2025-09-28T01:49:34"/>
    <s v="https://etrain.info/train/Shatabdi-12019/history?d=1y"/>
    <n v="1222"/>
    <x v="2"/>
  </r>
  <r>
    <x v="52"/>
    <s v="Shatabdi"/>
    <s v="ASN"/>
    <x v="337"/>
    <n v="16"/>
    <n v="64"/>
    <n v="36"/>
    <n v="0"/>
    <n v="0"/>
    <d v="2025-09-28T01:49:36"/>
    <s v="https://etrain.info/train/Shatabdi-12019/history?d=1y"/>
    <n v="1223"/>
    <x v="3"/>
  </r>
  <r>
    <x v="52"/>
    <s v="Shatabdi"/>
    <s v="DHN"/>
    <x v="338"/>
    <n v="3"/>
    <n v="100"/>
    <n v="0"/>
    <n v="0"/>
    <n v="0"/>
    <d v="2025-09-28T01:49:37"/>
    <s v="https://etrain.info/train/Shatabdi-12019/history?d=1y"/>
    <n v="1224"/>
    <x v="4"/>
  </r>
  <r>
    <x v="52"/>
    <s v="Shatabdi"/>
    <s v="CRP"/>
    <x v="339"/>
    <n v="4"/>
    <n v="96"/>
    <n v="4"/>
    <n v="0"/>
    <n v="0"/>
    <d v="2025-09-28T01:49:39"/>
    <s v="https://etrain.info/train/Shatabdi-12019/history?d=1y"/>
    <n v="1225"/>
    <x v="5"/>
  </r>
  <r>
    <x v="52"/>
    <s v="Shatabdi"/>
    <s v="BKSC"/>
    <x v="340"/>
    <n v="1"/>
    <n v="100"/>
    <n v="0"/>
    <n v="0"/>
    <n v="0"/>
    <d v="2025-09-28T01:49:40"/>
    <s v="https://etrain.info/train/Shatabdi-12019/history?d=1y"/>
    <n v="1226"/>
    <x v="6"/>
  </r>
  <r>
    <x v="52"/>
    <s v="Shatabdi"/>
    <s v="MURI"/>
    <x v="341"/>
    <n v="6"/>
    <n v="92"/>
    <n v="8"/>
    <n v="0"/>
    <n v="0"/>
    <d v="2025-09-28T01:49:42"/>
    <s v="https://etrain.info/train/Shatabdi-12019/history?d=1y"/>
    <n v="1227"/>
    <x v="7"/>
  </r>
  <r>
    <x v="52"/>
    <s v="Shatabdi"/>
    <s v="RNC"/>
    <x v="342"/>
    <m/>
    <n v="96"/>
    <n v="4"/>
    <n v="0"/>
    <n v="0"/>
    <d v="2025-09-28T01:49:43"/>
    <s v="https://etrain.info/train/Shatabdi-12019/history?d=1y"/>
    <n v="1228"/>
    <x v="8"/>
  </r>
  <r>
    <x v="53"/>
    <s v="Shatabdi"/>
    <s v="RNC"/>
    <x v="342"/>
    <n v="2"/>
    <n v="96"/>
    <n v="4"/>
    <n v="0"/>
    <n v="0"/>
    <d v="2025-09-28T01:49:49"/>
    <s v="https://etrain.info/train/Shatabdi-12020/history?d=1y"/>
    <n v="1229"/>
    <x v="0"/>
  </r>
  <r>
    <x v="53"/>
    <s v="Shatabdi"/>
    <s v="MURI"/>
    <x v="341"/>
    <m/>
    <n v="100"/>
    <n v="0"/>
    <n v="0"/>
    <n v="0"/>
    <d v="2025-09-28T01:49:51"/>
    <s v="https://etrain.info/train/Shatabdi-12020/history?d=1y"/>
    <n v="1230"/>
    <x v="1"/>
  </r>
  <r>
    <x v="53"/>
    <s v="Shatabdi"/>
    <s v="BKSC"/>
    <x v="340"/>
    <m/>
    <n v="88"/>
    <n v="12"/>
    <n v="0"/>
    <n v="0"/>
    <d v="2025-09-28T01:49:53"/>
    <s v="https://etrain.info/train/Shatabdi-12020/history?d=1y"/>
    <n v="1231"/>
    <x v="2"/>
  </r>
  <r>
    <x v="53"/>
    <s v="Shatabdi"/>
    <s v="CRP"/>
    <x v="339"/>
    <n v="6"/>
    <n v="88"/>
    <n v="12"/>
    <n v="0"/>
    <n v="0"/>
    <d v="2025-09-28T01:49:55"/>
    <s v="https://etrain.info/train/Shatabdi-12020/history?d=1y"/>
    <n v="1232"/>
    <x v="3"/>
  </r>
  <r>
    <x v="53"/>
    <s v="Shatabdi"/>
    <s v="DHN"/>
    <x v="338"/>
    <n v="6"/>
    <n v="92"/>
    <n v="8"/>
    <n v="0"/>
    <n v="0"/>
    <d v="2025-09-28T01:49:56"/>
    <s v="https://etrain.info/train/Shatabdi-12020/history?d=1y"/>
    <n v="1233"/>
    <x v="4"/>
  </r>
  <r>
    <x v="53"/>
    <s v="Shatabdi"/>
    <s v="ASN"/>
    <x v="337"/>
    <n v="18"/>
    <n v="72"/>
    <n v="24"/>
    <n v="4"/>
    <n v="0"/>
    <d v="2025-09-28T01:49:58"/>
    <s v="https://etrain.info/train/Shatabdi-12020/history?d=1y"/>
    <n v="1234"/>
    <x v="5"/>
  </r>
  <r>
    <x v="53"/>
    <s v="Shatabdi"/>
    <s v="RNG"/>
    <x v="336"/>
    <n v="15"/>
    <n v="60"/>
    <n v="36"/>
    <n v="4"/>
    <n v="0"/>
    <d v="2025-09-28T01:49:59"/>
    <s v="https://etrain.info/train/Shatabdi-12020/history?d=1y"/>
    <n v="1235"/>
    <x v="6"/>
  </r>
  <r>
    <x v="53"/>
    <s v="Shatabdi"/>
    <s v="DGR"/>
    <x v="335"/>
    <m/>
    <n v="72"/>
    <n v="24"/>
    <n v="4"/>
    <n v="0"/>
    <d v="2025-09-28T01:50:02"/>
    <s v="https://etrain.info/train/Shatabdi-12020/history?d=1y"/>
    <n v="1236"/>
    <x v="7"/>
  </r>
  <r>
    <x v="53"/>
    <s v="Shatabdi"/>
    <s v="HWH"/>
    <x v="42"/>
    <n v="7"/>
    <n v="80"/>
    <n v="16"/>
    <n v="4"/>
    <n v="0"/>
    <d v="2025-09-28T01:50:04"/>
    <s v="https://etrain.info/train/Shatabdi-12020/history?d=1y"/>
    <n v="1237"/>
    <x v="8"/>
  </r>
  <r>
    <x v="54"/>
    <s v="Gatimaan Express"/>
    <s v="VGLJ"/>
    <x v="37"/>
    <m/>
    <n v="100"/>
    <n v="0"/>
    <n v="0"/>
    <n v="0"/>
    <d v="2025-09-28T01:50:12"/>
    <s v="https://etrain.info/train/Gatimaan-Express-12049/history?d=1y"/>
    <n v="1238"/>
    <x v="0"/>
  </r>
  <r>
    <x v="54"/>
    <s v="Gatimaan Express"/>
    <s v="GWL"/>
    <x v="38"/>
    <n v="2"/>
    <n v="96.15"/>
    <n v="3.85"/>
    <n v="0"/>
    <n v="0"/>
    <d v="2025-09-28T01:50:16"/>
    <s v="https://etrain.info/train/Gatimaan-Express-12049/history?d=1y"/>
    <n v="1239"/>
    <x v="1"/>
  </r>
  <r>
    <x v="54"/>
    <s v="Gatimaan Express"/>
    <s v="AGC"/>
    <x v="39"/>
    <n v="1"/>
    <n v="100"/>
    <n v="0"/>
    <n v="0"/>
    <n v="0"/>
    <d v="2025-09-28T01:50:18"/>
    <s v="https://etrain.info/train/Gatimaan-Express-12049/history?d=1y"/>
    <n v="1240"/>
    <x v="2"/>
  </r>
  <r>
    <x v="54"/>
    <s v="Gatimaan Express"/>
    <s v="NZM"/>
    <x v="40"/>
    <m/>
    <n v="92.31"/>
    <n v="7.69"/>
    <n v="0"/>
    <n v="0"/>
    <d v="2025-09-28T01:50:21"/>
    <s v="https://etrain.info/train/Gatimaan-Express-12049/history?d=1y"/>
    <n v="1241"/>
    <x v="3"/>
  </r>
  <r>
    <x v="55"/>
    <s v="Gatimaan Express"/>
    <s v="NZM"/>
    <x v="40"/>
    <m/>
    <n v="100"/>
    <n v="0"/>
    <n v="0"/>
    <n v="0"/>
    <d v="2025-09-28T01:50:29"/>
    <s v="https://etrain.info/train/Gatimaan-Express-12050/history?d=1y"/>
    <n v="1242"/>
    <x v="0"/>
  </r>
  <r>
    <x v="55"/>
    <s v="Gatimaan Express"/>
    <s v="AGC"/>
    <x v="39"/>
    <n v="15"/>
    <n v="76.92"/>
    <n v="23.08"/>
    <n v="0"/>
    <n v="0"/>
    <d v="2025-09-28T01:50:30"/>
    <s v="https://etrain.info/train/Gatimaan-Express-12050/history?d=1y"/>
    <n v="1243"/>
    <x v="1"/>
  </r>
  <r>
    <x v="55"/>
    <s v="Gatimaan Express"/>
    <s v="GWL"/>
    <x v="38"/>
    <n v="19"/>
    <n v="42.31"/>
    <n v="57.69"/>
    <n v="0"/>
    <n v="0"/>
    <d v="2025-09-28T01:50:32"/>
    <s v="https://etrain.info/train/Gatimaan-Express-12050/history?d=1y"/>
    <n v="1244"/>
    <x v="2"/>
  </r>
  <r>
    <x v="55"/>
    <s v="Gatimaan Express"/>
    <s v="VGLJ"/>
    <x v="37"/>
    <n v="2"/>
    <n v="92.31"/>
    <n v="7.69"/>
    <n v="0"/>
    <n v="0"/>
    <d v="2025-09-28T01:50:36"/>
    <s v="https://etrain.info/train/Gatimaan-Express-12050/history?d=1y"/>
    <n v="1245"/>
    <x v="3"/>
  </r>
  <r>
    <x v="56"/>
    <s v="Duronto Express"/>
    <s v="MDP"/>
    <x v="343"/>
    <n v="6"/>
    <n v="75"/>
    <n v="25"/>
    <n v="0"/>
    <n v="0"/>
    <d v="2025-09-28T01:50:44"/>
    <s v="https://etrain.info/train/Duronto-Express-12235/history?d=1y"/>
    <n v="1246"/>
    <x v="0"/>
  </r>
  <r>
    <x v="56"/>
    <s v="Duronto Express"/>
    <s v="JSME"/>
    <x v="344"/>
    <n v="12"/>
    <n v="75"/>
    <n v="25"/>
    <n v="0"/>
    <n v="0"/>
    <d v="2025-09-28T01:50:45"/>
    <s v="https://etrain.info/train/Duronto-Express-12235/history?d=1y"/>
    <n v="1247"/>
    <x v="1"/>
  </r>
  <r>
    <x v="56"/>
    <s v="Duronto Express"/>
    <s v="JAJ"/>
    <x v="345"/>
    <n v="3"/>
    <n v="100"/>
    <n v="0"/>
    <n v="0"/>
    <n v="0"/>
    <d v="2025-09-28T01:50:47"/>
    <s v="https://etrain.info/train/Duronto-Express-12235/history?d=1y"/>
    <n v="1248"/>
    <x v="2"/>
  </r>
  <r>
    <x v="56"/>
    <s v="Duronto Express"/>
    <s v="KIUL"/>
    <x v="346"/>
    <m/>
    <n v="25"/>
    <n v="75"/>
    <n v="0"/>
    <n v="0"/>
    <d v="2025-09-28T01:50:50"/>
    <s v="https://etrain.info/train/Duronto-Express-12235/history?d=1y"/>
    <n v="1249"/>
    <x v="3"/>
  </r>
  <r>
    <x v="56"/>
    <s v="Duronto Express"/>
    <s v="MKA"/>
    <x v="347"/>
    <n v="35"/>
    <n v="0"/>
    <n v="100"/>
    <n v="0"/>
    <n v="0"/>
    <d v="2025-09-28T01:50:52"/>
    <s v="https://etrain.info/train/Duronto-Express-12235/history?d=1y"/>
    <n v="1250"/>
    <x v="4"/>
  </r>
  <r>
    <x v="56"/>
    <s v="Duronto Express"/>
    <s v="PNBE"/>
    <x v="348"/>
    <n v="18"/>
    <n v="50"/>
    <n v="50"/>
    <n v="0"/>
    <n v="0"/>
    <d v="2025-09-28T01:50:53"/>
    <s v="https://etrain.info/train/Duronto-Express-12235/history?d=1y"/>
    <n v="1251"/>
    <x v="5"/>
  </r>
  <r>
    <x v="56"/>
    <s v="Duronto Express"/>
    <s v="ARA"/>
    <x v="97"/>
    <n v="38"/>
    <n v="0"/>
    <n v="100"/>
    <n v="0"/>
    <n v="0"/>
    <d v="2025-09-28T01:50:55"/>
    <s v="https://etrain.info/train/Duronto-Express-12235/history?d=1y"/>
    <n v="1252"/>
    <x v="6"/>
  </r>
  <r>
    <x v="56"/>
    <s v="Duronto Express"/>
    <s v="BXR"/>
    <x v="96"/>
    <n v="51"/>
    <n v="0"/>
    <n v="75"/>
    <n v="25"/>
    <n v="0"/>
    <d v="2025-09-28T01:50:57"/>
    <s v="https://etrain.info/train/Duronto-Express-12235/history?d=1y"/>
    <n v="1253"/>
    <x v="7"/>
  </r>
  <r>
    <x v="56"/>
    <s v="Duronto Express"/>
    <s v="DDU"/>
    <x v="94"/>
    <n v="1"/>
    <n v="100"/>
    <n v="0"/>
    <n v="0"/>
    <n v="0"/>
    <d v="2025-09-28T01:50:59"/>
    <s v="https://etrain.info/train/Duronto-Express-12235/history?d=1y"/>
    <n v="1254"/>
    <x v="8"/>
  </r>
  <r>
    <x v="56"/>
    <s v="Duronto Express"/>
    <s v="PRYJ"/>
    <x v="349"/>
    <n v="6"/>
    <n v="100"/>
    <n v="0"/>
    <n v="0"/>
    <n v="0"/>
    <d v="2025-09-28T01:51:00"/>
    <s v="https://etrain.info/train/Duronto-Express-12235/history?d=1y"/>
    <n v="1255"/>
    <x v="9"/>
  </r>
  <r>
    <x v="56"/>
    <s v="Duronto Express"/>
    <s v="CNB"/>
    <x v="350"/>
    <n v="13"/>
    <n v="50"/>
    <n v="50"/>
    <n v="0"/>
    <n v="0"/>
    <d v="2025-09-28T01:51:02"/>
    <s v="https://etrain.info/train/Duronto-Express-12235/history?d=1y"/>
    <n v="1256"/>
    <x v="10"/>
  </r>
  <r>
    <x v="56"/>
    <s v="Duronto Express"/>
    <s v="ANVT"/>
    <x v="351"/>
    <m/>
    <n v="100"/>
    <n v="0"/>
    <n v="0"/>
    <n v="0"/>
    <d v="2025-09-28T01:51:03"/>
    <s v="https://etrain.info/train/Duronto-Express-12235/history?d=1y"/>
    <n v="1257"/>
    <x v="11"/>
  </r>
  <r>
    <x v="57"/>
    <s v="Duronto Express"/>
    <s v="ANVT"/>
    <x v="351"/>
    <m/>
    <n v="25"/>
    <n v="25"/>
    <n v="50"/>
    <n v="0"/>
    <d v="2025-09-28T01:51:10"/>
    <s v="https://etrain.info/train/Duronto-Express-12236/history?d=1y"/>
    <n v="1258"/>
    <x v="0"/>
  </r>
  <r>
    <x v="57"/>
    <s v="Duronto Express"/>
    <s v="CNB"/>
    <x v="350"/>
    <m/>
    <n v="25"/>
    <n v="25"/>
    <n v="50"/>
    <n v="0"/>
    <d v="2025-09-28T01:51:12"/>
    <s v="https://etrain.info/train/Duronto-Express-12236/history?d=1y"/>
    <n v="1259"/>
    <x v="1"/>
  </r>
  <r>
    <x v="57"/>
    <s v="Duronto Express"/>
    <s v="PRYJ"/>
    <x v="349"/>
    <n v="159"/>
    <n v="25"/>
    <n v="25"/>
    <n v="50"/>
    <n v="0"/>
    <d v="2025-09-28T01:51:13"/>
    <s v="https://etrain.info/train/Duronto-Express-12236/history?d=1y"/>
    <n v="1260"/>
    <x v="2"/>
  </r>
  <r>
    <x v="57"/>
    <s v="Duronto Express"/>
    <s v="DDU"/>
    <x v="94"/>
    <n v="147"/>
    <n v="25"/>
    <n v="25"/>
    <n v="50"/>
    <n v="0"/>
    <d v="2025-09-28T01:51:15"/>
    <s v="https://etrain.info/train/Duronto-Express-12236/history?d=1y"/>
    <n v="1261"/>
    <x v="3"/>
  </r>
  <r>
    <x v="57"/>
    <s v="Duronto Express"/>
    <s v="BXR"/>
    <x v="96"/>
    <n v="152"/>
    <n v="25"/>
    <n v="25"/>
    <n v="50"/>
    <n v="0"/>
    <d v="2025-09-28T01:51:16"/>
    <s v="https://etrain.info/train/Duronto-Express-12236/history?d=1y"/>
    <n v="1262"/>
    <x v="4"/>
  </r>
  <r>
    <x v="57"/>
    <s v="Duronto Express"/>
    <s v="ARA"/>
    <x v="97"/>
    <n v="157"/>
    <n v="25"/>
    <n v="25"/>
    <n v="50"/>
    <n v="0"/>
    <d v="2025-09-28T01:51:18"/>
    <s v="https://etrain.info/train/Duronto-Express-12236/history?d=1y"/>
    <n v="1263"/>
    <x v="5"/>
  </r>
  <r>
    <x v="57"/>
    <s v="Duronto Express"/>
    <s v="PNBE"/>
    <x v="348"/>
    <m/>
    <n v="0"/>
    <n v="50"/>
    <n v="50"/>
    <n v="0"/>
    <d v="2025-09-28T01:51:20"/>
    <s v="https://etrain.info/train/Duronto-Express-12236/history?d=1y"/>
    <n v="1264"/>
    <x v="6"/>
  </r>
  <r>
    <x v="57"/>
    <s v="Duronto Express"/>
    <s v="MKA"/>
    <x v="347"/>
    <m/>
    <n v="0"/>
    <n v="25"/>
    <n v="75"/>
    <n v="0"/>
    <d v="2025-09-28T01:51:21"/>
    <s v="https://etrain.info/train/Duronto-Express-12236/history?d=1y"/>
    <n v="1265"/>
    <x v="7"/>
  </r>
  <r>
    <x v="57"/>
    <s v="Duronto Express"/>
    <s v="KIUL"/>
    <x v="346"/>
    <m/>
    <n v="0"/>
    <n v="25"/>
    <n v="75"/>
    <n v="0"/>
    <d v="2025-09-28T01:51:23"/>
    <s v="https://etrain.info/train/Duronto-Express-12236/history?d=1y"/>
    <n v="1266"/>
    <x v="8"/>
  </r>
  <r>
    <x v="57"/>
    <s v="Duronto Express"/>
    <s v="JAJ"/>
    <x v="345"/>
    <n v="143"/>
    <n v="50"/>
    <n v="0"/>
    <n v="50"/>
    <n v="0"/>
    <d v="2025-09-28T01:51:25"/>
    <s v="https://etrain.info/train/Duronto-Express-12236/history?d=1y"/>
    <n v="1267"/>
    <x v="9"/>
  </r>
  <r>
    <x v="57"/>
    <s v="Duronto Express"/>
    <s v="JSME"/>
    <x v="344"/>
    <n v="152"/>
    <n v="50"/>
    <n v="0"/>
    <n v="50"/>
    <n v="0"/>
    <d v="2025-09-28T01:51:26"/>
    <s v="https://etrain.info/train/Duronto-Express-12236/history?d=1y"/>
    <n v="1268"/>
    <x v="10"/>
  </r>
  <r>
    <x v="57"/>
    <s v="Duronto Express"/>
    <s v="MDP"/>
    <x v="343"/>
    <n v="126"/>
    <n v="50"/>
    <n v="0"/>
    <n v="50"/>
    <n v="0"/>
    <d v="2025-09-28T01:51:28"/>
    <s v="https://etrain.info/train/Duronto-Express-12236/history?d=1y"/>
    <n v="1269"/>
    <x v="11"/>
  </r>
  <r>
    <x v="58"/>
    <s v="Duronto Express"/>
    <s v="HWH"/>
    <x v="42"/>
    <n v="13"/>
    <n v="86.36"/>
    <n v="9.09"/>
    <n v="4.55"/>
    <n v="0"/>
    <d v="2025-09-28T01:51:35"/>
    <s v="https://etrain.info/train/Duronto-Express-12245/history?d=1y"/>
    <n v="1270"/>
    <x v="0"/>
  </r>
  <r>
    <x v="58"/>
    <s v="Duronto Express"/>
    <s v="BBS"/>
    <x v="48"/>
    <n v="111"/>
    <n v="0"/>
    <n v="18.18"/>
    <n v="81.819999999999993"/>
    <n v="0"/>
    <d v="2025-09-28T01:51:37"/>
    <s v="https://etrain.info/train/Duronto-Express-12245/history?d=1y"/>
    <n v="1271"/>
    <x v="1"/>
  </r>
  <r>
    <x v="58"/>
    <s v="Duronto Express"/>
    <s v="VZM"/>
    <x v="59"/>
    <n v="93"/>
    <n v="13.64"/>
    <n v="31.82"/>
    <n v="54.55"/>
    <n v="0"/>
    <d v="2025-09-28T01:51:40"/>
    <s v="https://etrain.info/train/Duronto-Express-12245/history?d=1y"/>
    <n v="1272"/>
    <x v="2"/>
  </r>
  <r>
    <x v="58"/>
    <s v="Duronto Express"/>
    <s v="BZA"/>
    <x v="30"/>
    <m/>
    <n v="4.55"/>
    <n v="31.82"/>
    <n v="63.64"/>
    <n v="0"/>
    <d v="2025-09-28T01:51:43"/>
    <s v="https://etrain.info/train/Duronto-Express-12245/history?d=1y"/>
    <n v="1273"/>
    <x v="3"/>
  </r>
  <r>
    <x v="58"/>
    <s v="Duronto Express"/>
    <s v="RU"/>
    <x v="117"/>
    <n v="97"/>
    <n v="18.18"/>
    <n v="27.27"/>
    <n v="54.55"/>
    <n v="0"/>
    <d v="2025-09-28T01:51:45"/>
    <s v="https://etrain.info/train/Duronto-Express-12245/history?d=1y"/>
    <n v="1274"/>
    <x v="4"/>
  </r>
  <r>
    <x v="58"/>
    <s v="Duronto Express"/>
    <s v="SMVB"/>
    <x v="76"/>
    <n v="77"/>
    <n v="40.909999999999997"/>
    <n v="27.27"/>
    <n v="31.82"/>
    <n v="0"/>
    <d v="2025-09-28T01:51:48"/>
    <s v="https://etrain.info/train/Duronto-Express-12245/history?d=1y"/>
    <n v="1275"/>
    <x v="5"/>
  </r>
  <r>
    <x v="59"/>
    <s v="Duronto Express"/>
    <s v="SMVB"/>
    <x v="76"/>
    <m/>
    <n v="93.87"/>
    <n v="4.9800000000000004"/>
    <n v="0.77"/>
    <n v="0.38"/>
    <d v="2025-09-28T01:51:54"/>
    <s v="https://etrain.info/train/Duronto-Express-12246/history?d=1y"/>
    <n v="1276"/>
    <x v="0"/>
  </r>
  <r>
    <x v="59"/>
    <s v="Duronto Express"/>
    <s v="RU"/>
    <x v="117"/>
    <n v="13"/>
    <n v="69.349999999999994"/>
    <n v="28.35"/>
    <n v="1.92"/>
    <n v="0.38"/>
    <d v="2025-09-28T01:51:55"/>
    <s v="https://etrain.info/train/Duronto-Express-12246/history?d=1y"/>
    <n v="1277"/>
    <x v="1"/>
  </r>
  <r>
    <x v="59"/>
    <s v="Duronto Express"/>
    <s v="BZA"/>
    <x v="30"/>
    <n v="22"/>
    <n v="43.68"/>
    <n v="50.19"/>
    <n v="5.75"/>
    <n v="0.38"/>
    <d v="2025-09-28T01:51:56"/>
    <s v="https://etrain.info/train/Duronto-Express-12246/history?d=1y"/>
    <n v="1278"/>
    <x v="2"/>
  </r>
  <r>
    <x v="59"/>
    <s v="Duronto Express"/>
    <s v="VZM"/>
    <x v="59"/>
    <n v="15"/>
    <n v="72.41"/>
    <n v="24.14"/>
    <n v="3.07"/>
    <n v="0.38"/>
    <d v="2025-09-28T01:51:58"/>
    <s v="https://etrain.info/train/Duronto-Express-12246/history?d=1y"/>
    <n v="1279"/>
    <x v="3"/>
  </r>
  <r>
    <x v="59"/>
    <s v="Duronto Express"/>
    <s v="BBS"/>
    <x v="48"/>
    <n v="41"/>
    <n v="12.26"/>
    <n v="76.25"/>
    <n v="11.11"/>
    <n v="0.38"/>
    <d v="2025-09-28T01:52:00"/>
    <s v="https://etrain.info/train/Duronto-Express-12246/history?d=1y"/>
    <n v="1280"/>
    <x v="4"/>
  </r>
  <r>
    <x v="59"/>
    <s v="Duronto Express"/>
    <s v="HWH"/>
    <x v="42"/>
    <m/>
    <n v="50.96"/>
    <n v="23.75"/>
    <n v="24.9"/>
    <n v="0.38"/>
    <d v="2025-09-28T01:52:04"/>
    <s v="https://etrain.info/train/Duronto-Express-12246/history?d=1y"/>
    <n v="1281"/>
    <x v="5"/>
  </r>
  <r>
    <x v="60"/>
    <s v="Sealdah Duronto"/>
    <s v="SDAH"/>
    <x v="352"/>
    <n v="0"/>
    <n v="100"/>
    <n v="0"/>
    <n v="0"/>
    <n v="0"/>
    <d v="2025-09-28T01:52:09"/>
    <s v="https://etrain.info/train/Sealdah-Duronto-12259/history?d=1y"/>
    <n v="1282"/>
    <x v="0"/>
  </r>
  <r>
    <x v="60"/>
    <s v="Sealdah Duronto"/>
    <s v="DHN"/>
    <x v="338"/>
    <n v="4"/>
    <n v="94.12"/>
    <n v="5.88"/>
    <n v="0"/>
    <n v="0"/>
    <d v="2025-09-28T01:52:13"/>
    <s v="https://etrain.info/train/Sealdah-Duronto-12259/history?d=1y"/>
    <n v="1283"/>
    <x v="1"/>
  </r>
  <r>
    <x v="60"/>
    <s v="Sealdah Duronto"/>
    <s v="KQR"/>
    <x v="353"/>
    <n v="11"/>
    <n v="82.35"/>
    <n v="17.649999999999999"/>
    <n v="0"/>
    <n v="0"/>
    <d v="2025-09-28T01:52:17"/>
    <s v="https://etrain.info/train/Sealdah-Duronto-12259/history?d=1y"/>
    <n v="1284"/>
    <x v="2"/>
  </r>
  <r>
    <x v="60"/>
    <s v="Sealdah Duronto"/>
    <s v="DDU"/>
    <x v="94"/>
    <n v="4"/>
    <n v="94.12"/>
    <n v="5.88"/>
    <n v="0"/>
    <n v="0"/>
    <d v="2025-09-28T01:52:21"/>
    <s v="https://etrain.info/train/Sealdah-Duronto-12259/history?d=1y"/>
    <n v="1285"/>
    <x v="3"/>
  </r>
  <r>
    <x v="60"/>
    <s v="Sealdah Duronto"/>
    <s v="CNB"/>
    <x v="350"/>
    <n v="11"/>
    <n v="76.47"/>
    <n v="23.53"/>
    <n v="0"/>
    <n v="0"/>
    <d v="2025-09-28T01:52:22"/>
    <s v="https://etrain.info/train/Sealdah-Duronto-12259/history?d=1y"/>
    <n v="1286"/>
    <x v="4"/>
  </r>
  <r>
    <x v="60"/>
    <s v="Sealdah Duronto"/>
    <s v="NDLS"/>
    <x v="41"/>
    <n v="14"/>
    <n v="64.709999999999994"/>
    <n v="29.41"/>
    <n v="5.88"/>
    <n v="0"/>
    <d v="2025-09-28T01:52:26"/>
    <s v="https://etrain.info/train/Sealdah-Duronto-12259/history?d=1y"/>
    <n v="1287"/>
    <x v="5"/>
  </r>
  <r>
    <x v="60"/>
    <s v="Sealdah Duronto"/>
    <s v="LHU"/>
    <x v="354"/>
    <n v="24"/>
    <n v="64.709999999999994"/>
    <n v="29.41"/>
    <n v="5.88"/>
    <n v="0"/>
    <d v="2025-09-28T01:52:31"/>
    <s v="https://etrain.info/train/Sealdah-Duronto-12259/history?d=1y"/>
    <n v="1288"/>
    <x v="6"/>
  </r>
  <r>
    <x v="60"/>
    <s v="Sealdah Duronto"/>
    <s v="SDLP"/>
    <x v="355"/>
    <n v="28"/>
    <n v="64.709999999999994"/>
    <n v="11.76"/>
    <n v="23.53"/>
    <n v="0"/>
    <d v="2025-09-28T01:52:35"/>
    <s v="https://etrain.info/train/Sealdah-Duronto-12259/history?d=1y"/>
    <n v="1289"/>
    <x v="7"/>
  </r>
  <r>
    <x v="60"/>
    <s v="Sealdah Duronto"/>
    <s v="CUR"/>
    <x v="356"/>
    <n v="41"/>
    <n v="29.41"/>
    <n v="47.06"/>
    <n v="23.53"/>
    <n v="0"/>
    <d v="2025-09-28T01:52:37"/>
    <s v="https://etrain.info/train/Sealdah-Duronto-12259/history?d=1y"/>
    <n v="1290"/>
    <x v="8"/>
  </r>
  <r>
    <x v="60"/>
    <s v="Sealdah Duronto"/>
    <s v="RTGH"/>
    <x v="357"/>
    <m/>
    <n v="5.88"/>
    <n v="64.709999999999994"/>
    <n v="29.41"/>
    <n v="0"/>
    <d v="2025-09-28T01:52:39"/>
    <s v="https://etrain.info/train/Sealdah-Duronto-12259/history?d=1y"/>
    <n v="1291"/>
    <x v="9"/>
  </r>
  <r>
    <x v="60"/>
    <s v="Sealdah Duronto"/>
    <s v="SDGH"/>
    <x v="358"/>
    <n v="57"/>
    <n v="0"/>
    <n v="70.59"/>
    <n v="29.41"/>
    <n v="0"/>
    <d v="2025-09-28T01:52:43"/>
    <s v="https://etrain.info/train/Sealdah-Duronto-12259/history?d=1y"/>
    <n v="1292"/>
    <x v="10"/>
  </r>
  <r>
    <x v="60"/>
    <s v="Sealdah Duronto"/>
    <s v="BKN"/>
    <x v="359"/>
    <n v="7"/>
    <n v="70.59"/>
    <n v="23.53"/>
    <n v="5.88"/>
    <n v="0"/>
    <d v="2025-09-28T01:52:47"/>
    <s v="https://etrain.info/train/Sealdah-Duronto-12259/history?d=1y"/>
    <n v="1293"/>
    <x v="11"/>
  </r>
  <r>
    <x v="61"/>
    <s v="Sealdah Duronto"/>
    <s v="BKN"/>
    <x v="359"/>
    <m/>
    <n v="100"/>
    <n v="0"/>
    <n v="0"/>
    <n v="0"/>
    <d v="2025-09-28T01:53:17"/>
    <s v="https://etrain.info/train/Sealdah-Duronto-12260/history?d=1y"/>
    <n v="1294"/>
    <x v="0"/>
  </r>
  <r>
    <x v="61"/>
    <s v="Sealdah Duronto"/>
    <s v="SDGH"/>
    <x v="358"/>
    <n v="15"/>
    <n v="68.75"/>
    <n v="25"/>
    <n v="6.25"/>
    <n v="0"/>
    <d v="2025-09-28T01:53:19"/>
    <s v="https://etrain.info/train/Sealdah-Duronto-12260/history?d=1y"/>
    <n v="1295"/>
    <x v="1"/>
  </r>
  <r>
    <x v="61"/>
    <s v="Sealdah Duronto"/>
    <s v="RTGH"/>
    <x v="357"/>
    <m/>
    <n v="62.5"/>
    <n v="31.25"/>
    <n v="6.25"/>
    <n v="0"/>
    <d v="2025-09-28T01:53:20"/>
    <s v="https://etrain.info/train/Sealdah-Duronto-12260/history?d=1y"/>
    <n v="1296"/>
    <x v="2"/>
  </r>
  <r>
    <x v="61"/>
    <s v="Sealdah Duronto"/>
    <s v="CUR"/>
    <x v="356"/>
    <m/>
    <n v="81.25"/>
    <n v="12.5"/>
    <n v="6.25"/>
    <n v="0"/>
    <d v="2025-09-28T01:53:22"/>
    <s v="https://etrain.info/train/Sealdah-Duronto-12260/history?d=1y"/>
    <n v="1297"/>
    <x v="3"/>
  </r>
  <r>
    <x v="61"/>
    <s v="Sealdah Duronto"/>
    <s v="SDLP"/>
    <x v="355"/>
    <n v="24"/>
    <n v="31.25"/>
    <n v="62.5"/>
    <n v="6.25"/>
    <n v="0"/>
    <d v="2025-09-28T01:53:24"/>
    <s v="https://etrain.info/train/Sealdah-Duronto-12260/history?d=1y"/>
    <n v="1298"/>
    <x v="4"/>
  </r>
  <r>
    <x v="61"/>
    <s v="Sealdah Duronto"/>
    <s v="LHU"/>
    <x v="354"/>
    <n v="24"/>
    <n v="37.5"/>
    <n v="56.25"/>
    <n v="6.25"/>
    <n v="0"/>
    <d v="2025-09-28T01:53:26"/>
    <s v="https://etrain.info/train/Sealdah-Duronto-12260/history?d=1y"/>
    <n v="1299"/>
    <x v="5"/>
  </r>
  <r>
    <x v="61"/>
    <s v="Sealdah Duronto"/>
    <s v="NDLS"/>
    <x v="41"/>
    <n v="8"/>
    <n v="93.75"/>
    <n v="0"/>
    <n v="6.25"/>
    <n v="0"/>
    <d v="2025-09-28T01:53:28"/>
    <s v="https://etrain.info/train/Sealdah-Duronto-12260/history?d=1y"/>
    <n v="1300"/>
    <x v="6"/>
  </r>
  <r>
    <x v="61"/>
    <s v="Sealdah Duronto"/>
    <s v="CNB"/>
    <x v="350"/>
    <n v="25"/>
    <n v="50"/>
    <n v="43.75"/>
    <n v="6.25"/>
    <n v="0"/>
    <d v="2025-09-28T01:53:29"/>
    <s v="https://etrain.info/train/Sealdah-Duronto-12260/history?d=1y"/>
    <n v="1301"/>
    <x v="7"/>
  </r>
  <r>
    <x v="61"/>
    <s v="Sealdah Duronto"/>
    <s v="DDU"/>
    <x v="94"/>
    <n v="23"/>
    <n v="68.75"/>
    <n v="18.75"/>
    <n v="12.5"/>
    <n v="0"/>
    <d v="2025-09-28T01:53:30"/>
    <s v="https://etrain.info/train/Sealdah-Duronto-12260/history?d=1y"/>
    <n v="1302"/>
    <x v="8"/>
  </r>
  <r>
    <x v="61"/>
    <s v="Sealdah Duronto"/>
    <s v="KQR"/>
    <x v="353"/>
    <m/>
    <n v="56.25"/>
    <n v="31.25"/>
    <n v="12.5"/>
    <n v="0"/>
    <d v="2025-09-28T01:53:32"/>
    <s v="https://etrain.info/train/Sealdah-Duronto-12260/history?d=1y"/>
    <n v="1303"/>
    <x v="9"/>
  </r>
  <r>
    <x v="61"/>
    <s v="Sealdah Duronto"/>
    <s v="DHN"/>
    <x v="338"/>
    <n v="33"/>
    <n v="43.75"/>
    <n v="43.75"/>
    <n v="12.5"/>
    <n v="0"/>
    <d v="2025-09-28T01:53:34"/>
    <s v="https://etrain.info/train/Sealdah-Duronto-12260/history?d=1y"/>
    <n v="1304"/>
    <x v="10"/>
  </r>
  <r>
    <x v="61"/>
    <s v="Sealdah Duronto"/>
    <s v="SDAH"/>
    <x v="352"/>
    <n v="55"/>
    <n v="81.25"/>
    <n v="6.25"/>
    <n v="12.5"/>
    <n v="0"/>
    <d v="2025-09-28T01:53:36"/>
    <s v="https://etrain.info/train/Sealdah-Duronto-12260/history?d=1y"/>
    <n v="1305"/>
    <x v="11"/>
  </r>
  <r>
    <x v="62"/>
    <s v="Howrah Duronto"/>
    <s v="CSMT"/>
    <x v="163"/>
    <n v="231"/>
    <n v="46.41"/>
    <n v="6.22"/>
    <n v="47.37"/>
    <n v="0"/>
    <d v="2025-09-28T01:53:44"/>
    <s v="https://etrain.info/train/Howrah-Duronto-12261/history?d=1y"/>
    <n v="1306"/>
    <x v="0"/>
  </r>
  <r>
    <x v="62"/>
    <s v="Howrah Duronto"/>
    <s v="KYN"/>
    <x v="166"/>
    <n v="261"/>
    <n v="36.36"/>
    <n v="10.53"/>
    <n v="52.63"/>
    <n v="0.48"/>
    <d v="2025-09-28T01:53:45"/>
    <s v="https://etrain.info/train/Howrah-Duronto-12261/history?d=1y"/>
    <n v="1307"/>
    <x v="1"/>
  </r>
  <r>
    <x v="62"/>
    <s v="Howrah Duronto"/>
    <s v="BSL"/>
    <x v="245"/>
    <n v="305"/>
    <n v="11.48"/>
    <n v="31.1"/>
    <n v="57.42"/>
    <n v="0"/>
    <d v="2025-09-28T01:53:49"/>
    <s v="https://etrain.info/train/Howrah-Duronto-12261/history?d=1y"/>
    <n v="1308"/>
    <x v="2"/>
  </r>
  <r>
    <x v="62"/>
    <s v="Howrah Duronto"/>
    <s v="AK"/>
    <x v="360"/>
    <n v="448"/>
    <n v="0.96"/>
    <n v="0.96"/>
    <n v="4.3099999999999996"/>
    <n v="93.77"/>
    <d v="2025-09-28T01:53:50"/>
    <s v="https://etrain.info/train/Howrah-Duronto-12261/history?d=1y"/>
    <n v="1309"/>
    <x v="3"/>
  </r>
  <r>
    <x v="62"/>
    <s v="Howrah Duronto"/>
    <s v="NGP"/>
    <x v="34"/>
    <n v="305"/>
    <n v="27.75"/>
    <n v="16.75"/>
    <n v="55.5"/>
    <n v="0"/>
    <d v="2025-09-28T01:53:52"/>
    <s v="https://etrain.info/train/Howrah-Duronto-12261/history?d=1y"/>
    <n v="1310"/>
    <x v="4"/>
  </r>
  <r>
    <x v="62"/>
    <s v="Howrah Duronto"/>
    <s v="BSP"/>
    <x v="361"/>
    <n v="298"/>
    <n v="25.36"/>
    <n v="20.100000000000001"/>
    <n v="54.55"/>
    <n v="0"/>
    <d v="2025-09-28T01:53:56"/>
    <s v="https://etrain.info/train/Howrah-Duronto-12261/history?d=1y"/>
    <n v="1311"/>
    <x v="5"/>
  </r>
  <r>
    <x v="62"/>
    <s v="Howrah Duronto"/>
    <s v="TATA"/>
    <x v="362"/>
    <n v="530"/>
    <n v="0.48"/>
    <n v="0"/>
    <n v="99.04"/>
    <n v="0.48"/>
    <d v="2025-09-28T01:53:57"/>
    <s v="https://etrain.info/train/Howrah-Duronto-12261/history?d=1y"/>
    <n v="1312"/>
    <x v="6"/>
  </r>
  <r>
    <x v="62"/>
    <s v="Howrah Duronto"/>
    <s v="HWH"/>
    <x v="42"/>
    <n v="586"/>
    <n v="0.48"/>
    <n v="0"/>
    <n v="99.04"/>
    <n v="0.48"/>
    <d v="2025-09-28T01:53:59"/>
    <s v="https://etrain.info/train/Howrah-Duronto-12261/history?d=1y"/>
    <n v="1313"/>
    <x v="7"/>
  </r>
  <r>
    <x v="63"/>
    <s v="Howrah Duronto"/>
    <s v="HWH"/>
    <x v="42"/>
    <n v="92"/>
    <n v="62.5"/>
    <n v="6.25"/>
    <n v="31.25"/>
    <n v="0"/>
    <d v="2025-09-28T01:54:05"/>
    <s v="https://etrain.info/train/Howrah-Duronto-12262/history?d=1y"/>
    <n v="1314"/>
    <x v="0"/>
  </r>
  <r>
    <x v="63"/>
    <s v="Howrah Duronto"/>
    <s v="TATA"/>
    <x v="362"/>
    <n v="147"/>
    <n v="6.25"/>
    <n v="43.75"/>
    <n v="50"/>
    <n v="0"/>
    <d v="2025-09-28T01:54:07"/>
    <s v="https://etrain.info/train/Howrah-Duronto-12262/history?d=1y"/>
    <n v="1315"/>
    <x v="1"/>
  </r>
  <r>
    <x v="63"/>
    <s v="Howrah Duronto"/>
    <s v="BSP"/>
    <x v="361"/>
    <n v="301"/>
    <n v="18.75"/>
    <n v="0"/>
    <n v="81.25"/>
    <n v="0"/>
    <d v="2025-09-28T01:54:08"/>
    <s v="https://etrain.info/train/Howrah-Duronto-12262/history?d=1y"/>
    <n v="1316"/>
    <x v="2"/>
  </r>
  <r>
    <x v="63"/>
    <s v="Howrah Duronto"/>
    <s v="NGP"/>
    <x v="34"/>
    <m/>
    <n v="6.25"/>
    <n v="0"/>
    <n v="93.75"/>
    <n v="0"/>
    <d v="2025-09-28T01:54:10"/>
    <s v="https://etrain.info/train/Howrah-Duronto-12262/history?d=1y"/>
    <n v="1317"/>
    <x v="3"/>
  </r>
  <r>
    <x v="63"/>
    <s v="Howrah Duronto"/>
    <s v="AK"/>
    <x v="360"/>
    <n v="411"/>
    <n v="6.25"/>
    <n v="0"/>
    <n v="68.75"/>
    <n v="25"/>
    <d v="2025-09-28T01:54:12"/>
    <s v="https://etrain.info/train/Howrah-Duronto-12262/history?d=1y"/>
    <n v="1318"/>
    <x v="4"/>
  </r>
  <r>
    <x v="63"/>
    <s v="Howrah Duronto"/>
    <s v="BSL"/>
    <x v="245"/>
    <m/>
    <n v="6.25"/>
    <n v="0"/>
    <n v="93.75"/>
    <n v="0"/>
    <d v="2025-09-28T01:54:13"/>
    <s v="https://etrain.info/train/Howrah-Duronto-12262/history?d=1y"/>
    <n v="1319"/>
    <x v="5"/>
  </r>
  <r>
    <x v="63"/>
    <s v="Howrah Duronto"/>
    <s v="KYN"/>
    <x v="166"/>
    <n v="482"/>
    <n v="6.25"/>
    <n v="0"/>
    <n v="93.75"/>
    <n v="0"/>
    <d v="2025-09-28T01:54:15"/>
    <s v="https://etrain.info/train/Howrah-Duronto-12262/history?d=1y"/>
    <n v="1320"/>
    <x v="6"/>
  </r>
  <r>
    <x v="63"/>
    <s v="Howrah Duronto"/>
    <s v="CSMT"/>
    <x v="163"/>
    <n v="468"/>
    <n v="6.25"/>
    <n v="0"/>
    <n v="93.75"/>
    <n v="0"/>
    <d v="2025-09-28T01:54:17"/>
    <s v="https://etrain.info/train/Howrah-Duronto-12262/history?d=1y"/>
    <n v="1321"/>
    <x v="7"/>
  </r>
  <r>
    <x v="64"/>
    <s v="Howrah Rajdhani"/>
    <s v="HWH"/>
    <x v="42"/>
    <m/>
    <n v="100"/>
    <n v="0"/>
    <n v="0"/>
    <n v="0"/>
    <d v="2025-09-28T01:54:24"/>
    <s v="https://etrain.info/train/Howrah-Rajdhani-12301/history?d=1y"/>
    <n v="1322"/>
    <x v="0"/>
  </r>
  <r>
    <x v="64"/>
    <s v="Howrah Rajdhani"/>
    <s v="ASN"/>
    <x v="337"/>
    <n v="16"/>
    <n v="56"/>
    <n v="44"/>
    <n v="0"/>
    <n v="0"/>
    <d v="2025-09-28T01:54:25"/>
    <s v="https://etrain.info/train/Howrah-Rajdhani-12301/history?d=1y"/>
    <n v="1323"/>
    <x v="1"/>
  </r>
  <r>
    <x v="64"/>
    <s v="Howrah Rajdhani"/>
    <s v="DHN"/>
    <x v="338"/>
    <n v="3"/>
    <n v="100"/>
    <n v="0"/>
    <n v="0"/>
    <n v="0"/>
    <d v="2025-09-28T01:54:27"/>
    <s v="https://etrain.info/train/Howrah-Rajdhani-12301/history?d=1y"/>
    <n v="1324"/>
    <x v="2"/>
  </r>
  <r>
    <x v="64"/>
    <s v="Howrah Rajdhani"/>
    <s v="PNME"/>
    <x v="363"/>
    <n v="6"/>
    <n v="100"/>
    <n v="0"/>
    <n v="0"/>
    <n v="0"/>
    <d v="2025-09-28T01:54:29"/>
    <s v="https://etrain.info/train/Howrah-Rajdhani-12301/history?d=1y"/>
    <n v="1325"/>
    <x v="3"/>
  </r>
  <r>
    <x v="64"/>
    <s v="Howrah Rajdhani"/>
    <s v="GAYA"/>
    <x v="364"/>
    <m/>
    <n v="92"/>
    <n v="4"/>
    <n v="4"/>
    <n v="0"/>
    <d v="2025-09-28T01:54:31"/>
    <s v="https://etrain.info/train/Howrah-Rajdhani-12301/history?d=1y"/>
    <n v="1326"/>
    <x v="4"/>
  </r>
  <r>
    <x v="64"/>
    <s v="Howrah Rajdhani"/>
    <s v="DDU"/>
    <x v="94"/>
    <n v="15"/>
    <n v="92"/>
    <n v="4"/>
    <n v="4"/>
    <n v="0"/>
    <d v="2025-09-28T01:54:32"/>
    <s v="https://etrain.info/train/Howrah-Rajdhani-12301/history?d=1y"/>
    <n v="1327"/>
    <x v="5"/>
  </r>
  <r>
    <x v="64"/>
    <s v="Howrah Rajdhani"/>
    <s v="PRYJ"/>
    <x v="349"/>
    <n v="15"/>
    <n v="92"/>
    <n v="4"/>
    <n v="4"/>
    <n v="0"/>
    <d v="2025-09-28T01:54:34"/>
    <s v="https://etrain.info/train/Howrah-Rajdhani-12301/history?d=1y"/>
    <n v="1328"/>
    <x v="6"/>
  </r>
  <r>
    <x v="64"/>
    <s v="Howrah Rajdhani"/>
    <s v="CNB"/>
    <x v="350"/>
    <n v="19"/>
    <n v="76"/>
    <n v="20"/>
    <n v="4"/>
    <n v="0"/>
    <d v="2025-09-28T01:54:35"/>
    <s v="https://etrain.info/train/Howrah-Rajdhani-12301/history?d=1y"/>
    <n v="1329"/>
    <x v="7"/>
  </r>
  <r>
    <x v="64"/>
    <s v="Howrah Rajdhani"/>
    <s v="NDLS"/>
    <x v="41"/>
    <n v="22"/>
    <n v="76"/>
    <n v="20"/>
    <n v="4"/>
    <n v="0"/>
    <d v="2025-09-28T01:54:37"/>
    <s v="https://etrain.info/train/Howrah-Rajdhani-12301/history?d=1y"/>
    <n v="1330"/>
    <x v="8"/>
  </r>
  <r>
    <x v="65"/>
    <s v="Howrah Rajdhani"/>
    <s v="NDLS"/>
    <x v="41"/>
    <m/>
    <n v="96.15"/>
    <n v="0"/>
    <n v="3.85"/>
    <n v="0"/>
    <d v="2025-09-28T01:54:42"/>
    <s v="https://etrain.info/train/Howrah-Rajdhani-12302/history?d=1y"/>
    <n v="1331"/>
    <x v="0"/>
  </r>
  <r>
    <x v="65"/>
    <s v="Howrah Rajdhani"/>
    <s v="CNB"/>
    <x v="350"/>
    <n v="22"/>
    <n v="84.62"/>
    <n v="7.69"/>
    <n v="7.69"/>
    <n v="0"/>
    <d v="2025-09-28T01:54:46"/>
    <s v="https://etrain.info/train/Howrah-Rajdhani-12302/history?d=1y"/>
    <n v="1332"/>
    <x v="1"/>
  </r>
  <r>
    <x v="65"/>
    <s v="Howrah Rajdhani"/>
    <s v="PRYJ"/>
    <x v="349"/>
    <n v="22"/>
    <n v="76.92"/>
    <n v="15.38"/>
    <n v="7.69"/>
    <n v="0.01"/>
    <d v="2025-09-28T01:54:48"/>
    <s v="https://etrain.info/train/Howrah-Rajdhani-12302/history?d=1y"/>
    <n v="1333"/>
    <x v="2"/>
  </r>
  <r>
    <x v="65"/>
    <s v="Howrah Rajdhani"/>
    <s v="DDU"/>
    <x v="94"/>
    <n v="20"/>
    <n v="84.62"/>
    <n v="7.69"/>
    <n v="7.69"/>
    <n v="0"/>
    <d v="2025-09-28T01:54:51"/>
    <s v="https://etrain.info/train/Howrah-Rajdhani-12302/history?d=1y"/>
    <n v="1334"/>
    <x v="3"/>
  </r>
  <r>
    <x v="65"/>
    <s v="Howrah Rajdhani"/>
    <s v="GAYA"/>
    <x v="364"/>
    <n v="23"/>
    <n v="73.08"/>
    <n v="19.23"/>
    <n v="7.69"/>
    <n v="0"/>
    <d v="2025-09-28T01:54:55"/>
    <s v="https://etrain.info/train/Howrah-Rajdhani-12302/history?d=1y"/>
    <n v="1335"/>
    <x v="4"/>
  </r>
  <r>
    <x v="65"/>
    <s v="Howrah Rajdhani"/>
    <s v="PNME"/>
    <x v="363"/>
    <n v="34"/>
    <n v="46.15"/>
    <n v="46.15"/>
    <n v="7.69"/>
    <n v="0.01"/>
    <d v="2025-09-28T01:54:57"/>
    <s v="https://etrain.info/train/Howrah-Rajdhani-12302/history?d=1y"/>
    <n v="1336"/>
    <x v="5"/>
  </r>
  <r>
    <x v="65"/>
    <s v="Howrah Rajdhani"/>
    <s v="DHN"/>
    <x v="338"/>
    <n v="20"/>
    <n v="88.46"/>
    <n v="3.85"/>
    <n v="7.69"/>
    <n v="0"/>
    <d v="2025-09-28T01:55:00"/>
    <s v="https://etrain.info/train/Howrah-Rajdhani-12302/history?d=1y"/>
    <n v="1337"/>
    <x v="6"/>
  </r>
  <r>
    <x v="65"/>
    <s v="Howrah Rajdhani"/>
    <s v="ASN"/>
    <x v="337"/>
    <n v="40"/>
    <n v="50"/>
    <n v="38.46"/>
    <n v="11.54"/>
    <n v="0"/>
    <d v="2025-09-28T01:55:02"/>
    <s v="https://etrain.info/train/Howrah-Rajdhani-12302/history?d=1y"/>
    <n v="1338"/>
    <x v="7"/>
  </r>
  <r>
    <x v="65"/>
    <s v="Howrah Rajdhani"/>
    <s v="HWH"/>
    <x v="42"/>
    <n v="30"/>
    <n v="84.62"/>
    <n v="3.85"/>
    <n v="11.54"/>
    <n v="0"/>
    <d v="2025-09-28T01:55:06"/>
    <s v="https://etrain.info/train/Howrah-Rajdhani-12302/history?d=1y"/>
    <n v="1339"/>
    <x v="8"/>
  </r>
  <r>
    <x v="66"/>
    <s v="Kolkata Rajdhani"/>
    <s v="HWH"/>
    <x v="42"/>
    <n v="2"/>
    <n v="100"/>
    <n v="0"/>
    <n v="0"/>
    <n v="0"/>
    <d v="2025-09-28T01:55:11"/>
    <s v="https://etrain.info/train/Kolkata-Rajdhani-12305/history?d=1y"/>
    <n v="1340"/>
    <x v="0"/>
  </r>
  <r>
    <x v="66"/>
    <s v="Kolkata Rajdhani"/>
    <s v="BWN"/>
    <x v="365"/>
    <n v="19"/>
    <n v="0"/>
    <n v="100"/>
    <n v="0"/>
    <n v="0"/>
    <d v="2025-09-28T01:55:12"/>
    <s v="https://etrain.info/train/Kolkata-Rajdhani-12305/history?d=1y"/>
    <n v="1341"/>
    <x v="1"/>
  </r>
  <r>
    <x v="66"/>
    <s v="Kolkata Rajdhani"/>
    <s v="MDP"/>
    <x v="343"/>
    <n v="26"/>
    <n v="20"/>
    <n v="80"/>
    <n v="0"/>
    <n v="0"/>
    <d v="2025-09-28T01:55:14"/>
    <s v="https://etrain.info/train/Kolkata-Rajdhani-12305/history?d=1y"/>
    <n v="1342"/>
    <x v="2"/>
  </r>
  <r>
    <x v="66"/>
    <s v="Kolkata Rajdhani"/>
    <s v="JSME"/>
    <x v="344"/>
    <m/>
    <n v="20"/>
    <n v="80"/>
    <n v="0"/>
    <n v="0"/>
    <d v="2025-09-28T01:55:15"/>
    <s v="https://etrain.info/train/Kolkata-Rajdhani-12305/history?d=1y"/>
    <n v="1343"/>
    <x v="3"/>
  </r>
  <r>
    <x v="66"/>
    <s v="Kolkata Rajdhani"/>
    <s v="PNBE"/>
    <x v="348"/>
    <n v="2"/>
    <n v="100"/>
    <n v="0"/>
    <n v="0"/>
    <n v="0"/>
    <d v="2025-09-28T01:55:17"/>
    <s v="https://etrain.info/train/Kolkata-Rajdhani-12305/history?d=1y"/>
    <n v="1344"/>
    <x v="4"/>
  </r>
  <r>
    <x v="66"/>
    <s v="Kolkata Rajdhani"/>
    <s v="DDU"/>
    <x v="94"/>
    <n v="11"/>
    <n v="60"/>
    <n v="40"/>
    <n v="0"/>
    <n v="0"/>
    <d v="2025-09-28T01:55:18"/>
    <s v="https://etrain.info/train/Kolkata-Rajdhani-12305/history?d=1y"/>
    <n v="1345"/>
    <x v="5"/>
  </r>
  <r>
    <x v="66"/>
    <s v="Kolkata Rajdhani"/>
    <s v="PRYJ"/>
    <x v="349"/>
    <n v="12"/>
    <n v="60"/>
    <n v="40"/>
    <n v="0"/>
    <n v="0"/>
    <d v="2025-09-28T01:55:20"/>
    <s v="https://etrain.info/train/Kolkata-Rajdhani-12305/history?d=1y"/>
    <n v="1346"/>
    <x v="6"/>
  </r>
  <r>
    <x v="66"/>
    <s v="Kolkata Rajdhani"/>
    <s v="CNB"/>
    <x v="350"/>
    <n v="21"/>
    <n v="40"/>
    <n v="60"/>
    <n v="0"/>
    <n v="0"/>
    <d v="2025-09-28T01:55:21"/>
    <s v="https://etrain.info/train/Kolkata-Rajdhani-12305/history?d=1y"/>
    <n v="1347"/>
    <x v="7"/>
  </r>
  <r>
    <x v="66"/>
    <s v="Kolkata Rajdhani"/>
    <s v="NDLS"/>
    <x v="41"/>
    <n v="16"/>
    <n v="60"/>
    <n v="40"/>
    <n v="0"/>
    <n v="0"/>
    <d v="2025-09-28T01:55:23"/>
    <s v="https://etrain.info/train/Kolkata-Rajdhani-12305/history?d=1y"/>
    <n v="1348"/>
    <x v="8"/>
  </r>
  <r>
    <x v="67"/>
    <s v="Kolkata Rajdhani"/>
    <s v="NDLS"/>
    <x v="41"/>
    <n v="1"/>
    <n v="100"/>
    <n v="0"/>
    <n v="0"/>
    <n v="0"/>
    <d v="2025-09-28T01:55:27"/>
    <s v="https://etrain.info/train/Kolkata-Rajdhani-12306/history?d=1y"/>
    <n v="1349"/>
    <x v="0"/>
  </r>
  <r>
    <x v="67"/>
    <s v="Kolkata Rajdhani"/>
    <s v="CNB"/>
    <x v="350"/>
    <n v="4"/>
    <n v="100"/>
    <n v="0"/>
    <n v="0"/>
    <n v="0"/>
    <d v="2025-09-28T01:55:29"/>
    <s v="https://etrain.info/train/Kolkata-Rajdhani-12306/history?d=1y"/>
    <n v="1350"/>
    <x v="1"/>
  </r>
  <r>
    <x v="67"/>
    <s v="Kolkata Rajdhani"/>
    <s v="PRYJ"/>
    <x v="349"/>
    <n v="4"/>
    <n v="100"/>
    <n v="0"/>
    <n v="0"/>
    <n v="0"/>
    <d v="2025-09-28T01:55:30"/>
    <s v="https://etrain.info/train/Kolkata-Rajdhani-12306/history?d=1y"/>
    <n v="1351"/>
    <x v="2"/>
  </r>
  <r>
    <x v="67"/>
    <s v="Kolkata Rajdhani"/>
    <s v="DDU"/>
    <x v="94"/>
    <n v="0"/>
    <n v="100"/>
    <n v="0"/>
    <n v="0"/>
    <n v="0"/>
    <d v="2025-09-28T01:55:32"/>
    <s v="https://etrain.info/train/Kolkata-Rajdhani-12306/history?d=1y"/>
    <n v="1352"/>
    <x v="3"/>
  </r>
  <r>
    <x v="67"/>
    <s v="Kolkata Rajdhani"/>
    <s v="PNBE"/>
    <x v="348"/>
    <n v="1"/>
    <n v="100"/>
    <n v="0"/>
    <n v="0"/>
    <n v="0"/>
    <d v="2025-09-28T01:55:33"/>
    <s v="https://etrain.info/train/Kolkata-Rajdhani-12306/history?d=1y"/>
    <n v="1353"/>
    <x v="4"/>
  </r>
  <r>
    <x v="67"/>
    <s v="Kolkata Rajdhani"/>
    <s v="JSME"/>
    <x v="344"/>
    <n v="1"/>
    <n v="100"/>
    <n v="0"/>
    <n v="0"/>
    <n v="0"/>
    <d v="2025-09-28T01:55:35"/>
    <s v="https://etrain.info/train/Kolkata-Rajdhani-12306/history?d=1y"/>
    <n v="1354"/>
    <x v="5"/>
  </r>
  <r>
    <x v="67"/>
    <s v="Kolkata Rajdhani"/>
    <s v="MDP"/>
    <x v="343"/>
    <n v="2"/>
    <n v="100"/>
    <n v="0"/>
    <n v="0"/>
    <n v="0"/>
    <d v="2025-09-28T01:55:37"/>
    <s v="https://etrain.info/train/Kolkata-Rajdhani-12306/history?d=1y"/>
    <n v="1355"/>
    <x v="6"/>
  </r>
  <r>
    <x v="67"/>
    <s v="Kolkata Rajdhani"/>
    <s v="BWN"/>
    <x v="365"/>
    <n v="0"/>
    <n v="100"/>
    <n v="0"/>
    <n v="0"/>
    <n v="0"/>
    <d v="2025-09-28T01:55:38"/>
    <s v="https://etrain.info/train/Kolkata-Rajdhani-12306/history?d=1y"/>
    <n v="1356"/>
    <x v="7"/>
  </r>
  <r>
    <x v="67"/>
    <s v="Kolkata Rajdhani"/>
    <s v="HWH"/>
    <x v="42"/>
    <m/>
    <n v="100"/>
    <n v="0"/>
    <n v="0"/>
    <n v="0"/>
    <d v="2025-09-28T01:55:40"/>
    <s v="https://etrain.info/train/Kolkata-Rajdhani-12306/history?d=1y"/>
    <n v="1357"/>
    <x v="8"/>
  </r>
  <r>
    <x v="68"/>
    <s v="Sealdah Rajdhani"/>
    <s v="SDAH"/>
    <x v="352"/>
    <n v="0"/>
    <n v="100"/>
    <n v="0"/>
    <n v="0"/>
    <n v="0"/>
    <d v="2025-09-28T01:55:44"/>
    <s v="https://etrain.info/train/Sealdah-Rajdhani-12313/history?d=1y"/>
    <n v="1358"/>
    <x v="0"/>
  </r>
  <r>
    <x v="68"/>
    <s v="Sealdah Rajdhani"/>
    <s v="DGR"/>
    <x v="335"/>
    <n v="8"/>
    <n v="93.33"/>
    <n v="6.67"/>
    <n v="0"/>
    <n v="0"/>
    <d v="2025-09-28T01:55:48"/>
    <s v="https://etrain.info/train/Sealdah-Rajdhani-12313/history?d=1y"/>
    <n v="1359"/>
    <x v="1"/>
  </r>
  <r>
    <x v="68"/>
    <s v="Sealdah Rajdhani"/>
    <s v="ASN"/>
    <x v="337"/>
    <n v="14"/>
    <n v="76.67"/>
    <n v="23.33"/>
    <n v="0"/>
    <n v="0"/>
    <d v="2025-09-28T01:55:50"/>
    <s v="https://etrain.info/train/Sealdah-Rajdhani-12313/history?d=1y"/>
    <n v="1360"/>
    <x v="2"/>
  </r>
  <r>
    <x v="68"/>
    <s v="Sealdah Rajdhani"/>
    <s v="DHN"/>
    <x v="338"/>
    <n v="2"/>
    <n v="96.67"/>
    <n v="3.33"/>
    <n v="0"/>
    <n v="0"/>
    <d v="2025-09-28T01:55:53"/>
    <s v="https://etrain.info/train/Sealdah-Rajdhani-12313/history?d=1y"/>
    <n v="1361"/>
    <x v="3"/>
  </r>
  <r>
    <x v="68"/>
    <s v="Sealdah Rajdhani"/>
    <s v="GAYA"/>
    <x v="364"/>
    <n v="9"/>
    <n v="96.67"/>
    <n v="0"/>
    <n v="3.33"/>
    <n v="0"/>
    <d v="2025-09-28T01:55:57"/>
    <s v="https://etrain.info/train/Sealdah-Rajdhani-12313/history?d=1y"/>
    <n v="1362"/>
    <x v="4"/>
  </r>
  <r>
    <x v="68"/>
    <s v="Sealdah Rajdhani"/>
    <s v="DDU"/>
    <x v="94"/>
    <n v="12"/>
    <n v="93.33"/>
    <n v="3.33"/>
    <n v="3.33"/>
    <n v="0.01"/>
    <d v="2025-09-28T01:55:58"/>
    <s v="https://etrain.info/train/Sealdah-Rajdhani-12313/history?d=1y"/>
    <n v="1363"/>
    <x v="5"/>
  </r>
  <r>
    <x v="68"/>
    <s v="Sealdah Rajdhani"/>
    <s v="CNB"/>
    <x v="350"/>
    <n v="17"/>
    <n v="76.67"/>
    <n v="20"/>
    <n v="3.33"/>
    <n v="0"/>
    <d v="2025-09-28T01:56:02"/>
    <s v="https://etrain.info/train/Sealdah-Rajdhani-12313/history?d=1y"/>
    <n v="1364"/>
    <x v="6"/>
  </r>
  <r>
    <x v="68"/>
    <s v="Sealdah Rajdhani"/>
    <s v="NDLS"/>
    <x v="41"/>
    <n v="11"/>
    <n v="83.33"/>
    <n v="13.33"/>
    <n v="3.33"/>
    <n v="0.01"/>
    <d v="2025-09-28T01:56:03"/>
    <s v="https://etrain.info/train/Sealdah-Rajdhani-12313/history?d=1y"/>
    <n v="1365"/>
    <x v="7"/>
  </r>
  <r>
    <x v="69"/>
    <s v="Sealdah Rajdhani"/>
    <s v="NDLS"/>
    <x v="41"/>
    <n v="9"/>
    <n v="96.67"/>
    <n v="0"/>
    <n v="3.33"/>
    <n v="0"/>
    <d v="2025-09-28T01:56:13"/>
    <s v="https://etrain.info/train/Sealdah-Rajdhani-12314/history?d=1y"/>
    <n v="1366"/>
    <x v="0"/>
  </r>
  <r>
    <x v="69"/>
    <s v="Sealdah Rajdhani"/>
    <s v="CNB"/>
    <x v="350"/>
    <n v="23"/>
    <n v="80"/>
    <n v="13.33"/>
    <n v="6.67"/>
    <n v="0"/>
    <d v="2025-09-28T01:56:14"/>
    <s v="https://etrain.info/train/Sealdah-Rajdhani-12314/history?d=1y"/>
    <n v="1367"/>
    <x v="1"/>
  </r>
  <r>
    <x v="69"/>
    <s v="Sealdah Rajdhani"/>
    <s v="DDU"/>
    <x v="94"/>
    <m/>
    <n v="93.33"/>
    <n v="0"/>
    <n v="6.67"/>
    <n v="0"/>
    <d v="2025-09-28T01:56:16"/>
    <s v="https://etrain.info/train/Sealdah-Rajdhani-12314/history?d=1y"/>
    <n v="1368"/>
    <x v="2"/>
  </r>
  <r>
    <x v="69"/>
    <s v="Sealdah Rajdhani"/>
    <s v="GAYA"/>
    <x v="364"/>
    <n v="24"/>
    <n v="83.33"/>
    <n v="10"/>
    <n v="6.67"/>
    <n v="0"/>
    <d v="2025-09-28T01:56:20"/>
    <s v="https://etrain.info/train/Sealdah-Rajdhani-12314/history?d=1y"/>
    <n v="1369"/>
    <x v="3"/>
  </r>
  <r>
    <x v="69"/>
    <s v="Sealdah Rajdhani"/>
    <s v="DHN"/>
    <x v="338"/>
    <m/>
    <n v="90"/>
    <n v="3.33"/>
    <n v="6.67"/>
    <n v="0"/>
    <d v="2025-09-28T01:56:23"/>
    <s v="https://etrain.info/train/Sealdah-Rajdhani-12314/history?d=1y"/>
    <n v="1370"/>
    <x v="4"/>
  </r>
  <r>
    <x v="69"/>
    <s v="Sealdah Rajdhani"/>
    <s v="ASN"/>
    <x v="337"/>
    <m/>
    <n v="26.67"/>
    <n v="63.33"/>
    <n v="10"/>
    <n v="0"/>
    <d v="2025-09-28T01:56:25"/>
    <s v="https://etrain.info/train/Sealdah-Rajdhani-12314/history?d=1y"/>
    <n v="1371"/>
    <x v="5"/>
  </r>
  <r>
    <x v="69"/>
    <s v="Sealdah Rajdhani"/>
    <s v="DGR"/>
    <x v="335"/>
    <n v="40"/>
    <n v="13.33"/>
    <n v="76.67"/>
    <n v="10"/>
    <n v="0"/>
    <d v="2025-09-28T01:56:27"/>
    <s v="https://etrain.info/train/Sealdah-Rajdhani-12314/history?d=1y"/>
    <n v="1372"/>
    <x v="6"/>
  </r>
  <r>
    <x v="69"/>
    <s v="Sealdah Rajdhani"/>
    <s v="SDAH"/>
    <x v="352"/>
    <n v="19"/>
    <n v="86.67"/>
    <n v="3.33"/>
    <n v="10"/>
    <n v="0"/>
    <d v="2025-09-28T01:56:31"/>
    <s v="https://etrain.info/train/Sealdah-Rajdhani-12314/history?d=1y"/>
    <n v="1373"/>
    <x v="7"/>
  </r>
  <r>
    <x v="70"/>
    <s v="Dibrugarh Rajdhani"/>
    <s v="DBRG"/>
    <x v="366"/>
    <n v="2"/>
    <n v="96.67"/>
    <n v="3.33"/>
    <n v="0"/>
    <n v="0"/>
    <d v="2025-09-28T01:56:38"/>
    <s v="https://etrain.info/train/Dibrugarh-Rajdhani-12423/history?d=1y"/>
    <n v="1374"/>
    <x v="0"/>
  </r>
  <r>
    <x v="70"/>
    <s v="Dibrugarh Rajdhani"/>
    <s v="NTSK"/>
    <x v="367"/>
    <n v="13"/>
    <n v="73.33"/>
    <n v="23.33"/>
    <n v="3.33"/>
    <n v="0.01"/>
    <d v="2025-09-28T01:56:40"/>
    <s v="https://etrain.info/train/Dibrugarh-Rajdhani-12423/history?d=1y"/>
    <n v="1375"/>
    <x v="1"/>
  </r>
  <r>
    <x v="70"/>
    <s v="Dibrugarh Rajdhani"/>
    <s v="MXN"/>
    <x v="368"/>
    <n v="21"/>
    <n v="50"/>
    <n v="46.67"/>
    <n v="3.33"/>
    <n v="0"/>
    <d v="2025-09-28T01:56:43"/>
    <s v="https://etrain.info/train/Dibrugarh-Rajdhani-12423/history?d=1y"/>
    <n v="1376"/>
    <x v="2"/>
  </r>
  <r>
    <x v="70"/>
    <s v="Dibrugarh Rajdhani"/>
    <s v="DMV"/>
    <x v="369"/>
    <n v="22"/>
    <n v="50"/>
    <n v="46.67"/>
    <n v="3.33"/>
    <n v="0"/>
    <d v="2025-09-28T01:56:47"/>
    <s v="https://etrain.info/train/Dibrugarh-Rajdhani-12423/history?d=1y"/>
    <n v="1377"/>
    <x v="3"/>
  </r>
  <r>
    <x v="70"/>
    <s v="Dibrugarh Rajdhani"/>
    <s v="DPU"/>
    <x v="370"/>
    <m/>
    <n v="50"/>
    <n v="43.33"/>
    <n v="6.67"/>
    <n v="0"/>
    <d v="2025-09-28T01:56:49"/>
    <s v="https://etrain.info/train/Dibrugarh-Rajdhani-12423/history?d=1y"/>
    <n v="1378"/>
    <x v="4"/>
  </r>
  <r>
    <x v="70"/>
    <s v="Dibrugarh Rajdhani"/>
    <s v="LMG"/>
    <x v="371"/>
    <n v="33"/>
    <n v="30"/>
    <n v="60"/>
    <n v="10"/>
    <n v="0"/>
    <d v="2025-09-28T01:56:50"/>
    <s v="https://etrain.info/train/Dibrugarh-Rajdhani-12423/history?d=1y"/>
    <n v="1379"/>
    <x v="5"/>
  </r>
  <r>
    <x v="70"/>
    <s v="Dibrugarh Rajdhani"/>
    <s v="CPK"/>
    <x v="372"/>
    <m/>
    <n v="26.67"/>
    <n v="63.33"/>
    <n v="10"/>
    <n v="0"/>
    <d v="2025-09-28T01:56:53"/>
    <s v="https://etrain.info/train/Dibrugarh-Rajdhani-12423/history?d=1y"/>
    <n v="1380"/>
    <x v="6"/>
  </r>
  <r>
    <x v="70"/>
    <s v="Dibrugarh Rajdhani"/>
    <s v="GHY"/>
    <x v="289"/>
    <n v="25"/>
    <n v="43.33"/>
    <n v="53.33"/>
    <n v="3.33"/>
    <n v="0.01"/>
    <d v="2025-09-28T01:56:54"/>
    <s v="https://etrain.info/train/Dibrugarh-Rajdhani-12423/history?d=1y"/>
    <n v="1381"/>
    <x v="7"/>
  </r>
  <r>
    <x v="70"/>
    <s v="Dibrugarh Rajdhani"/>
    <s v="RNY"/>
    <x v="287"/>
    <m/>
    <n v="53.33"/>
    <n v="43.33"/>
    <n v="3.33"/>
    <n v="0"/>
    <d v="2025-09-28T01:56:56"/>
    <s v="https://etrain.info/train/Dibrugarh-Rajdhani-12423/history?d=1y"/>
    <n v="1382"/>
    <x v="8"/>
  </r>
  <r>
    <x v="70"/>
    <s v="Dibrugarh Rajdhani"/>
    <s v="NBQ"/>
    <x v="285"/>
    <n v="13"/>
    <n v="70"/>
    <n v="26.67"/>
    <n v="3.33"/>
    <n v="0"/>
    <d v="2025-09-28T01:57:00"/>
    <s v="https://etrain.info/train/Dibrugarh-Rajdhani-12423/history?d=1y"/>
    <n v="1383"/>
    <x v="9"/>
  </r>
  <r>
    <x v="70"/>
    <s v="Dibrugarh Rajdhani"/>
    <s v="KOJ"/>
    <x v="284"/>
    <n v="19"/>
    <n v="63.33"/>
    <n v="30"/>
    <n v="6.67"/>
    <n v="0"/>
    <d v="2025-09-28T01:57:04"/>
    <s v="https://etrain.info/train/Dibrugarh-Rajdhani-12423/history?d=1y"/>
    <n v="1384"/>
    <x v="10"/>
  </r>
  <r>
    <x v="70"/>
    <s v="Dibrugarh Rajdhani"/>
    <s v="NCB"/>
    <x v="282"/>
    <n v="30"/>
    <n v="30"/>
    <n v="63.33"/>
    <n v="6.67"/>
    <n v="0"/>
    <d v="2025-09-28T01:57:08"/>
    <s v="https://etrain.info/train/Dibrugarh-Rajdhani-12423/history?d=1y"/>
    <n v="1385"/>
    <x v="11"/>
  </r>
  <r>
    <x v="70"/>
    <s v="Dibrugarh Rajdhani"/>
    <s v="NJP"/>
    <x v="133"/>
    <n v="17"/>
    <n v="63.33"/>
    <n v="30"/>
    <n v="6.67"/>
    <n v="0"/>
    <d v="2025-09-28T01:57:12"/>
    <s v="https://etrain.info/train/Dibrugarh-Rajdhani-12423/history?d=1y"/>
    <n v="1386"/>
    <x v="12"/>
  </r>
  <r>
    <x v="70"/>
    <s v="Dibrugarh Rajdhani"/>
    <s v="KNE"/>
    <x v="132"/>
    <m/>
    <n v="63.33"/>
    <n v="30"/>
    <n v="6.67"/>
    <n v="0"/>
    <d v="2025-09-28T01:57:14"/>
    <s v="https://etrain.info/train/Dibrugarh-Rajdhani-12423/history?d=1y"/>
    <n v="1387"/>
    <x v="13"/>
  </r>
  <r>
    <x v="70"/>
    <s v="Dibrugarh Rajdhani"/>
    <s v="KIR"/>
    <x v="373"/>
    <n v="5"/>
    <n v="90"/>
    <n v="6.67"/>
    <n v="3.33"/>
    <n v="0"/>
    <d v="2025-09-28T01:57:16"/>
    <s v="https://etrain.info/train/Dibrugarh-Rajdhani-12423/history?d=1y"/>
    <n v="1388"/>
    <x v="14"/>
  </r>
  <r>
    <x v="70"/>
    <s v="Dibrugarh Rajdhani"/>
    <s v="NNA"/>
    <x v="374"/>
    <n v="8"/>
    <n v="90"/>
    <n v="6.67"/>
    <n v="3.33"/>
    <n v="0"/>
    <d v="2025-09-28T01:57:17"/>
    <s v="https://etrain.info/train/Dibrugarh-Rajdhani-12423/history?d=1y"/>
    <n v="1389"/>
    <x v="15"/>
  </r>
  <r>
    <x v="70"/>
    <s v="Dibrugarh Rajdhani"/>
    <s v="MNE"/>
    <x v="375"/>
    <n v="15"/>
    <n v="66.67"/>
    <n v="30"/>
    <n v="3.33"/>
    <n v="0"/>
    <d v="2025-09-28T01:57:21"/>
    <s v="https://etrain.info/train/Dibrugarh-Rajdhani-12423/history?d=1y"/>
    <n v="1390"/>
    <x v="16"/>
  </r>
  <r>
    <x v="70"/>
    <s v="Dibrugarh Rajdhani"/>
    <s v="BJU"/>
    <x v="376"/>
    <m/>
    <n v="20"/>
    <n v="73.33"/>
    <n v="6.67"/>
    <n v="0"/>
    <d v="2025-09-28T01:57:23"/>
    <s v="https://etrain.info/train/Dibrugarh-Rajdhani-12423/history?d=1y"/>
    <n v="1391"/>
    <x v="17"/>
  </r>
  <r>
    <x v="70"/>
    <s v="Dibrugarh Rajdhani"/>
    <s v="PPTA"/>
    <x v="377"/>
    <n v="7"/>
    <n v="90"/>
    <n v="6.67"/>
    <n v="3.33"/>
    <n v="0"/>
    <d v="2025-09-28T01:57:25"/>
    <s v="https://etrain.info/train/Dibrugarh-Rajdhani-12423/history?d=1y"/>
    <n v="1392"/>
    <x v="18"/>
  </r>
  <r>
    <x v="70"/>
    <s v="Dibrugarh Rajdhani"/>
    <s v="DNR"/>
    <x v="98"/>
    <n v="11"/>
    <n v="86.67"/>
    <n v="6.67"/>
    <n v="6.67"/>
    <n v="0"/>
    <d v="2025-09-28T01:57:28"/>
    <s v="https://etrain.info/train/Dibrugarh-Rajdhani-12423/history?d=1y"/>
    <n v="1393"/>
    <x v="19"/>
  </r>
  <r>
    <x v="70"/>
    <s v="Dibrugarh Rajdhani"/>
    <s v="DDU"/>
    <x v="94"/>
    <n v="10"/>
    <n v="83.33"/>
    <n v="16.670000000000002"/>
    <n v="0"/>
    <n v="0"/>
    <d v="2025-09-28T01:57:30"/>
    <s v="https://etrain.info/train/Dibrugarh-Rajdhani-12423/history?d=1y"/>
    <n v="1394"/>
    <x v="20"/>
  </r>
  <r>
    <x v="70"/>
    <s v="Dibrugarh Rajdhani"/>
    <s v="PRYJ"/>
    <x v="349"/>
    <n v="12"/>
    <n v="80"/>
    <n v="13.33"/>
    <n v="6.67"/>
    <n v="0"/>
    <d v="2025-09-28T01:57:31"/>
    <s v="https://etrain.info/train/Dibrugarh-Rajdhani-12423/history?d=1y"/>
    <n v="1395"/>
    <x v="21"/>
  </r>
  <r>
    <x v="70"/>
    <s v="Dibrugarh Rajdhani"/>
    <s v="CNB"/>
    <x v="350"/>
    <n v="17"/>
    <n v="60"/>
    <n v="33.33"/>
    <n v="6.67"/>
    <n v="0"/>
    <d v="2025-09-28T01:57:35"/>
    <s v="https://etrain.info/train/Dibrugarh-Rajdhani-12423/history?d=1y"/>
    <n v="1396"/>
    <x v="22"/>
  </r>
  <r>
    <x v="70"/>
    <s v="Dibrugarh Rajdhani"/>
    <s v="NDLS"/>
    <x v="41"/>
    <n v="11"/>
    <n v="83.33"/>
    <n v="13.33"/>
    <n v="3.33"/>
    <n v="0.01"/>
    <d v="2025-09-28T01:57:37"/>
    <s v="https://etrain.info/train/Dibrugarh-Rajdhani-12423/history?d=1y"/>
    <n v="1397"/>
    <x v="23"/>
  </r>
  <r>
    <x v="71"/>
    <s v="Dibrugarh Rajdhani"/>
    <s v="NDLS"/>
    <x v="41"/>
    <m/>
    <n v="100"/>
    <n v="0"/>
    <n v="0"/>
    <n v="0"/>
    <d v="2025-09-28T01:57:45"/>
    <s v="https://etrain.info/train/Dibrugarh-Rajdhani-12424/history?d=1y"/>
    <n v="1398"/>
    <x v="0"/>
  </r>
  <r>
    <x v="71"/>
    <s v="Dibrugarh Rajdhani"/>
    <s v="CNB"/>
    <x v="350"/>
    <n v="13"/>
    <n v="90"/>
    <n v="6.67"/>
    <n v="3.33"/>
    <n v="0"/>
    <d v="2025-09-28T01:57:46"/>
    <s v="https://etrain.info/train/Dibrugarh-Rajdhani-12424/history?d=1y"/>
    <n v="1399"/>
    <x v="1"/>
  </r>
  <r>
    <x v="71"/>
    <s v="Dibrugarh Rajdhani"/>
    <s v="PRYJ"/>
    <x v="349"/>
    <n v="17"/>
    <n v="83.33"/>
    <n v="13.33"/>
    <n v="3.33"/>
    <n v="0.01"/>
    <d v="2025-09-28T01:57:47"/>
    <s v="https://etrain.info/train/Dibrugarh-Rajdhani-12424/history?d=1y"/>
    <n v="1400"/>
    <x v="2"/>
  </r>
  <r>
    <x v="71"/>
    <s v="Dibrugarh Rajdhani"/>
    <s v="DDU"/>
    <x v="94"/>
    <n v="8"/>
    <n v="96.67"/>
    <n v="0"/>
    <n v="3.33"/>
    <n v="0"/>
    <d v="2025-09-28T01:57:51"/>
    <s v="https://etrain.info/train/Dibrugarh-Rajdhani-12424/history?d=1y"/>
    <n v="1401"/>
    <x v="3"/>
  </r>
  <r>
    <x v="71"/>
    <s v="Dibrugarh Rajdhani"/>
    <s v="DNR"/>
    <x v="98"/>
    <m/>
    <n v="96.67"/>
    <n v="0"/>
    <n v="3.33"/>
    <n v="0"/>
    <d v="2025-09-28T01:57:53"/>
    <s v="https://etrain.info/train/Dibrugarh-Rajdhani-12424/history?d=1y"/>
    <n v="1402"/>
    <x v="4"/>
  </r>
  <r>
    <x v="71"/>
    <s v="Dibrugarh Rajdhani"/>
    <s v="PPTA"/>
    <x v="377"/>
    <n v="9"/>
    <n v="96.67"/>
    <n v="0"/>
    <n v="3.33"/>
    <n v="0"/>
    <d v="2025-09-28T01:57:57"/>
    <s v="https://etrain.info/train/Dibrugarh-Rajdhani-12424/history?d=1y"/>
    <n v="1403"/>
    <x v="5"/>
  </r>
  <r>
    <x v="71"/>
    <s v="Dibrugarh Rajdhani"/>
    <s v="BJU"/>
    <x v="376"/>
    <n v="7"/>
    <n v="93.33"/>
    <n v="3.33"/>
    <n v="3.33"/>
    <n v="0.01"/>
    <d v="2025-09-28T01:57:58"/>
    <s v="https://etrain.info/train/Dibrugarh-Rajdhani-12424/history?d=1y"/>
    <n v="1404"/>
    <x v="6"/>
  </r>
  <r>
    <x v="71"/>
    <s v="Dibrugarh Rajdhani"/>
    <s v="MNE"/>
    <x v="375"/>
    <n v="17"/>
    <n v="83.33"/>
    <n v="13.33"/>
    <n v="3.33"/>
    <n v="0.01"/>
    <d v="2025-09-28T01:58:00"/>
    <s v="https://etrain.info/train/Dibrugarh-Rajdhani-12424/history?d=1y"/>
    <n v="1405"/>
    <x v="7"/>
  </r>
  <r>
    <x v="71"/>
    <s v="Dibrugarh Rajdhani"/>
    <s v="NNA"/>
    <x v="374"/>
    <n v="21"/>
    <n v="56.67"/>
    <n v="40"/>
    <n v="3.33"/>
    <n v="0"/>
    <d v="2025-09-28T01:58:04"/>
    <s v="https://etrain.info/train/Dibrugarh-Rajdhani-12424/history?d=1y"/>
    <n v="1406"/>
    <x v="8"/>
  </r>
  <r>
    <x v="71"/>
    <s v="Dibrugarh Rajdhani"/>
    <s v="KIR"/>
    <x v="373"/>
    <n v="15"/>
    <n v="83.33"/>
    <n v="13.33"/>
    <n v="3.33"/>
    <n v="0.01"/>
    <d v="2025-09-28T01:58:05"/>
    <s v="https://etrain.info/train/Dibrugarh-Rajdhani-12424/history?d=1y"/>
    <n v="1407"/>
    <x v="9"/>
  </r>
  <r>
    <x v="71"/>
    <s v="Dibrugarh Rajdhani"/>
    <s v="KNE"/>
    <x v="132"/>
    <m/>
    <n v="6.67"/>
    <n v="90"/>
    <n v="3.33"/>
    <n v="0"/>
    <d v="2025-09-28T01:58:07"/>
    <s v="https://etrain.info/train/Dibrugarh-Rajdhani-12424/history?d=1y"/>
    <n v="1408"/>
    <x v="10"/>
  </r>
  <r>
    <x v="71"/>
    <s v="Dibrugarh Rajdhani"/>
    <s v="NJP"/>
    <x v="133"/>
    <n v="24"/>
    <n v="56.67"/>
    <n v="40"/>
    <n v="3.33"/>
    <n v="0"/>
    <d v="2025-09-28T01:58:11"/>
    <s v="https://etrain.info/train/Dibrugarh-Rajdhani-12424/history?d=1y"/>
    <n v="1409"/>
    <x v="11"/>
  </r>
  <r>
    <x v="71"/>
    <s v="Dibrugarh Rajdhani"/>
    <s v="NCB"/>
    <x v="282"/>
    <n v="15"/>
    <n v="83.33"/>
    <n v="13.33"/>
    <n v="3.33"/>
    <n v="0.01"/>
    <d v="2025-09-28T01:58:12"/>
    <s v="https://etrain.info/train/Dibrugarh-Rajdhani-12424/history?d=1y"/>
    <n v="1410"/>
    <x v="12"/>
  </r>
  <r>
    <x v="71"/>
    <s v="Dibrugarh Rajdhani"/>
    <s v="KOJ"/>
    <x v="284"/>
    <n v="30"/>
    <n v="33.33"/>
    <n v="63.33"/>
    <n v="3.33"/>
    <n v="0.01"/>
    <d v="2025-09-28T01:58:14"/>
    <s v="https://etrain.info/train/Dibrugarh-Rajdhani-12424/history?d=1y"/>
    <n v="1411"/>
    <x v="13"/>
  </r>
  <r>
    <x v="71"/>
    <s v="Dibrugarh Rajdhani"/>
    <s v="NBQ"/>
    <x v="285"/>
    <n v="19"/>
    <n v="80"/>
    <n v="16.670000000000002"/>
    <n v="3.33"/>
    <n v="0"/>
    <d v="2025-09-28T01:58:17"/>
    <s v="https://etrain.info/train/Dibrugarh-Rajdhani-12424/history?d=1y"/>
    <n v="1412"/>
    <x v="14"/>
  </r>
  <r>
    <x v="71"/>
    <s v="Dibrugarh Rajdhani"/>
    <s v="RNY"/>
    <x v="287"/>
    <n v="34"/>
    <n v="36.67"/>
    <n v="56.67"/>
    <n v="6.67"/>
    <n v="0"/>
    <d v="2025-09-28T01:58:21"/>
    <s v="https://etrain.info/train/Dibrugarh-Rajdhani-12424/history?d=1y"/>
    <n v="1413"/>
    <x v="15"/>
  </r>
  <r>
    <x v="71"/>
    <s v="Dibrugarh Rajdhani"/>
    <s v="GHY"/>
    <x v="289"/>
    <n v="30"/>
    <n v="53.33"/>
    <n v="40"/>
    <n v="6.67"/>
    <n v="0"/>
    <d v="2025-09-28T01:58:25"/>
    <s v="https://etrain.info/train/Dibrugarh-Rajdhani-12424/history?d=1y"/>
    <n v="1414"/>
    <x v="16"/>
  </r>
  <r>
    <x v="71"/>
    <s v="Dibrugarh Rajdhani"/>
    <s v="CPK"/>
    <x v="372"/>
    <m/>
    <n v="60"/>
    <n v="33.33"/>
    <n v="6.67"/>
    <n v="0"/>
    <d v="2025-09-28T01:58:27"/>
    <s v="https://etrain.info/train/Dibrugarh-Rajdhani-12424/history?d=1y"/>
    <n v="1415"/>
    <x v="17"/>
  </r>
  <r>
    <x v="71"/>
    <s v="Dibrugarh Rajdhani"/>
    <s v="LMG"/>
    <x v="371"/>
    <n v="23"/>
    <n v="70"/>
    <n v="23.33"/>
    <n v="6.67"/>
    <n v="0"/>
    <d v="2025-09-28T01:58:31"/>
    <s v="https://etrain.info/train/Dibrugarh-Rajdhani-12424/history?d=1y"/>
    <n v="1416"/>
    <x v="18"/>
  </r>
  <r>
    <x v="71"/>
    <s v="Dibrugarh Rajdhani"/>
    <s v="DPU"/>
    <x v="370"/>
    <n v="26"/>
    <n v="70"/>
    <n v="20"/>
    <n v="10"/>
    <n v="0"/>
    <d v="2025-09-28T01:58:32"/>
    <s v="https://etrain.info/train/Dibrugarh-Rajdhani-12424/history?d=1y"/>
    <n v="1417"/>
    <x v="19"/>
  </r>
  <r>
    <x v="71"/>
    <s v="Dibrugarh Rajdhani"/>
    <s v="DMV"/>
    <x v="369"/>
    <m/>
    <n v="53.33"/>
    <n v="36.67"/>
    <n v="10"/>
    <n v="0"/>
    <d v="2025-09-28T01:58:34"/>
    <s v="https://etrain.info/train/Dibrugarh-Rajdhani-12424/history?d=1y"/>
    <n v="1418"/>
    <x v="20"/>
  </r>
  <r>
    <x v="71"/>
    <s v="Dibrugarh Rajdhani"/>
    <s v="MXN"/>
    <x v="368"/>
    <n v="27"/>
    <n v="66.67"/>
    <n v="23.33"/>
    <n v="10"/>
    <n v="0"/>
    <d v="2025-09-28T01:58:36"/>
    <s v="https://etrain.info/train/Dibrugarh-Rajdhani-12424/history?d=1y"/>
    <n v="1419"/>
    <x v="21"/>
  </r>
  <r>
    <x v="71"/>
    <s v="Dibrugarh Rajdhani"/>
    <s v="NTSK"/>
    <x v="367"/>
    <n v="49"/>
    <n v="23.33"/>
    <n v="63.33"/>
    <n v="13.33"/>
    <n v="0.01"/>
    <d v="2025-09-28T01:58:38"/>
    <s v="https://etrain.info/train/Dibrugarh-Rajdhani-12424/history?d=1y"/>
    <n v="1420"/>
    <x v="22"/>
  </r>
  <r>
    <x v="71"/>
    <s v="Dibrugarh Rajdhani"/>
    <s v="DBRG"/>
    <x v="366"/>
    <n v="15"/>
    <n v="70"/>
    <n v="16.670000000000002"/>
    <n v="13.33"/>
    <n v="0"/>
    <d v="2025-09-28T01:58:42"/>
    <s v="https://etrain.info/train/Dibrugarh-Rajdhani-12424/history?d=1y"/>
    <n v="1421"/>
    <x v="23"/>
  </r>
  <r>
    <x v="72"/>
    <s v="August Kranti Rajdhani"/>
    <s v="MMCT"/>
    <x v="122"/>
    <n v="1"/>
    <n v="100"/>
    <n v="0"/>
    <n v="0"/>
    <n v="0"/>
    <d v="2025-09-28T01:58:48"/>
    <s v="https://etrain.info/train/August-Kranti-Rajdhani-12953/history?d=1y"/>
    <n v="1422"/>
    <x v="0"/>
  </r>
  <r>
    <x v="72"/>
    <s v="August Kranti Rajdhani"/>
    <s v="BVI"/>
    <x v="123"/>
    <n v="9"/>
    <n v="86.67"/>
    <n v="13.33"/>
    <n v="0"/>
    <n v="0"/>
    <d v="2025-09-28T01:58:52"/>
    <s v="https://etrain.info/train/August-Kranti-Rajdhani-12953/history?d=1y"/>
    <n v="1423"/>
    <x v="1"/>
  </r>
  <r>
    <x v="72"/>
    <s v="August Kranti Rajdhani"/>
    <s v="VAPI"/>
    <x v="228"/>
    <n v="14"/>
    <n v="63.33"/>
    <n v="36.67"/>
    <n v="0"/>
    <n v="0"/>
    <d v="2025-09-28T01:58:54"/>
    <s v="https://etrain.info/train/August-Kranti-Rajdhani-12953/history?d=1y"/>
    <n v="1424"/>
    <x v="2"/>
  </r>
  <r>
    <x v="72"/>
    <s v="August Kranti Rajdhani"/>
    <s v="BL"/>
    <x v="229"/>
    <n v="11"/>
    <n v="80"/>
    <n v="20"/>
    <n v="0"/>
    <n v="0"/>
    <d v="2025-09-28T01:58:56"/>
    <s v="https://etrain.info/train/August-Kranti-Rajdhani-12953/history?d=1y"/>
    <n v="1425"/>
    <x v="3"/>
  </r>
  <r>
    <x v="72"/>
    <s v="August Kranti Rajdhani"/>
    <s v="ST"/>
    <x v="124"/>
    <n v="7"/>
    <n v="93.33"/>
    <n v="6.67"/>
    <n v="0"/>
    <n v="0"/>
    <d v="2025-09-28T01:58:59"/>
    <s v="https://etrain.info/train/August-Kranti-Rajdhani-12953/history?d=1y"/>
    <n v="1426"/>
    <x v="4"/>
  </r>
  <r>
    <x v="72"/>
    <s v="August Kranti Rajdhani"/>
    <s v="BH"/>
    <x v="231"/>
    <m/>
    <n v="80"/>
    <n v="20"/>
    <n v="0"/>
    <n v="0"/>
    <d v="2025-09-28T01:59:01"/>
    <s v="https://etrain.info/train/August-Kranti-Rajdhani-12953/history?d=1y"/>
    <n v="1427"/>
    <x v="5"/>
  </r>
  <r>
    <x v="72"/>
    <s v="August Kranti Rajdhani"/>
    <s v="BRC"/>
    <x v="125"/>
    <n v="10"/>
    <n v="83.33"/>
    <n v="16.670000000000002"/>
    <n v="0"/>
    <n v="0"/>
    <d v="2025-09-28T01:59:03"/>
    <s v="https://etrain.info/train/August-Kranti-Rajdhani-12953/history?d=1y"/>
    <n v="1428"/>
    <x v="6"/>
  </r>
  <r>
    <x v="72"/>
    <s v="August Kranti Rajdhani"/>
    <s v="DHD"/>
    <x v="140"/>
    <n v="13"/>
    <n v="63.33"/>
    <n v="36.67"/>
    <n v="0"/>
    <n v="0"/>
    <d v="2025-09-28T01:59:04"/>
    <s v="https://etrain.info/train/August-Kranti-Rajdhani-12953/history?d=1y"/>
    <n v="1429"/>
    <x v="7"/>
  </r>
  <r>
    <x v="72"/>
    <s v="August Kranti Rajdhani"/>
    <s v="RTM"/>
    <x v="126"/>
    <n v="10"/>
    <n v="80"/>
    <n v="20"/>
    <n v="0"/>
    <n v="0"/>
    <d v="2025-09-28T01:59:06"/>
    <s v="https://etrain.info/train/August-Kranti-Rajdhani-12953/history?d=1y"/>
    <n v="1430"/>
    <x v="8"/>
  </r>
  <r>
    <x v="72"/>
    <s v="August Kranti Rajdhani"/>
    <s v="KOTA"/>
    <x v="128"/>
    <n v="9"/>
    <n v="73.33"/>
    <n v="23.33"/>
    <n v="3.33"/>
    <n v="0.01"/>
    <d v="2025-09-28T01:59:07"/>
    <s v="https://etrain.info/train/August-Kranti-Rajdhani-12953/history?d=1y"/>
    <n v="1431"/>
    <x v="9"/>
  </r>
  <r>
    <x v="72"/>
    <s v="August Kranti Rajdhani"/>
    <s v="SWM"/>
    <x v="145"/>
    <n v="15"/>
    <n v="66.67"/>
    <n v="30"/>
    <n v="3.33"/>
    <n v="0"/>
    <d v="2025-09-28T01:59:11"/>
    <s v="https://etrain.info/train/August-Kranti-Rajdhani-12953/history?d=1y"/>
    <n v="1432"/>
    <x v="10"/>
  </r>
  <r>
    <x v="72"/>
    <s v="August Kranti Rajdhani"/>
    <s v="MTJ"/>
    <x v="119"/>
    <n v="8"/>
    <n v="96.67"/>
    <n v="0"/>
    <n v="3.33"/>
    <n v="0"/>
    <d v="2025-09-28T01:59:15"/>
    <s v="https://etrain.info/train/August-Kranti-Rajdhani-12953/history?d=1y"/>
    <n v="1433"/>
    <x v="11"/>
  </r>
  <r>
    <x v="72"/>
    <s v="August Kranti Rajdhani"/>
    <s v="NZM"/>
    <x v="40"/>
    <n v="7"/>
    <n v="90"/>
    <n v="6.67"/>
    <n v="3.33"/>
    <n v="0"/>
    <d v="2025-09-28T01:59:16"/>
    <s v="https://etrain.info/train/August-Kranti-Rajdhani-12953/history?d=1y"/>
    <n v="1434"/>
    <x v="12"/>
  </r>
  <r>
    <x v="73"/>
    <s v="August Kranti Rajdhani"/>
    <s v="NZM"/>
    <x v="40"/>
    <n v="0"/>
    <n v="100"/>
    <n v="0"/>
    <n v="0"/>
    <n v="0"/>
    <d v="2025-09-28T01:59:23"/>
    <s v="https://etrain.info/train/August-Kranti-Rajdhani-12954/history?d=1y"/>
    <n v="1435"/>
    <x v="0"/>
  </r>
  <r>
    <x v="73"/>
    <s v="August Kranti Rajdhani"/>
    <s v="MTJ"/>
    <x v="119"/>
    <n v="6"/>
    <n v="96.67"/>
    <n v="3.33"/>
    <n v="0"/>
    <n v="0"/>
    <d v="2025-09-28T01:59:27"/>
    <s v="https://etrain.info/train/August-Kranti-Rajdhani-12954/history?d=1y"/>
    <n v="1436"/>
    <x v="1"/>
  </r>
  <r>
    <x v="73"/>
    <s v="August Kranti Rajdhani"/>
    <s v="SWM"/>
    <x v="145"/>
    <n v="13"/>
    <n v="76.67"/>
    <n v="20"/>
    <n v="3.33"/>
    <n v="0"/>
    <d v="2025-09-28T01:59:30"/>
    <s v="https://etrain.info/train/August-Kranti-Rajdhani-12954/history?d=1y"/>
    <n v="1437"/>
    <x v="2"/>
  </r>
  <r>
    <x v="73"/>
    <s v="August Kranti Rajdhani"/>
    <s v="KOTA"/>
    <x v="128"/>
    <n v="23"/>
    <n v="43.33"/>
    <n v="50"/>
    <n v="6.67"/>
    <n v="0"/>
    <d v="2025-09-28T01:59:34"/>
    <s v="https://etrain.info/train/August-Kranti-Rajdhani-12954/history?d=1y"/>
    <n v="1438"/>
    <x v="3"/>
  </r>
  <r>
    <x v="73"/>
    <s v="August Kranti Rajdhani"/>
    <s v="RTM"/>
    <x v="126"/>
    <n v="20"/>
    <n v="66.67"/>
    <n v="26.67"/>
    <n v="6.67"/>
    <n v="0"/>
    <d v="2025-09-28T01:59:38"/>
    <s v="https://etrain.info/train/August-Kranti-Rajdhani-12954/history?d=1y"/>
    <n v="1439"/>
    <x v="4"/>
  </r>
  <r>
    <x v="73"/>
    <s v="August Kranti Rajdhani"/>
    <s v="DHD"/>
    <x v="140"/>
    <m/>
    <n v="60"/>
    <n v="30"/>
    <n v="10"/>
    <n v="0"/>
    <d v="2025-09-28T01:59:40"/>
    <s v="https://etrain.info/train/August-Kranti-Rajdhani-12954/history?d=1y"/>
    <n v="1440"/>
    <x v="5"/>
  </r>
  <r>
    <x v="73"/>
    <s v="August Kranti Rajdhani"/>
    <s v="BRC"/>
    <x v="125"/>
    <m/>
    <n v="83.33"/>
    <n v="10"/>
    <n v="6.67"/>
    <n v="0"/>
    <d v="2025-09-28T01:59:42"/>
    <s v="https://etrain.info/train/August-Kranti-Rajdhani-12954/history?d=1y"/>
    <n v="1441"/>
    <x v="6"/>
  </r>
  <r>
    <x v="73"/>
    <s v="August Kranti Rajdhani"/>
    <s v="BH"/>
    <x v="231"/>
    <n v="15"/>
    <n v="86.67"/>
    <n v="6.67"/>
    <n v="6.67"/>
    <n v="0"/>
    <d v="2025-09-28T01:59:46"/>
    <s v="https://etrain.info/train/August-Kranti-Rajdhani-12954/history?d=1y"/>
    <n v="1442"/>
    <x v="7"/>
  </r>
  <r>
    <x v="73"/>
    <s v="August Kranti Rajdhani"/>
    <s v="ST"/>
    <x v="124"/>
    <n v="14"/>
    <n v="90"/>
    <n v="3.33"/>
    <n v="6.67"/>
    <n v="0"/>
    <d v="2025-09-28T01:59:48"/>
    <s v="https://etrain.info/train/August-Kranti-Rajdhani-12954/history?d=1y"/>
    <n v="1443"/>
    <x v="8"/>
  </r>
  <r>
    <x v="73"/>
    <s v="August Kranti Rajdhani"/>
    <s v="BL"/>
    <x v="229"/>
    <n v="14"/>
    <n v="86.67"/>
    <n v="6.67"/>
    <n v="6.67"/>
    <n v="0"/>
    <d v="2025-09-28T01:59:52"/>
    <s v="https://etrain.info/train/August-Kranti-Rajdhani-12954/history?d=1y"/>
    <n v="1444"/>
    <x v="9"/>
  </r>
  <r>
    <x v="73"/>
    <s v="August Kranti Rajdhani"/>
    <s v="VAPI"/>
    <x v="228"/>
    <n v="23"/>
    <n v="83.33"/>
    <n v="10"/>
    <n v="6.67"/>
    <n v="0"/>
    <d v="2025-09-28T01:59:56"/>
    <s v="https://etrain.info/train/August-Kranti-Rajdhani-12954/history?d=1y"/>
    <n v="1445"/>
    <x v="10"/>
  </r>
  <r>
    <x v="73"/>
    <s v="August Kranti Rajdhani"/>
    <s v="BVI"/>
    <x v="123"/>
    <n v="29"/>
    <n v="36.67"/>
    <n v="53.33"/>
    <n v="10"/>
    <n v="0"/>
    <d v="2025-09-28T01:59:58"/>
    <s v="https://etrain.info/train/August-Kranti-Rajdhani-12954/history?d=1y"/>
    <n v="1446"/>
    <x v="11"/>
  </r>
  <r>
    <x v="73"/>
    <s v="August Kranti Rajdhani"/>
    <s v="MMCT"/>
    <x v="122"/>
    <n v="16"/>
    <n v="86.67"/>
    <n v="6.67"/>
    <n v="6.67"/>
    <n v="0"/>
    <d v="2025-09-28T02:00:01"/>
    <s v="https://etrain.info/train/August-Kranti-Rajdhani-12954/history?d=1y"/>
    <n v="1447"/>
    <x v="12"/>
  </r>
  <r>
    <x v="74"/>
    <s v="Swarna Jayanti Rajdhani"/>
    <s v="SBIB"/>
    <x v="378"/>
    <n v="7"/>
    <n v="96.67"/>
    <n v="0"/>
    <n v="3.33"/>
    <n v="0"/>
    <d v="2025-09-28T02:00:12"/>
    <s v="https://etrain.info/train/Swarna-Jayanti-Rajdhani-12957/history?d=1y"/>
    <n v="1448"/>
    <x v="0"/>
  </r>
  <r>
    <x v="74"/>
    <s v="Swarna Jayanti Rajdhani"/>
    <s v="MSH"/>
    <x v="379"/>
    <n v="8"/>
    <n v="93.33"/>
    <n v="3.33"/>
    <n v="3.33"/>
    <n v="0.01"/>
    <d v="2025-09-28T02:00:13"/>
    <s v="https://etrain.info/train/Swarna-Jayanti-Rajdhani-12957/history?d=1y"/>
    <n v="1449"/>
    <x v="1"/>
  </r>
  <r>
    <x v="74"/>
    <s v="Swarna Jayanti Rajdhani"/>
    <s v="PNU"/>
    <x v="380"/>
    <m/>
    <n v="96.67"/>
    <n v="0"/>
    <n v="3.33"/>
    <n v="0"/>
    <d v="2025-09-28T02:00:15"/>
    <s v="https://etrain.info/train/Swarna-Jayanti-Rajdhani-12957/history?d=1y"/>
    <n v="1450"/>
    <x v="2"/>
  </r>
  <r>
    <x v="74"/>
    <s v="Swarna Jayanti Rajdhani"/>
    <s v="ABR"/>
    <x v="381"/>
    <n v="8"/>
    <n v="96.67"/>
    <n v="0"/>
    <n v="3.33"/>
    <n v="0"/>
    <d v="2025-09-28T02:00:19"/>
    <s v="https://etrain.info/train/Swarna-Jayanti-Rajdhani-12957/history?d=1y"/>
    <n v="1451"/>
    <x v="3"/>
  </r>
  <r>
    <x v="74"/>
    <s v="Swarna Jayanti Rajdhani"/>
    <s v="FA"/>
    <x v="382"/>
    <n v="6"/>
    <n v="96.67"/>
    <n v="0"/>
    <n v="3.33"/>
    <n v="0"/>
    <d v="2025-09-28T02:00:22"/>
    <s v="https://etrain.info/train/Swarna-Jayanti-Rajdhani-12957/history?d=1y"/>
    <n v="1452"/>
    <x v="4"/>
  </r>
  <r>
    <x v="74"/>
    <s v="Swarna Jayanti Rajdhani"/>
    <s v="AII"/>
    <x v="383"/>
    <n v="6"/>
    <n v="96.67"/>
    <n v="0"/>
    <n v="3.33"/>
    <n v="0"/>
    <d v="2025-09-28T02:00:26"/>
    <s v="https://etrain.info/train/Swarna-Jayanti-Rajdhani-12957/history?d=1y"/>
    <n v="1453"/>
    <x v="5"/>
  </r>
  <r>
    <x v="74"/>
    <s v="Swarna Jayanti Rajdhani"/>
    <s v="JP"/>
    <x v="384"/>
    <n v="7"/>
    <n v="96.67"/>
    <n v="0"/>
    <n v="3.33"/>
    <n v="0"/>
    <d v="2025-09-28T02:00:30"/>
    <s v="https://etrain.info/train/Swarna-Jayanti-Rajdhani-12957/history?d=1y"/>
    <n v="1454"/>
    <x v="6"/>
  </r>
  <r>
    <x v="74"/>
    <s v="Swarna Jayanti Rajdhani"/>
    <s v="GGN"/>
    <x v="385"/>
    <n v="14"/>
    <n v="96.67"/>
    <n v="0"/>
    <n v="3.33"/>
    <n v="0"/>
    <d v="2025-09-28T02:00:33"/>
    <s v="https://etrain.info/train/Swarna-Jayanti-Rajdhani-12957/history?d=1y"/>
    <n v="1455"/>
    <x v="7"/>
  </r>
  <r>
    <x v="74"/>
    <s v="Swarna Jayanti Rajdhani"/>
    <s v="DEC"/>
    <x v="386"/>
    <n v="15"/>
    <n v="96.67"/>
    <n v="0"/>
    <n v="3.33"/>
    <n v="0"/>
    <d v="2025-09-28T02:00:37"/>
    <s v="https://etrain.info/train/Swarna-Jayanti-Rajdhani-12957/history?d=1y"/>
    <n v="1456"/>
    <x v="8"/>
  </r>
  <r>
    <x v="74"/>
    <s v="Swarna Jayanti Rajdhani"/>
    <s v="NDLS"/>
    <x v="41"/>
    <m/>
    <n v="96.67"/>
    <n v="0"/>
    <n v="3.33"/>
    <n v="0"/>
    <d v="2025-09-28T02:00:39"/>
    <s v="https://etrain.info/train/Swarna-Jayanti-Rajdhani-12957/history?d=1y"/>
    <n v="1457"/>
    <x v="9"/>
  </r>
  <r>
    <x v="75"/>
    <s v="Swarna Jayanti Rajdhani"/>
    <s v="NDLS"/>
    <x v="41"/>
    <m/>
    <n v="100"/>
    <n v="0"/>
    <n v="0"/>
    <n v="0"/>
    <d v="2025-09-28T02:00:46"/>
    <s v="https://etrain.info/train/Swarna-Jayanti-Rajdhani-12958/history?d=1y"/>
    <n v="1458"/>
    <x v="0"/>
  </r>
  <r>
    <x v="75"/>
    <s v="Swarna Jayanti Rajdhani"/>
    <s v="DEC"/>
    <x v="386"/>
    <n v="4"/>
    <n v="100"/>
    <n v="0"/>
    <n v="0"/>
    <n v="0"/>
    <d v="2025-09-28T02:00:47"/>
    <s v="https://etrain.info/train/Swarna-Jayanti-Rajdhani-12958/history?d=1y"/>
    <n v="1459"/>
    <x v="1"/>
  </r>
  <r>
    <x v="75"/>
    <s v="Swarna Jayanti Rajdhani"/>
    <s v="GGN"/>
    <x v="385"/>
    <n v="7"/>
    <n v="93.33"/>
    <n v="6.67"/>
    <n v="0"/>
    <n v="0"/>
    <d v="2025-09-28T02:00:51"/>
    <s v="https://etrain.info/train/Swarna-Jayanti-Rajdhani-12958/history?d=1y"/>
    <n v="1460"/>
    <x v="2"/>
  </r>
  <r>
    <x v="75"/>
    <s v="Swarna Jayanti Rajdhani"/>
    <s v="JP"/>
    <x v="384"/>
    <m/>
    <n v="46.67"/>
    <n v="53.33"/>
    <n v="0"/>
    <n v="0"/>
    <d v="2025-09-28T02:00:53"/>
    <s v="https://etrain.info/train/Swarna-Jayanti-Rajdhani-12958/history?d=1y"/>
    <n v="1461"/>
    <x v="3"/>
  </r>
  <r>
    <x v="75"/>
    <s v="Swarna Jayanti Rajdhani"/>
    <s v="AII"/>
    <x v="383"/>
    <n v="16"/>
    <n v="63.33"/>
    <n v="36.67"/>
    <n v="0"/>
    <n v="0"/>
    <d v="2025-09-28T02:00:55"/>
    <s v="https://etrain.info/train/Swarna-Jayanti-Rajdhani-12958/history?d=1y"/>
    <n v="1462"/>
    <x v="4"/>
  </r>
  <r>
    <x v="75"/>
    <s v="Swarna Jayanti Rajdhani"/>
    <s v="FA"/>
    <x v="382"/>
    <n v="16"/>
    <n v="53.33"/>
    <n v="46.67"/>
    <n v="0"/>
    <n v="0"/>
    <d v="2025-09-28T02:00:57"/>
    <s v="https://etrain.info/train/Swarna-Jayanti-Rajdhani-12958/history?d=1y"/>
    <n v="1463"/>
    <x v="5"/>
  </r>
  <r>
    <x v="75"/>
    <s v="Swarna Jayanti Rajdhani"/>
    <s v="ABR"/>
    <x v="381"/>
    <n v="10"/>
    <n v="73.33"/>
    <n v="26.67"/>
    <n v="0"/>
    <n v="0"/>
    <d v="2025-09-28T02:00:58"/>
    <s v="https://etrain.info/train/Swarna-Jayanti-Rajdhani-12958/history?d=1y"/>
    <n v="1464"/>
    <x v="6"/>
  </r>
  <r>
    <x v="75"/>
    <s v="Swarna Jayanti Rajdhani"/>
    <s v="PNU"/>
    <x v="380"/>
    <n v="4"/>
    <n v="90"/>
    <n v="10"/>
    <n v="0"/>
    <n v="0"/>
    <d v="2025-09-28T02:01:00"/>
    <s v="https://etrain.info/train/Swarna-Jayanti-Rajdhani-12958/history?d=1y"/>
    <n v="1465"/>
    <x v="7"/>
  </r>
  <r>
    <x v="75"/>
    <s v="Swarna Jayanti Rajdhani"/>
    <s v="MSH"/>
    <x v="379"/>
    <n v="6"/>
    <n v="86.67"/>
    <n v="13.33"/>
    <n v="0"/>
    <n v="0"/>
    <d v="2025-09-28T02:01:04"/>
    <s v="https://etrain.info/train/Swarna-Jayanti-Rajdhani-12958/history?d=1y"/>
    <n v="1466"/>
    <x v="8"/>
  </r>
  <r>
    <x v="75"/>
    <s v="Swarna Jayanti Rajdhani"/>
    <s v="SBIB"/>
    <x v="378"/>
    <m/>
    <n v="100"/>
    <n v="0"/>
    <n v="0"/>
    <n v="0"/>
    <d v="2025-09-28T02:01:06"/>
    <s v="https://etrain.info/train/Swarna-Jayanti-Rajdhani-12958/history?d=1y"/>
    <n v="1467"/>
    <x v="9"/>
  </r>
  <r>
    <x v="76"/>
    <s v="Mumbai Vande Bharat"/>
    <s v="CSMT"/>
    <x v="163"/>
    <n v="1"/>
    <n v="96.67"/>
    <n v="3.33"/>
    <n v="0"/>
    <n v="0"/>
    <d v="2025-09-28T02:01:12"/>
    <s v="https://etrain.info/train/Mumbai-Vande-Bharat-22221/history?d=1y"/>
    <n v="1468"/>
    <x v="0"/>
  </r>
  <r>
    <x v="76"/>
    <s v="Mumbai Vande Bharat"/>
    <s v="KYN"/>
    <x v="166"/>
    <n v="9"/>
    <n v="86.67"/>
    <n v="13.33"/>
    <n v="0"/>
    <n v="0"/>
    <d v="2025-09-28T02:01:16"/>
    <s v="https://etrain.info/train/Mumbai-Vande-Bharat-22221/history?d=1y"/>
    <n v="1469"/>
    <x v="1"/>
  </r>
  <r>
    <x v="76"/>
    <s v="Mumbai Vande Bharat"/>
    <s v="NK"/>
    <x v="169"/>
    <m/>
    <n v="13.33"/>
    <n v="86.67"/>
    <n v="0"/>
    <n v="0"/>
    <d v="2025-09-28T02:01:18"/>
    <s v="https://etrain.info/train/Mumbai-Vande-Bharat-22221/history?d=1y"/>
    <n v="1470"/>
    <x v="2"/>
  </r>
  <r>
    <x v="76"/>
    <s v="Mumbai Vande Bharat"/>
    <s v="JL"/>
    <x v="244"/>
    <m/>
    <n v="10"/>
    <n v="90"/>
    <n v="0"/>
    <n v="0"/>
    <d v="2025-09-28T02:01:20"/>
    <s v="https://etrain.info/train/Mumbai-Vande-Bharat-22221/history?d=1y"/>
    <n v="1471"/>
    <x v="3"/>
  </r>
  <r>
    <x v="76"/>
    <s v="Mumbai Vande Bharat"/>
    <s v="BSL"/>
    <x v="245"/>
    <n v="12"/>
    <n v="80"/>
    <n v="20"/>
    <n v="0"/>
    <n v="0"/>
    <d v="2025-09-28T02:01:22"/>
    <s v="https://etrain.info/train/Mumbai-Vande-Bharat-22221/history?d=1y"/>
    <n v="1472"/>
    <x v="4"/>
  </r>
  <r>
    <x v="76"/>
    <s v="Mumbai Vande Bharat"/>
    <s v="BPL"/>
    <x v="36"/>
    <n v="12"/>
    <n v="86.67"/>
    <n v="10"/>
    <n v="3.33"/>
    <n v="0"/>
    <d v="2025-09-28T02:01:25"/>
    <s v="https://etrain.info/train/Mumbai-Vande-Bharat-22221/history?d=1y"/>
    <n v="1473"/>
    <x v="5"/>
  </r>
  <r>
    <x v="76"/>
    <s v="Mumbai Vande Bharat"/>
    <s v="VGLJ"/>
    <x v="37"/>
    <n v="9"/>
    <n v="93.33"/>
    <n v="3.33"/>
    <n v="3.33"/>
    <n v="0.01"/>
    <d v="2025-09-28T02:01:27"/>
    <s v="https://etrain.info/train/Mumbai-Vande-Bharat-22221/history?d=1y"/>
    <n v="1474"/>
    <x v="6"/>
  </r>
  <r>
    <x v="76"/>
    <s v="Mumbai Vande Bharat"/>
    <s v="GWL"/>
    <x v="38"/>
    <n v="14"/>
    <n v="83.33"/>
    <n v="13.33"/>
    <n v="3.33"/>
    <n v="0.01"/>
    <d v="2025-09-28T02:01:28"/>
    <s v="https://etrain.info/train/Mumbai-Vande-Bharat-22221/history?d=1y"/>
    <n v="1475"/>
    <x v="7"/>
  </r>
  <r>
    <x v="76"/>
    <s v="Mumbai Vande Bharat"/>
    <s v="AGC"/>
    <x v="39"/>
    <m/>
    <n v="93.33"/>
    <n v="3.33"/>
    <n v="3.33"/>
    <n v="0"/>
    <d v="2025-09-28T02:01:30"/>
    <s v="https://etrain.info/train/Mumbai-Vande-Bharat-22221/history?d=1y"/>
    <n v="1476"/>
    <x v="8"/>
  </r>
  <r>
    <x v="76"/>
    <s v="Mumbai Vande Bharat"/>
    <s v="NZM"/>
    <x v="40"/>
    <m/>
    <n v="90"/>
    <n v="6.67"/>
    <n v="3.33"/>
    <n v="0"/>
    <d v="2025-09-28T02:01:32"/>
    <s v="https://etrain.info/train/Mumbai-Vande-Bharat-22221/history?d=1y"/>
    <n v="1477"/>
    <x v="9"/>
  </r>
  <r>
    <x v="77"/>
    <s v="Mumbai Vande Bharat"/>
    <s v="NZM"/>
    <x v="40"/>
    <n v="1"/>
    <n v="96.67"/>
    <n v="3.33"/>
    <n v="0"/>
    <n v="0"/>
    <d v="2025-09-28T02:01:39"/>
    <s v="https://etrain.info/train/Mumbai-Vande-Bharat-22222/history?d=1y"/>
    <n v="1478"/>
    <x v="0"/>
  </r>
  <r>
    <x v="77"/>
    <s v="Mumbai Vande Bharat"/>
    <s v="AGC"/>
    <x v="39"/>
    <n v="16"/>
    <n v="70"/>
    <n v="30"/>
    <n v="0"/>
    <n v="0"/>
    <d v="2025-09-28T02:01:41"/>
    <s v="https://etrain.info/train/Mumbai-Vande-Bharat-22222/history?d=1y"/>
    <n v="1479"/>
    <x v="1"/>
  </r>
  <r>
    <x v="77"/>
    <s v="Mumbai Vande Bharat"/>
    <s v="GWL"/>
    <x v="38"/>
    <n v="13"/>
    <n v="80"/>
    <n v="20"/>
    <n v="0"/>
    <n v="0"/>
    <d v="2025-09-28T02:01:42"/>
    <s v="https://etrain.info/train/Mumbai-Vande-Bharat-22222/history?d=1y"/>
    <n v="1480"/>
    <x v="2"/>
  </r>
  <r>
    <x v="77"/>
    <s v="Mumbai Vande Bharat"/>
    <s v="VGLJ"/>
    <x v="37"/>
    <n v="5"/>
    <n v="93.33"/>
    <n v="6.67"/>
    <n v="0"/>
    <n v="0"/>
    <d v="2025-09-28T02:01:46"/>
    <s v="https://etrain.info/train/Mumbai-Vande-Bharat-22222/history?d=1y"/>
    <n v="1481"/>
    <x v="3"/>
  </r>
  <r>
    <x v="77"/>
    <s v="Mumbai Vande Bharat"/>
    <s v="BPL"/>
    <x v="36"/>
    <n v="23"/>
    <n v="53.33"/>
    <n v="43.33"/>
    <n v="3.33"/>
    <n v="0.01"/>
    <d v="2025-09-28T02:01:48"/>
    <s v="https://etrain.info/train/Mumbai-Vande-Bharat-22222/history?d=1y"/>
    <n v="1482"/>
    <x v="4"/>
  </r>
  <r>
    <x v="77"/>
    <s v="Mumbai Vande Bharat"/>
    <s v="BSL"/>
    <x v="245"/>
    <n v="22"/>
    <n v="60"/>
    <n v="36.67"/>
    <n v="3.33"/>
    <n v="0"/>
    <d v="2025-09-28T02:01:51"/>
    <s v="https://etrain.info/train/Mumbai-Vande-Bharat-22222/history?d=1y"/>
    <n v="1483"/>
    <x v="5"/>
  </r>
  <r>
    <x v="77"/>
    <s v="Mumbai Vande Bharat"/>
    <s v="JL"/>
    <x v="244"/>
    <n v="25"/>
    <n v="40"/>
    <n v="56.67"/>
    <n v="3.33"/>
    <n v="0"/>
    <d v="2025-09-28T02:01:55"/>
    <s v="https://etrain.info/train/Mumbai-Vande-Bharat-22222/history?d=1y"/>
    <n v="1484"/>
    <x v="6"/>
  </r>
  <r>
    <x v="77"/>
    <s v="Mumbai Vande Bharat"/>
    <s v="NK"/>
    <x v="169"/>
    <n v="23"/>
    <n v="53.33"/>
    <n v="43.33"/>
    <n v="3.33"/>
    <n v="0.01"/>
    <d v="2025-09-28T02:01:57"/>
    <s v="https://etrain.info/train/Mumbai-Vande-Bharat-22222/history?d=1y"/>
    <n v="1485"/>
    <x v="7"/>
  </r>
  <r>
    <x v="77"/>
    <s v="Mumbai Vande Bharat"/>
    <s v="KYN"/>
    <x v="166"/>
    <n v="22"/>
    <n v="56.67"/>
    <n v="40"/>
    <n v="3.33"/>
    <n v="0"/>
    <d v="2025-09-28T02:02:00"/>
    <s v="https://etrain.info/train/Mumbai-Vande-Bharat-22222/history?d=1y"/>
    <n v="1486"/>
    <x v="8"/>
  </r>
  <r>
    <x v="77"/>
    <s v="Mumbai Vande Bharat"/>
    <s v="CSMT"/>
    <x v="163"/>
    <m/>
    <n v="83.33"/>
    <n v="10"/>
    <n v="6.67"/>
    <n v="0"/>
    <d v="2025-09-28T02:02:03"/>
    <s v="https://etrain.info/train/Mumbai-Vande-Bharat-22222/history?d=1y"/>
    <n v="1487"/>
    <x v="9"/>
  </r>
  <r>
    <x v="78"/>
    <s v="Chennai Vande Bharat"/>
    <s v="CSMT"/>
    <x v="163"/>
    <n v="2"/>
    <n v="100"/>
    <n v="0"/>
    <n v="0"/>
    <n v="0"/>
    <d v="2025-09-28T02:02:07"/>
    <s v="https://etrain.info/train/Chennai-Vande-Bharat-22225/history?d=1y"/>
    <n v="1488"/>
    <x v="0"/>
  </r>
  <r>
    <x v="78"/>
    <s v="Chennai Vande Bharat"/>
    <s v="DR"/>
    <x v="164"/>
    <n v="5"/>
    <n v="100"/>
    <n v="0"/>
    <n v="0"/>
    <n v="0"/>
    <d v="2025-09-28T02:02:09"/>
    <s v="https://etrain.info/train/Chennai-Vande-Bharat-22225/history?d=1y"/>
    <n v="1489"/>
    <x v="1"/>
  </r>
  <r>
    <x v="78"/>
    <s v="Chennai Vande Bharat"/>
    <s v="TNA"/>
    <x v="165"/>
    <n v="6"/>
    <n v="100"/>
    <n v="0"/>
    <n v="0"/>
    <n v="0"/>
    <d v="2025-09-28T02:02:10"/>
    <s v="https://etrain.info/train/Chennai-Vande-Bharat-22225/history?d=1y"/>
    <n v="1490"/>
    <x v="2"/>
  </r>
  <r>
    <x v="78"/>
    <s v="Chennai Vande Bharat"/>
    <s v="KYN"/>
    <x v="166"/>
    <n v="12"/>
    <n v="80.77"/>
    <n v="19.23"/>
    <n v="0"/>
    <n v="0"/>
    <d v="2025-09-28T02:02:14"/>
    <s v="https://etrain.info/train/Chennai-Vande-Bharat-22225/history?d=1y"/>
    <n v="1491"/>
    <x v="3"/>
  </r>
  <r>
    <x v="78"/>
    <s v="Chennai Vande Bharat"/>
    <s v="PUNE"/>
    <x v="206"/>
    <n v="16"/>
    <n v="61.54"/>
    <n v="34.619999999999997"/>
    <n v="3.85"/>
    <n v="0"/>
    <d v="2025-09-28T02:02:17"/>
    <s v="https://etrain.info/train/Chennai-Vande-Bharat-22225/history?d=1y"/>
    <n v="1492"/>
    <x v="4"/>
  </r>
  <r>
    <x v="78"/>
    <s v="Chennai Vande Bharat"/>
    <s v="KWV"/>
    <x v="292"/>
    <n v="16"/>
    <n v="61.54"/>
    <n v="34.619999999999997"/>
    <n v="3.85"/>
    <n v="0"/>
    <d v="2025-09-28T02:02:21"/>
    <s v="https://etrain.info/train/Chennai-Vande-Bharat-22225/history?d=1y"/>
    <n v="1493"/>
    <x v="5"/>
  </r>
  <r>
    <x v="78"/>
    <s v="Chennai Vande Bharat"/>
    <s v="SUR"/>
    <x v="207"/>
    <n v="3"/>
    <n v="96.15"/>
    <n v="3.85"/>
    <n v="0"/>
    <n v="0"/>
    <d v="2025-09-28T02:02:25"/>
    <s v="https://etrain.info/train/Chennai-Vande-Bharat-22225/history?d=1y"/>
    <n v="1494"/>
    <x v="6"/>
  </r>
  <r>
    <x v="79"/>
    <s v="Chennai Vande Bharat"/>
    <s v="SUR"/>
    <x v="207"/>
    <n v="1"/>
    <n v="100"/>
    <n v="0"/>
    <n v="0"/>
    <n v="0"/>
    <d v="2025-09-28T02:02:30"/>
    <s v="https://etrain.info/train/Chennai-Vande-Bharat-22226/history?d=1y"/>
    <n v="1495"/>
    <x v="0"/>
  </r>
  <r>
    <x v="79"/>
    <s v="Chennai Vande Bharat"/>
    <s v="KWV"/>
    <x v="292"/>
    <n v="6"/>
    <n v="100"/>
    <n v="0"/>
    <n v="0"/>
    <n v="0"/>
    <d v="2025-09-28T02:02:32"/>
    <s v="https://etrain.info/train/Chennai-Vande-Bharat-22226/history?d=1y"/>
    <n v="1496"/>
    <x v="1"/>
  </r>
  <r>
    <x v="79"/>
    <s v="Chennai Vande Bharat"/>
    <s v="PUNE"/>
    <x v="206"/>
    <n v="5"/>
    <n v="100"/>
    <n v="0"/>
    <n v="0"/>
    <n v="0"/>
    <d v="2025-09-28T02:02:34"/>
    <s v="https://etrain.info/train/Chennai-Vande-Bharat-22226/history?d=1y"/>
    <n v="1497"/>
    <x v="2"/>
  </r>
  <r>
    <x v="79"/>
    <s v="Chennai Vande Bharat"/>
    <s v="KYN"/>
    <x v="166"/>
    <m/>
    <n v="46.15"/>
    <n v="50"/>
    <n v="3.85"/>
    <n v="0"/>
    <d v="2025-09-28T02:02:36"/>
    <s v="https://etrain.info/train/Chennai-Vande-Bharat-22226/history?d=1y"/>
    <n v="1498"/>
    <x v="3"/>
  </r>
  <r>
    <x v="79"/>
    <s v="Chennai Vande Bharat"/>
    <s v="TNA"/>
    <x v="165"/>
    <n v="18"/>
    <n v="42.31"/>
    <n v="53.85"/>
    <n v="3.85"/>
    <n v="0"/>
    <d v="2025-09-28T02:02:40"/>
    <s v="https://etrain.info/train/Chennai-Vande-Bharat-22226/history?d=1y"/>
    <n v="1499"/>
    <x v="4"/>
  </r>
  <r>
    <x v="79"/>
    <s v="Chennai Vande Bharat"/>
    <s v="DR"/>
    <x v="164"/>
    <n v="19"/>
    <n v="38.46"/>
    <n v="57.69"/>
    <n v="3.85"/>
    <n v="0"/>
    <d v="2025-09-28T02:02:44"/>
    <s v="https://etrain.info/train/Chennai-Vande-Bharat-22226/history?d=1y"/>
    <n v="1500"/>
    <x v="5"/>
  </r>
  <r>
    <x v="79"/>
    <s v="Chennai Vande Bharat"/>
    <s v="CSMT"/>
    <x v="163"/>
    <n v="13"/>
    <n v="88.46"/>
    <n v="7.69"/>
    <n v="3.85"/>
    <n v="0"/>
    <d v="2025-09-28T02:02:48"/>
    <s v="https://etrain.info/train/Chennai-Vande-Bharat-22226/history?d=1y"/>
    <n v="1501"/>
    <x v="6"/>
  </r>
  <r>
    <x v="80"/>
    <s v="Coimbatore Express"/>
    <s v="LTT"/>
    <x v="204"/>
    <m/>
    <n v="80"/>
    <n v="6.67"/>
    <n v="13.33"/>
    <n v="0"/>
    <d v="2025-09-28T02:02:53"/>
    <s v="https://etrain.info/train/Coimbatore-Express-11013/history?d=1y"/>
    <n v="1502"/>
    <x v="0"/>
  </r>
  <r>
    <x v="80"/>
    <s v="Coimbatore Express"/>
    <s v="TNA"/>
    <x v="165"/>
    <n v="26"/>
    <n v="76.67"/>
    <n v="10"/>
    <n v="13.33"/>
    <n v="0"/>
    <d v="2025-09-28T02:02:57"/>
    <s v="https://etrain.info/train/Coimbatore-Express-11013/history?d=1y"/>
    <n v="1503"/>
    <x v="1"/>
  </r>
  <r>
    <x v="80"/>
    <s v="Coimbatore Express"/>
    <s v="KYN"/>
    <x v="166"/>
    <n v="30"/>
    <n v="60"/>
    <n v="26.67"/>
    <n v="13.33"/>
    <n v="0"/>
    <d v="2025-09-28T02:03:01"/>
    <s v="https://etrain.info/train/Coimbatore-Express-11013/history?d=1y"/>
    <n v="1504"/>
    <x v="2"/>
  </r>
  <r>
    <x v="80"/>
    <s v="Coimbatore Express"/>
    <s v="PUNE"/>
    <x v="206"/>
    <m/>
    <n v="0"/>
    <n v="80"/>
    <n v="20"/>
    <n v="0"/>
    <d v="2025-09-28T02:03:04"/>
    <s v="https://etrain.info/train/Coimbatore-Express-11013/history?d=1y"/>
    <n v="1505"/>
    <x v="3"/>
  </r>
  <r>
    <x v="80"/>
    <s v="Coimbatore Express"/>
    <s v="KWV"/>
    <x v="292"/>
    <n v="60"/>
    <n v="3.33"/>
    <n v="70"/>
    <n v="26.67"/>
    <n v="0"/>
    <d v="2025-09-28T02:03:06"/>
    <s v="https://etrain.info/train/Coimbatore-Express-11013/history?d=1y"/>
    <n v="1506"/>
    <x v="4"/>
  </r>
  <r>
    <x v="80"/>
    <s v="Coimbatore Express"/>
    <s v="SUR"/>
    <x v="207"/>
    <n v="51"/>
    <n v="20"/>
    <n v="63.33"/>
    <n v="16.670000000000002"/>
    <n v="0"/>
    <d v="2025-09-28T02:03:08"/>
    <s v="https://etrain.info/train/Coimbatore-Express-11013/history?d=1y"/>
    <n v="1507"/>
    <x v="5"/>
  </r>
  <r>
    <x v="80"/>
    <s v="Coimbatore Express"/>
    <s v="DUD"/>
    <x v="387"/>
    <n v="63"/>
    <n v="10"/>
    <n v="60"/>
    <n v="30"/>
    <n v="0"/>
    <d v="2025-09-28T02:03:10"/>
    <s v="https://etrain.info/train/Coimbatore-Express-11013/history?d=1y"/>
    <n v="1508"/>
    <x v="6"/>
  </r>
  <r>
    <x v="80"/>
    <s v="Coimbatore Express"/>
    <s v="GUR"/>
    <x v="388"/>
    <n v="67"/>
    <n v="6.67"/>
    <n v="56.67"/>
    <n v="36.67"/>
    <n v="0"/>
    <d v="2025-09-28T02:03:14"/>
    <s v="https://etrain.info/train/Coimbatore-Express-11013/history?d=1y"/>
    <n v="1509"/>
    <x v="7"/>
  </r>
  <r>
    <x v="80"/>
    <s v="Coimbatore Express"/>
    <s v="KLBG"/>
    <x v="208"/>
    <n v="66"/>
    <n v="6.67"/>
    <n v="56.67"/>
    <n v="36.67"/>
    <n v="0"/>
    <d v="2025-09-28T02:03:17"/>
    <s v="https://etrain.info/train/Coimbatore-Express-11013/history?d=1y"/>
    <n v="1510"/>
    <x v="8"/>
  </r>
  <r>
    <x v="80"/>
    <s v="Coimbatore Express"/>
    <s v="SDB"/>
    <x v="293"/>
    <n v="54"/>
    <n v="13.33"/>
    <n v="70"/>
    <n v="16.670000000000002"/>
    <n v="0"/>
    <d v="2025-09-28T02:03:19"/>
    <s v="https://etrain.info/train/Coimbatore-Express-11013/history?d=1y"/>
    <n v="1511"/>
    <x v="9"/>
  </r>
  <r>
    <x v="80"/>
    <s v="Coimbatore Express"/>
    <s v="WADI"/>
    <x v="209"/>
    <n v="26"/>
    <n v="70"/>
    <n v="16.670000000000002"/>
    <n v="13.33"/>
    <n v="0"/>
    <d v="2025-09-28T02:03:23"/>
    <s v="https://etrain.info/train/Coimbatore-Express-11013/history?d=1y"/>
    <n v="1512"/>
    <x v="10"/>
  </r>
  <r>
    <x v="80"/>
    <s v="Coimbatore Express"/>
    <s v="YG"/>
    <x v="210"/>
    <n v="31"/>
    <n v="60"/>
    <n v="26.67"/>
    <n v="13.33"/>
    <n v="0"/>
    <d v="2025-09-28T02:03:27"/>
    <s v="https://etrain.info/train/Coimbatore-Express-11013/history?d=1y"/>
    <n v="1513"/>
    <x v="11"/>
  </r>
  <r>
    <x v="80"/>
    <s v="Coimbatore Express"/>
    <s v="KSN"/>
    <x v="389"/>
    <n v="29"/>
    <n v="63.33"/>
    <n v="23.33"/>
    <n v="13.33"/>
    <n v="0.01"/>
    <d v="2025-09-28T02:03:28"/>
    <s v="https://etrain.info/train/Coimbatore-Express-11013/history?d=1y"/>
    <n v="1514"/>
    <x v="12"/>
  </r>
  <r>
    <x v="80"/>
    <s v="Coimbatore Express"/>
    <s v="RC"/>
    <x v="212"/>
    <n v="28"/>
    <n v="63.33"/>
    <n v="23.33"/>
    <n v="13.33"/>
    <n v="0.01"/>
    <d v="2025-09-28T02:03:30"/>
    <s v="https://etrain.info/train/Coimbatore-Express-11013/history?d=1y"/>
    <n v="1515"/>
    <x v="13"/>
  </r>
  <r>
    <x v="80"/>
    <s v="Coimbatore Express"/>
    <s v="MALM"/>
    <x v="213"/>
    <n v="31"/>
    <n v="60"/>
    <n v="26.67"/>
    <n v="13.33"/>
    <n v="0"/>
    <d v="2025-09-28T02:03:33"/>
    <s v="https://etrain.info/train/Coimbatore-Express-11013/history?d=1y"/>
    <n v="1516"/>
    <x v="14"/>
  </r>
  <r>
    <x v="80"/>
    <s v="Coimbatore Express"/>
    <s v="AD"/>
    <x v="214"/>
    <n v="36"/>
    <n v="43.33"/>
    <n v="43.33"/>
    <n v="13.33"/>
    <n v="0.01"/>
    <d v="2025-09-28T02:03:35"/>
    <s v="https://etrain.info/train/Coimbatore-Express-11013/history?d=1y"/>
    <n v="1517"/>
    <x v="15"/>
  </r>
  <r>
    <x v="80"/>
    <s v="Coimbatore Express"/>
    <s v="GTL"/>
    <x v="215"/>
    <n v="29"/>
    <n v="56.67"/>
    <n v="33.33"/>
    <n v="10"/>
    <n v="0"/>
    <d v="2025-09-28T02:03:36"/>
    <s v="https://etrain.info/train/Coimbatore-Express-11013/history?d=1y"/>
    <n v="1518"/>
    <x v="16"/>
  </r>
  <r>
    <x v="80"/>
    <s v="Coimbatore Express"/>
    <s v="ATP"/>
    <x v="294"/>
    <n v="28"/>
    <n v="56.67"/>
    <n v="33.33"/>
    <n v="10"/>
    <n v="0"/>
    <d v="2025-09-28T02:03:38"/>
    <s v="https://etrain.info/train/Coimbatore-Express-11013/history?d=1y"/>
    <n v="1519"/>
    <x v="17"/>
  </r>
  <r>
    <x v="80"/>
    <s v="Coimbatore Express"/>
    <s v="DMM"/>
    <x v="295"/>
    <n v="18"/>
    <n v="83.33"/>
    <n v="6.67"/>
    <n v="10"/>
    <n v="0"/>
    <d v="2025-09-28T02:03:42"/>
    <s v="https://etrain.info/train/Coimbatore-Express-11013/history?d=1y"/>
    <n v="1520"/>
    <x v="18"/>
  </r>
  <r>
    <x v="80"/>
    <s v="Coimbatore Express"/>
    <s v="SSPN"/>
    <x v="329"/>
    <m/>
    <n v="46.67"/>
    <n v="43.33"/>
    <n v="10"/>
    <n v="0"/>
    <d v="2025-09-28T02:03:44"/>
    <s v="https://etrain.info/train/Coimbatore-Express-11013/history?d=1y"/>
    <n v="1521"/>
    <x v="19"/>
  </r>
  <r>
    <x v="80"/>
    <s v="Coimbatore Express"/>
    <s v="HUP"/>
    <x v="328"/>
    <m/>
    <n v="36.67"/>
    <n v="50"/>
    <n v="13.33"/>
    <n v="0"/>
    <d v="2025-09-28T02:03:46"/>
    <s v="https://etrain.info/train/Coimbatore-Express-11013/history?d=1y"/>
    <n v="1522"/>
    <x v="20"/>
  </r>
  <r>
    <x v="80"/>
    <s v="Coimbatore Express"/>
    <s v="GBD"/>
    <x v="390"/>
    <m/>
    <n v="36.67"/>
    <n v="53.33"/>
    <n v="10"/>
    <n v="0"/>
    <d v="2025-09-28T02:03:48"/>
    <s v="https://etrain.info/train/Coimbatore-Express-11013/history?d=1y"/>
    <n v="1523"/>
    <x v="21"/>
  </r>
  <r>
    <x v="80"/>
    <s v="Coimbatore Express"/>
    <s v="BNC"/>
    <x v="391"/>
    <n v="30"/>
    <n v="26.67"/>
    <n v="63.33"/>
    <n v="10"/>
    <n v="0"/>
    <d v="2025-09-28T02:03:50"/>
    <s v="https://etrain.info/train/Coimbatore-Express-11013/history?d=1y"/>
    <n v="1524"/>
    <x v="22"/>
  </r>
  <r>
    <x v="80"/>
    <s v="Coimbatore Express"/>
    <s v="SBC"/>
    <x v="392"/>
    <n v="14"/>
    <n v="83.33"/>
    <n v="10"/>
    <n v="6.67"/>
    <n v="0"/>
    <d v="2025-09-28T02:03:54"/>
    <s v="https://etrain.info/train/Coimbatore-Express-11013/history?d=1y"/>
    <n v="1525"/>
    <x v="23"/>
  </r>
  <r>
    <x v="80"/>
    <s v="Coimbatore Express"/>
    <s v="HSRA"/>
    <x v="393"/>
    <m/>
    <n v="10"/>
    <n v="70"/>
    <n v="20"/>
    <n v="0"/>
    <d v="2025-09-28T02:03:56"/>
    <s v="https://etrain.info/train/Coimbatore-Express-11013/history?d=1y"/>
    <n v="1526"/>
    <x v="24"/>
  </r>
  <r>
    <x v="80"/>
    <s v="Coimbatore Express"/>
    <s v="DPJ"/>
    <x v="394"/>
    <n v="61"/>
    <n v="3.33"/>
    <n v="53.33"/>
    <n v="43.33"/>
    <n v="0.01"/>
    <d v="2025-09-28T02:03:57"/>
    <s v="https://etrain.info/train/Coimbatore-Express-11013/history?d=1y"/>
    <n v="1527"/>
    <x v="25"/>
  </r>
  <r>
    <x v="80"/>
    <s v="Coimbatore Express"/>
    <s v="SA"/>
    <x v="5"/>
    <m/>
    <n v="43.33"/>
    <n v="40"/>
    <n v="16.670000000000002"/>
    <n v="0"/>
    <d v="2025-09-28T02:03:59"/>
    <s v="https://etrain.info/train/Coimbatore-Express-11013/history?d=1y"/>
    <n v="1528"/>
    <x v="26"/>
  </r>
  <r>
    <x v="80"/>
    <s v="Coimbatore Express"/>
    <s v="ED"/>
    <x v="6"/>
    <n v="26"/>
    <n v="40"/>
    <n v="43.33"/>
    <n v="16.670000000000002"/>
    <n v="0"/>
    <d v="2025-09-28T02:04:01"/>
    <s v="https://etrain.info/train/Coimbatore-Express-11013/history?d=1y"/>
    <n v="1529"/>
    <x v="27"/>
  </r>
  <r>
    <x v="80"/>
    <s v="Coimbatore Express"/>
    <s v="TUP"/>
    <x v="7"/>
    <n v="31"/>
    <n v="23.33"/>
    <n v="63.33"/>
    <n v="13.33"/>
    <n v="0.01"/>
    <d v="2025-09-28T02:04:02"/>
    <s v="https://etrain.info/train/Coimbatore-Express-11013/history?d=1y"/>
    <n v="1530"/>
    <x v="28"/>
  </r>
  <r>
    <x v="80"/>
    <s v="Coimbatore Express"/>
    <s v="CBE"/>
    <x v="9"/>
    <m/>
    <n v="86.67"/>
    <n v="13.33"/>
    <n v="0"/>
    <n v="0"/>
    <d v="2025-09-28T02:04:06"/>
    <s v="https://etrain.info/train/Coimbatore-Express-11013/history?d=1y"/>
    <n v="1531"/>
    <x v="29"/>
  </r>
  <r>
    <x v="81"/>
    <s v="Coimbatore Express"/>
    <s v="CBE"/>
    <x v="9"/>
    <n v="1"/>
    <n v="100"/>
    <n v="0"/>
    <n v="0"/>
    <n v="0"/>
    <d v="2025-09-28T02:04:13"/>
    <s v="https://etrain.info/train/Coimbatore-Express-11014/history?d=1y"/>
    <n v="1532"/>
    <x v="0"/>
  </r>
  <r>
    <x v="81"/>
    <s v="Coimbatore Express"/>
    <s v="TUP"/>
    <x v="7"/>
    <m/>
    <n v="83.33"/>
    <n v="16.670000000000002"/>
    <n v="0"/>
    <n v="0"/>
    <d v="2025-09-28T02:04:15"/>
    <s v="https://etrain.info/train/Coimbatore-Express-11014/history?d=1y"/>
    <n v="1533"/>
    <x v="1"/>
  </r>
  <r>
    <x v="81"/>
    <s v="Coimbatore Express"/>
    <s v="ED"/>
    <x v="6"/>
    <n v="9"/>
    <n v="93.33"/>
    <n v="6.67"/>
    <n v="0"/>
    <n v="0"/>
    <d v="2025-09-28T02:04:19"/>
    <s v="https://etrain.info/train/Coimbatore-Express-11014/history?d=1y"/>
    <n v="1534"/>
    <x v="2"/>
  </r>
  <r>
    <x v="81"/>
    <s v="Coimbatore Express"/>
    <s v="SA"/>
    <x v="5"/>
    <n v="14"/>
    <n v="83.33"/>
    <n v="13.33"/>
    <n v="3.33"/>
    <n v="0.01"/>
    <d v="2025-09-28T02:04:21"/>
    <s v="https://etrain.info/train/Coimbatore-Express-11014/history?d=1y"/>
    <n v="1535"/>
    <x v="3"/>
  </r>
  <r>
    <x v="81"/>
    <s v="Coimbatore Express"/>
    <s v="DPJ"/>
    <x v="394"/>
    <n v="23"/>
    <n v="43.33"/>
    <n v="53.33"/>
    <n v="3.33"/>
    <n v="0.01"/>
    <d v="2025-09-28T02:04:22"/>
    <s v="https://etrain.info/train/Coimbatore-Express-11014/history?d=1y"/>
    <n v="1536"/>
    <x v="4"/>
  </r>
  <r>
    <x v="81"/>
    <s v="Coimbatore Express"/>
    <s v="HSRA"/>
    <x v="393"/>
    <n v="31"/>
    <n v="23.33"/>
    <n v="73.33"/>
    <n v="3.33"/>
    <n v="0.01"/>
    <d v="2025-09-28T02:04:24"/>
    <s v="https://etrain.info/train/Coimbatore-Express-11014/history?d=1y"/>
    <n v="1537"/>
    <x v="5"/>
  </r>
  <r>
    <x v="81"/>
    <s v="Coimbatore Express"/>
    <s v="BNC"/>
    <x v="391"/>
    <n v="34"/>
    <n v="30"/>
    <n v="63.33"/>
    <n v="6.67"/>
    <n v="0"/>
    <d v="2025-09-28T02:04:28"/>
    <s v="https://etrain.info/train/Coimbatore-Express-11014/history?d=1y"/>
    <n v="1538"/>
    <x v="6"/>
  </r>
  <r>
    <x v="81"/>
    <s v="Coimbatore Express"/>
    <s v="SBC"/>
    <x v="392"/>
    <n v="36"/>
    <n v="23.33"/>
    <n v="63.33"/>
    <n v="13.33"/>
    <n v="0.01"/>
    <d v="2025-09-28T02:04:30"/>
    <s v="https://etrain.info/train/Coimbatore-Express-11014/history?d=1y"/>
    <n v="1539"/>
    <x v="7"/>
  </r>
  <r>
    <x v="81"/>
    <s v="Coimbatore Express"/>
    <s v="GBD"/>
    <x v="390"/>
    <n v="50"/>
    <n v="3.33"/>
    <n v="76.67"/>
    <n v="20"/>
    <n v="0"/>
    <d v="2025-09-28T02:04:31"/>
    <s v="https://etrain.info/train/Coimbatore-Express-11014/history?d=1y"/>
    <n v="1540"/>
    <x v="8"/>
  </r>
  <r>
    <x v="81"/>
    <s v="Coimbatore Express"/>
    <s v="HUP"/>
    <x v="328"/>
    <n v="40"/>
    <n v="16.670000000000002"/>
    <n v="70"/>
    <n v="13.33"/>
    <n v="0"/>
    <d v="2025-09-28T02:04:35"/>
    <s v="https://etrain.info/train/Coimbatore-Express-11014/history?d=1y"/>
    <n v="1541"/>
    <x v="9"/>
  </r>
  <r>
    <x v="81"/>
    <s v="Coimbatore Express"/>
    <s v="SSPN"/>
    <x v="329"/>
    <n v="24"/>
    <n v="60"/>
    <n v="33.33"/>
    <n v="6.67"/>
    <n v="0"/>
    <d v="2025-09-28T02:04:39"/>
    <s v="https://etrain.info/train/Coimbatore-Express-11014/history?d=1y"/>
    <n v="1542"/>
    <x v="10"/>
  </r>
  <r>
    <x v="81"/>
    <s v="Coimbatore Express"/>
    <s v="DMM"/>
    <x v="295"/>
    <m/>
    <n v="80"/>
    <n v="16.670000000000002"/>
    <n v="3.33"/>
    <n v="0"/>
    <d v="2025-09-28T02:04:42"/>
    <s v="https://etrain.info/train/Coimbatore-Express-11014/history?d=1y"/>
    <n v="1543"/>
    <x v="11"/>
  </r>
  <r>
    <x v="81"/>
    <s v="Coimbatore Express"/>
    <s v="ATP"/>
    <x v="294"/>
    <n v="19"/>
    <n v="70"/>
    <n v="26.67"/>
    <n v="3.33"/>
    <n v="0"/>
    <d v="2025-09-28T02:04:46"/>
    <s v="https://etrain.info/train/Coimbatore-Express-11014/history?d=1y"/>
    <n v="1544"/>
    <x v="12"/>
  </r>
  <r>
    <x v="81"/>
    <s v="Coimbatore Express"/>
    <s v="GTL"/>
    <x v="215"/>
    <n v="39"/>
    <n v="10"/>
    <n v="80"/>
    <n v="10"/>
    <n v="0"/>
    <d v="2025-09-28T02:04:47"/>
    <s v="https://etrain.info/train/Coimbatore-Express-11014/history?d=1y"/>
    <n v="1545"/>
    <x v="13"/>
  </r>
  <r>
    <x v="81"/>
    <s v="Coimbatore Express"/>
    <s v="AD"/>
    <x v="214"/>
    <n v="40"/>
    <n v="20"/>
    <n v="70"/>
    <n v="10"/>
    <n v="0"/>
    <d v="2025-09-28T02:04:49"/>
    <s v="https://etrain.info/train/Coimbatore-Express-11014/history?d=1y"/>
    <n v="1546"/>
    <x v="14"/>
  </r>
  <r>
    <x v="81"/>
    <s v="Coimbatore Express"/>
    <s v="MALM"/>
    <x v="213"/>
    <n v="32"/>
    <n v="43.33"/>
    <n v="50"/>
    <n v="6.67"/>
    <n v="0"/>
    <d v="2025-09-28T02:04:53"/>
    <s v="https://etrain.info/train/Coimbatore-Express-11014/history?d=1y"/>
    <n v="1547"/>
    <x v="15"/>
  </r>
  <r>
    <x v="81"/>
    <s v="Coimbatore Express"/>
    <s v="RC"/>
    <x v="212"/>
    <m/>
    <n v="43.33"/>
    <n v="50"/>
    <n v="6.67"/>
    <n v="0"/>
    <d v="2025-09-28T02:04:54"/>
    <s v="https://etrain.info/train/Coimbatore-Express-11014/history?d=1y"/>
    <n v="1548"/>
    <x v="16"/>
  </r>
  <r>
    <x v="81"/>
    <s v="Coimbatore Express"/>
    <s v="KSN"/>
    <x v="389"/>
    <n v="45"/>
    <n v="16.670000000000002"/>
    <n v="16.670000000000002"/>
    <n v="6.67"/>
    <n v="59.99"/>
    <d v="2025-09-28T02:04:56"/>
    <s v="https://etrain.info/train/Coimbatore-Express-11014/history?d=1y"/>
    <n v="1549"/>
    <x v="17"/>
  </r>
  <r>
    <x v="81"/>
    <s v="Coimbatore Express"/>
    <s v="YG"/>
    <x v="210"/>
    <n v="39"/>
    <n v="16.670000000000002"/>
    <n v="73.33"/>
    <n v="10"/>
    <n v="0"/>
    <d v="2025-09-28T02:04:58"/>
    <s v="https://etrain.info/train/Coimbatore-Express-11014/history?d=1y"/>
    <n v="1550"/>
    <x v="18"/>
  </r>
  <r>
    <x v="81"/>
    <s v="Coimbatore Express"/>
    <s v="WADI"/>
    <x v="209"/>
    <n v="13"/>
    <n v="76.67"/>
    <n v="20"/>
    <n v="3.33"/>
    <n v="0"/>
    <d v="2025-09-28T02:05:01"/>
    <s v="https://etrain.info/train/Coimbatore-Express-11014/history?d=1y"/>
    <n v="1551"/>
    <x v="19"/>
  </r>
  <r>
    <x v="81"/>
    <s v="Coimbatore Express"/>
    <s v="SDB"/>
    <x v="293"/>
    <n v="14"/>
    <n v="73.33"/>
    <n v="23.33"/>
    <n v="3.33"/>
    <n v="0.01"/>
    <d v="2025-09-28T02:05:03"/>
    <s v="https://etrain.info/train/Coimbatore-Express-11014/history?d=1y"/>
    <n v="1552"/>
    <x v="20"/>
  </r>
  <r>
    <x v="81"/>
    <s v="Coimbatore Express"/>
    <s v="KLBG"/>
    <x v="208"/>
    <n v="19"/>
    <n v="66.67"/>
    <n v="30"/>
    <n v="3.33"/>
    <n v="0"/>
    <d v="2025-09-28T02:05:06"/>
    <s v="https://etrain.info/train/Coimbatore-Express-11014/history?d=1y"/>
    <n v="1553"/>
    <x v="21"/>
  </r>
  <r>
    <x v="81"/>
    <s v="Coimbatore Express"/>
    <s v="GUR"/>
    <x v="388"/>
    <n v="20"/>
    <n v="56.67"/>
    <n v="40"/>
    <n v="3.33"/>
    <n v="0"/>
    <d v="2025-09-28T02:05:10"/>
    <s v="https://etrain.info/train/Coimbatore-Express-11014/history?d=1y"/>
    <n v="1554"/>
    <x v="22"/>
  </r>
  <r>
    <x v="81"/>
    <s v="Coimbatore Express"/>
    <s v="DUD"/>
    <x v="387"/>
    <m/>
    <n v="33.33"/>
    <n v="63.33"/>
    <n v="3.33"/>
    <n v="0"/>
    <d v="2025-09-28T02:05:12"/>
    <s v="https://etrain.info/train/Coimbatore-Express-11014/history?d=1y"/>
    <n v="1555"/>
    <x v="23"/>
  </r>
  <r>
    <x v="81"/>
    <s v="Coimbatore Express"/>
    <s v="SUR"/>
    <x v="207"/>
    <n v="27"/>
    <n v="50"/>
    <n v="46.67"/>
    <n v="3.33"/>
    <n v="0"/>
    <d v="2025-09-28T02:05:16"/>
    <s v="https://etrain.info/train/Coimbatore-Express-11014/history?d=1y"/>
    <n v="1556"/>
    <x v="24"/>
  </r>
  <r>
    <x v="81"/>
    <s v="Coimbatore Express"/>
    <s v="KWV"/>
    <x v="292"/>
    <n v="37"/>
    <n v="20"/>
    <n v="76.67"/>
    <n v="3.33"/>
    <n v="0"/>
    <d v="2025-09-28T02:05:20"/>
    <s v="https://etrain.info/train/Coimbatore-Express-11014/history?d=1y"/>
    <n v="1557"/>
    <x v="25"/>
  </r>
  <r>
    <x v="81"/>
    <s v="Coimbatore Express"/>
    <s v="DD"/>
    <x v="291"/>
    <n v="8"/>
    <n v="93.33"/>
    <n v="3.33"/>
    <n v="3.33"/>
    <n v="0.01"/>
    <d v="2025-09-28T02:05:22"/>
    <s v="https://etrain.info/train/Coimbatore-Express-11014/history?d=1y"/>
    <n v="1558"/>
    <x v="26"/>
  </r>
  <r>
    <x v="81"/>
    <s v="Coimbatore Express"/>
    <s v="PUNE"/>
    <x v="206"/>
    <n v="20"/>
    <n v="43.33"/>
    <n v="53.33"/>
    <n v="3.33"/>
    <n v="0.01"/>
    <d v="2025-09-28T02:05:24"/>
    <s v="https://etrain.info/train/Coimbatore-Express-11014/history?d=1y"/>
    <n v="1559"/>
    <x v="27"/>
  </r>
  <r>
    <x v="81"/>
    <s v="Coimbatore Express"/>
    <s v="KYN"/>
    <x v="166"/>
    <n v="60"/>
    <n v="10"/>
    <n v="63.33"/>
    <n v="26.67"/>
    <n v="0"/>
    <d v="2025-09-28T02:05:25"/>
    <s v="https://etrain.info/train/Coimbatore-Express-11014/history?d=1y"/>
    <n v="1560"/>
    <x v="28"/>
  </r>
  <r>
    <x v="81"/>
    <s v="Coimbatore Express"/>
    <s v="TNA"/>
    <x v="165"/>
    <n v="61"/>
    <n v="6.67"/>
    <n v="66.67"/>
    <n v="26.67"/>
    <n v="0"/>
    <d v="2025-09-28T02:05:29"/>
    <s v="https://etrain.info/train/Coimbatore-Express-11014/history?d=1y"/>
    <n v="1561"/>
    <x v="29"/>
  </r>
  <r>
    <x v="81"/>
    <s v="Coimbatore Express"/>
    <s v="LTT"/>
    <x v="204"/>
    <n v="44"/>
    <n v="56.67"/>
    <n v="16.670000000000002"/>
    <n v="26.67"/>
    <n v="0"/>
    <d v="2025-09-28T02:05:33"/>
    <s v="https://etrain.info/train/Coimbatore-Express-11014/history?d=1y"/>
    <n v="1562"/>
    <x v="30"/>
  </r>
  <r>
    <x v="82"/>
    <s v="Mumbai Chennai Mail"/>
    <s v="DR"/>
    <x v="164"/>
    <n v="1"/>
    <n v="100"/>
    <n v="0"/>
    <n v="0"/>
    <n v="0"/>
    <d v="2025-09-28T02:05:38"/>
    <s v="https://etrain.info/train/Mumbai-Chennai-Mail-11027/history?d=1y"/>
    <n v="1563"/>
    <x v="0"/>
  </r>
  <r>
    <x v="82"/>
    <s v="Mumbai Chennai Mail"/>
    <s v="TNA"/>
    <x v="165"/>
    <n v="3"/>
    <n v="100"/>
    <n v="0"/>
    <n v="0"/>
    <n v="0"/>
    <d v="2025-09-28T02:05:40"/>
    <s v="https://etrain.info/train/Mumbai-Chennai-Mail-11027/history?d=1y"/>
    <n v="1564"/>
    <x v="1"/>
  </r>
  <r>
    <x v="82"/>
    <s v="Mumbai Chennai Mail"/>
    <s v="KYN"/>
    <x v="166"/>
    <n v="14"/>
    <n v="61.54"/>
    <n v="38.46"/>
    <n v="0"/>
    <n v="0"/>
    <d v="2025-09-28T02:05:42"/>
    <s v="https://etrain.info/train/Mumbai-Chennai-Mail-11027/history?d=1y"/>
    <n v="1565"/>
    <x v="2"/>
  </r>
  <r>
    <x v="82"/>
    <s v="Mumbai Chennai Mail"/>
    <s v="LNL"/>
    <x v="205"/>
    <n v="17"/>
    <n v="53.85"/>
    <n v="46.15"/>
    <n v="0"/>
    <n v="0"/>
    <d v="2025-09-28T02:05:43"/>
    <s v="https://etrain.info/train/Mumbai-Chennai-Mail-11027/history?d=1y"/>
    <n v="1566"/>
    <x v="3"/>
  </r>
  <r>
    <x v="82"/>
    <s v="Mumbai Chennai Mail"/>
    <s v="TGN"/>
    <x v="395"/>
    <n v="20"/>
    <n v="30.77"/>
    <n v="69.23"/>
    <n v="0"/>
    <n v="0"/>
    <d v="2025-09-28T02:05:45"/>
    <s v="https://etrain.info/train/Mumbai-Chennai-Mail-11027/history?d=1y"/>
    <n v="1567"/>
    <x v="4"/>
  </r>
  <r>
    <x v="82"/>
    <s v="Mumbai Chennai Mail"/>
    <s v="CCH"/>
    <x v="396"/>
    <n v="18"/>
    <n v="38.46"/>
    <n v="61.54"/>
    <n v="0"/>
    <n v="0"/>
    <d v="2025-09-28T02:05:46"/>
    <s v="https://etrain.info/train/Mumbai-Chennai-Mail-11027/history?d=1y"/>
    <n v="1568"/>
    <x v="5"/>
  </r>
  <r>
    <x v="82"/>
    <s v="Mumbai Chennai Mail"/>
    <s v="PUNE"/>
    <x v="206"/>
    <n v="21"/>
    <n v="61.54"/>
    <n v="30.77"/>
    <n v="7.69"/>
    <n v="0"/>
    <d v="2025-09-28T02:05:50"/>
    <s v="https://etrain.info/train/Mumbai-Chennai-Mail-11027/history?d=1y"/>
    <n v="1569"/>
    <x v="6"/>
  </r>
  <r>
    <x v="82"/>
    <s v="Mumbai Chennai Mail"/>
    <s v="URI"/>
    <x v="397"/>
    <n v="28"/>
    <n v="15.38"/>
    <n v="76.92"/>
    <n v="7.69"/>
    <n v="0.01"/>
    <d v="2025-09-28T02:05:52"/>
    <s v="https://etrain.info/train/Mumbai-Chennai-Mail-11027/history?d=1y"/>
    <n v="1570"/>
    <x v="7"/>
  </r>
  <r>
    <x v="82"/>
    <s v="Mumbai Chennai Mail"/>
    <s v="KDG"/>
    <x v="398"/>
    <n v="31"/>
    <n v="7.69"/>
    <n v="84.62"/>
    <n v="7.69"/>
    <n v="0"/>
    <d v="2025-09-28T02:05:56"/>
    <s v="https://etrain.info/train/Mumbai-Chennai-Mail-11027/history?d=1y"/>
    <n v="1571"/>
    <x v="8"/>
  </r>
  <r>
    <x v="82"/>
    <s v="Mumbai Chennai Mail"/>
    <s v="DD"/>
    <x v="291"/>
    <n v="27"/>
    <n v="23.08"/>
    <n v="69.23"/>
    <n v="7.69"/>
    <n v="0"/>
    <d v="2025-09-28T02:06:00"/>
    <s v="https://etrain.info/train/Mumbai-Chennai-Mail-11027/history?d=1y"/>
    <n v="1572"/>
    <x v="9"/>
  </r>
  <r>
    <x v="82"/>
    <s v="Mumbai Chennai Mail"/>
    <s v="BGVN"/>
    <x v="399"/>
    <n v="29"/>
    <n v="15.38"/>
    <n v="76.92"/>
    <n v="7.69"/>
    <n v="0.01"/>
    <d v="2025-09-28T02:06:01"/>
    <s v="https://etrain.info/train/Mumbai-Chennai-Mail-11027/history?d=1y"/>
    <n v="1573"/>
    <x v="10"/>
  </r>
  <r>
    <x v="82"/>
    <s v="Mumbai Chennai Mail"/>
    <s v="JEUR"/>
    <x v="400"/>
    <n v="41"/>
    <n v="0"/>
    <n v="84.62"/>
    <n v="15.38"/>
    <n v="0"/>
    <d v="2025-09-28T02:06:05"/>
    <s v="https://etrain.info/train/Mumbai-Chennai-Mail-11027/history?d=1y"/>
    <n v="1574"/>
    <x v="11"/>
  </r>
  <r>
    <x v="82"/>
    <s v="Mumbai Chennai Mail"/>
    <s v="KEM"/>
    <x v="401"/>
    <n v="44"/>
    <n v="0"/>
    <n v="84.62"/>
    <n v="15.38"/>
    <n v="0"/>
    <d v="2025-09-28T02:06:09"/>
    <s v="https://etrain.info/train/Mumbai-Chennai-Mail-11027/history?d=1y"/>
    <n v="1575"/>
    <x v="12"/>
  </r>
  <r>
    <x v="82"/>
    <s v="Mumbai Chennai Mail"/>
    <s v="KWV"/>
    <x v="292"/>
    <n v="46"/>
    <n v="0"/>
    <n v="84.62"/>
    <n v="15.38"/>
    <n v="0"/>
    <d v="2025-09-28T02:06:12"/>
    <s v="https://etrain.info/train/Mumbai-Chennai-Mail-11027/history?d=1y"/>
    <n v="1576"/>
    <x v="13"/>
  </r>
  <r>
    <x v="82"/>
    <s v="Mumbai Chennai Mail"/>
    <s v="PVR"/>
    <x v="402"/>
    <m/>
    <n v="23.08"/>
    <n v="69.23"/>
    <n v="7.69"/>
    <n v="0"/>
    <d v="2025-09-28T02:06:14"/>
    <s v="https://etrain.info/train/Mumbai-Chennai-Mail-11027/history?d=1y"/>
    <n v="1577"/>
    <x v="14"/>
  </r>
  <r>
    <x v="82"/>
    <s v="Mumbai Chennai Mail"/>
    <s v="SGLA"/>
    <x v="403"/>
    <n v="35"/>
    <n v="7.69"/>
    <n v="76.92"/>
    <n v="15.38"/>
    <n v="0.01"/>
    <d v="2025-09-28T02:06:16"/>
    <s v="https://etrain.info/train/Mumbai-Chennai-Mail-11027/history?d=1y"/>
    <n v="1578"/>
    <x v="15"/>
  </r>
  <r>
    <x v="82"/>
    <s v="Mumbai Chennai Mail"/>
    <s v="MSDG"/>
    <x v="404"/>
    <n v="34"/>
    <n v="15.38"/>
    <n v="69.23"/>
    <n v="15.38"/>
    <n v="0.01"/>
    <d v="2025-09-28T02:06:17"/>
    <s v="https://etrain.info/train/Mumbai-Chennai-Mail-11027/history?d=1y"/>
    <n v="1579"/>
    <x v="16"/>
  </r>
  <r>
    <x v="82"/>
    <s v="Mumbai Chennai Mail"/>
    <s v="JTRD"/>
    <x v="405"/>
    <n v="44"/>
    <n v="0"/>
    <n v="84.62"/>
    <n v="15.38"/>
    <n v="0"/>
    <d v="2025-09-28T02:06:21"/>
    <s v="https://etrain.info/train/Mumbai-Chennai-Mail-11027/history?d=1y"/>
    <n v="1580"/>
    <x v="17"/>
  </r>
  <r>
    <x v="82"/>
    <s v="Mumbai Chennai Mail"/>
    <s v="DLGN"/>
    <x v="406"/>
    <n v="51"/>
    <n v="0"/>
    <n v="84.62"/>
    <n v="15.38"/>
    <n v="0"/>
    <d v="2025-09-28T02:06:24"/>
    <s v="https://etrain.info/train/Mumbai-Chennai-Mail-11027/history?d=1y"/>
    <n v="1581"/>
    <x v="18"/>
  </r>
  <r>
    <x v="82"/>
    <s v="Mumbai Chennai Mail"/>
    <s v="KVK"/>
    <x v="407"/>
    <n v="55"/>
    <n v="0"/>
    <n v="76.92"/>
    <n v="23.08"/>
    <n v="0"/>
    <d v="2025-09-28T02:06:26"/>
    <s v="https://etrain.info/train/Mumbai-Chennai-Mail-11027/history?d=1y"/>
    <n v="1582"/>
    <x v="19"/>
  </r>
  <r>
    <x v="82"/>
    <s v="Mumbai Chennai Mail"/>
    <s v="MRJ"/>
    <x v="408"/>
    <n v="12"/>
    <n v="76.92"/>
    <n v="23.08"/>
    <n v="0"/>
    <n v="0"/>
    <d v="2025-09-28T02:06:28"/>
    <s v="https://etrain.info/train/Mumbai-Chennai-Mail-11027/history?d=1y"/>
    <n v="1583"/>
    <x v="20"/>
  </r>
  <r>
    <x v="82"/>
    <s v="Mumbai Chennai Mail"/>
    <s v="SLI"/>
    <x v="409"/>
    <n v="16"/>
    <n v="69.23"/>
    <n v="30.77"/>
    <n v="0"/>
    <n v="0"/>
    <d v="2025-09-28T02:06:31"/>
    <s v="https://etrain.info/train/Mumbai-Chennai-Mail-11027/history?d=1y"/>
    <n v="1584"/>
    <x v="21"/>
  </r>
  <r>
    <x v="82"/>
    <s v="Mumbai Chennai Mail"/>
    <s v="BVQ"/>
    <x v="410"/>
    <n v="18"/>
    <n v="61.54"/>
    <n v="38.46"/>
    <n v="0"/>
    <n v="0"/>
    <d v="2025-09-28T02:06:33"/>
    <s v="https://etrain.info/train/Mumbai-Chennai-Mail-11027/history?d=1y"/>
    <n v="1585"/>
    <x v="22"/>
  </r>
  <r>
    <x v="82"/>
    <s v="Mumbai Chennai Mail"/>
    <s v="KOV"/>
    <x v="411"/>
    <n v="19"/>
    <n v="61.54"/>
    <n v="38.46"/>
    <n v="0"/>
    <n v="0"/>
    <d v="2025-09-28T02:06:35"/>
    <s v="https://etrain.info/train/Mumbai-Chennai-Mail-11027/history?d=1y"/>
    <n v="1586"/>
    <x v="23"/>
  </r>
  <r>
    <x v="82"/>
    <s v="Mumbai Chennai Mail"/>
    <s v="TKR"/>
    <x v="412"/>
    <n v="21"/>
    <n v="61.54"/>
    <n v="38.46"/>
    <n v="0"/>
    <n v="0"/>
    <d v="2025-09-28T02:06:36"/>
    <s v="https://etrain.info/train/Mumbai-Chennai-Mail-11027/history?d=1y"/>
    <n v="1587"/>
    <x v="24"/>
  </r>
  <r>
    <x v="82"/>
    <s v="Mumbai Chennai Mail"/>
    <s v="KRD"/>
    <x v="413"/>
    <n v="26"/>
    <n v="46.15"/>
    <n v="46.15"/>
    <n v="7.69"/>
    <n v="0.01"/>
    <d v="2025-09-28T02:06:38"/>
    <s v="https://etrain.info/train/Mumbai-Chennai-Mail-11027/history?d=1y"/>
    <n v="1588"/>
    <x v="25"/>
  </r>
  <r>
    <x v="82"/>
    <s v="Mumbai Chennai Mail"/>
    <s v="MSR"/>
    <x v="414"/>
    <n v="29"/>
    <n v="15.38"/>
    <n v="76.92"/>
    <n v="7.69"/>
    <n v="0.01"/>
    <d v="2025-09-28T02:06:40"/>
    <s v="https://etrain.info/train/Mumbai-Chennai-Mail-11027/history?d=1y"/>
    <n v="1589"/>
    <x v="26"/>
  </r>
  <r>
    <x v="82"/>
    <s v="Mumbai Chennai Mail"/>
    <s v="KRG"/>
    <x v="415"/>
    <n v="38"/>
    <n v="0"/>
    <n v="84.62"/>
    <n v="15.38"/>
    <n v="0"/>
    <d v="2025-09-28T02:06:44"/>
    <s v="https://etrain.info/train/Mumbai-Chennai-Mail-11027/history?d=1y"/>
    <n v="1590"/>
    <x v="27"/>
  </r>
  <r>
    <x v="82"/>
    <s v="Mumbai Chennai Mail"/>
    <s v="STR"/>
    <x v="416"/>
    <n v="2"/>
    <n v="84.62"/>
    <n v="15.38"/>
    <n v="0"/>
    <n v="0"/>
    <d v="2025-09-28T02:06:47"/>
    <s v="https://etrain.info/train/Mumbai-Chennai-Mail-11027/history?d=1y"/>
    <n v="1591"/>
    <x v="28"/>
  </r>
  <r>
    <x v="83"/>
    <s v="Mumbai Chennai Mail"/>
    <s v="STR"/>
    <x v="416"/>
    <n v="0"/>
    <n v="100"/>
    <n v="0"/>
    <n v="0"/>
    <n v="0"/>
    <d v="2025-09-28T02:06:53"/>
    <s v="https://etrain.info/train/Mumbai-Chennai-Mail-11028/history?d=1y"/>
    <n v="1592"/>
    <x v="0"/>
  </r>
  <r>
    <x v="83"/>
    <s v="Mumbai Chennai Mail"/>
    <s v="KRG"/>
    <x v="415"/>
    <n v="13"/>
    <n v="76.92"/>
    <n v="23.08"/>
    <n v="0"/>
    <n v="0"/>
    <d v="2025-09-28T02:06:55"/>
    <s v="https://etrain.info/train/Mumbai-Chennai-Mail-11028/history?d=1y"/>
    <n v="1593"/>
    <x v="1"/>
  </r>
  <r>
    <x v="83"/>
    <s v="Mumbai Chennai Mail"/>
    <s v="MSR"/>
    <x v="414"/>
    <n v="21"/>
    <n v="30.77"/>
    <n v="69.23"/>
    <n v="0"/>
    <n v="0"/>
    <d v="2025-09-28T02:06:56"/>
    <s v="https://etrain.info/train/Mumbai-Chennai-Mail-11028/history?d=1y"/>
    <n v="1594"/>
    <x v="2"/>
  </r>
  <r>
    <x v="83"/>
    <s v="Mumbai Chennai Mail"/>
    <s v="KRD"/>
    <x v="413"/>
    <n v="19"/>
    <n v="46.15"/>
    <n v="53.85"/>
    <n v="0"/>
    <n v="0"/>
    <d v="2025-09-28T02:06:58"/>
    <s v="https://etrain.info/train/Mumbai-Chennai-Mail-11028/history?d=1y"/>
    <n v="1595"/>
    <x v="3"/>
  </r>
  <r>
    <x v="83"/>
    <s v="Mumbai Chennai Mail"/>
    <s v="TKR"/>
    <x v="412"/>
    <n v="11"/>
    <n v="76.92"/>
    <n v="23.08"/>
    <n v="0"/>
    <n v="0"/>
    <d v="2025-09-28T02:07:00"/>
    <s v="https://etrain.info/train/Mumbai-Chennai-Mail-11028/history?d=1y"/>
    <n v="1596"/>
    <x v="4"/>
  </r>
  <r>
    <x v="83"/>
    <s v="Mumbai Chennai Mail"/>
    <s v="KOV"/>
    <x v="411"/>
    <n v="8"/>
    <n v="76.92"/>
    <n v="23.08"/>
    <n v="0"/>
    <n v="0"/>
    <d v="2025-09-28T02:07:01"/>
    <s v="https://etrain.info/train/Mumbai-Chennai-Mail-11028/history?d=1y"/>
    <n v="1597"/>
    <x v="5"/>
  </r>
  <r>
    <x v="83"/>
    <s v="Mumbai Chennai Mail"/>
    <s v="BVQ"/>
    <x v="410"/>
    <n v="7"/>
    <n v="76.92"/>
    <n v="23.08"/>
    <n v="0"/>
    <n v="0"/>
    <d v="2025-09-28T02:07:03"/>
    <s v="https://etrain.info/train/Mumbai-Chennai-Mail-11028/history?d=1y"/>
    <n v="1598"/>
    <x v="6"/>
  </r>
  <r>
    <x v="83"/>
    <s v="Mumbai Chennai Mail"/>
    <s v="SLI"/>
    <x v="409"/>
    <n v="6"/>
    <n v="92.31"/>
    <n v="7.69"/>
    <n v="0"/>
    <n v="0"/>
    <d v="2025-09-28T02:07:06"/>
    <s v="https://etrain.info/train/Mumbai-Chennai-Mail-11028/history?d=1y"/>
    <n v="1599"/>
    <x v="7"/>
  </r>
  <r>
    <x v="83"/>
    <s v="Mumbai Chennai Mail"/>
    <s v="MRJ"/>
    <x v="408"/>
    <m/>
    <n v="100"/>
    <n v="0"/>
    <n v="0"/>
    <n v="0"/>
    <d v="2025-09-28T02:07:08"/>
    <s v="https://etrain.info/train/Mumbai-Chennai-Mail-11028/history?d=1y"/>
    <n v="1600"/>
    <x v="8"/>
  </r>
  <r>
    <x v="83"/>
    <s v="Mumbai Chennai Mail"/>
    <s v="KVK"/>
    <x v="407"/>
    <n v="8"/>
    <n v="100"/>
    <n v="0"/>
    <n v="0"/>
    <n v="0"/>
    <d v="2025-09-28T02:07:10"/>
    <s v="https://etrain.info/train/Mumbai-Chennai-Mail-11028/history?d=1y"/>
    <n v="1601"/>
    <x v="9"/>
  </r>
  <r>
    <x v="83"/>
    <s v="Mumbai Chennai Mail"/>
    <s v="DLGN"/>
    <x v="406"/>
    <m/>
    <n v="61.54"/>
    <n v="38.46"/>
    <n v="0"/>
    <n v="0"/>
    <d v="2025-09-28T02:07:12"/>
    <s v="https://etrain.info/train/Mumbai-Chennai-Mail-11028/history?d=1y"/>
    <n v="1602"/>
    <x v="10"/>
  </r>
  <r>
    <x v="83"/>
    <s v="Mumbai Chennai Mail"/>
    <s v="JTRD"/>
    <x v="405"/>
    <n v="20"/>
    <n v="30.77"/>
    <n v="69.23"/>
    <n v="0"/>
    <n v="0"/>
    <d v="2025-09-28T02:07:14"/>
    <s v="https://etrain.info/train/Mumbai-Chennai-Mail-11028/history?d=1y"/>
    <n v="1603"/>
    <x v="11"/>
  </r>
  <r>
    <x v="83"/>
    <s v="Mumbai Chennai Mail"/>
    <s v="MSDG"/>
    <x v="404"/>
    <m/>
    <n v="30.77"/>
    <n v="69.23"/>
    <n v="0"/>
    <n v="0"/>
    <d v="2025-09-28T02:07:16"/>
    <s v="https://etrain.info/train/Mumbai-Chennai-Mail-11028/history?d=1y"/>
    <n v="1604"/>
    <x v="12"/>
  </r>
  <r>
    <x v="83"/>
    <s v="Mumbai Chennai Mail"/>
    <s v="SGLA"/>
    <x v="403"/>
    <n v="26"/>
    <n v="7.69"/>
    <n v="92.31"/>
    <n v="0"/>
    <n v="0"/>
    <d v="2025-09-28T02:07:17"/>
    <s v="https://etrain.info/train/Mumbai-Chennai-Mail-11028/history?d=1y"/>
    <n v="1605"/>
    <x v="13"/>
  </r>
  <r>
    <x v="83"/>
    <s v="Mumbai Chennai Mail"/>
    <s v="PVR"/>
    <x v="402"/>
    <n v="5"/>
    <n v="100"/>
    <n v="0"/>
    <n v="0"/>
    <n v="0"/>
    <d v="2025-09-28T02:07:19"/>
    <s v="https://etrain.info/train/Mumbai-Chennai-Mail-11028/history?d=1y"/>
    <n v="1606"/>
    <x v="14"/>
  </r>
  <r>
    <x v="83"/>
    <s v="Mumbai Chennai Mail"/>
    <s v="KWV"/>
    <x v="292"/>
    <n v="33"/>
    <n v="23.08"/>
    <n v="76.92"/>
    <n v="0"/>
    <n v="0"/>
    <d v="2025-09-28T02:07:20"/>
    <s v="https://etrain.info/train/Mumbai-Chennai-Mail-11028/history?d=1y"/>
    <n v="1607"/>
    <x v="15"/>
  </r>
  <r>
    <x v="83"/>
    <s v="Mumbai Chennai Mail"/>
    <s v="KEM"/>
    <x v="401"/>
    <n v="26"/>
    <n v="38.46"/>
    <n v="61.54"/>
    <n v="0"/>
    <n v="0"/>
    <d v="2025-09-28T02:07:22"/>
    <s v="https://etrain.info/train/Mumbai-Chennai-Mail-11028/history?d=1y"/>
    <n v="1608"/>
    <x v="16"/>
  </r>
  <r>
    <x v="83"/>
    <s v="Mumbai Chennai Mail"/>
    <s v="JEUR"/>
    <x v="400"/>
    <n v="30"/>
    <n v="30.77"/>
    <n v="69.23"/>
    <n v="0"/>
    <n v="0"/>
    <d v="2025-09-28T02:07:24"/>
    <s v="https://etrain.info/train/Mumbai-Chennai-Mail-11028/history?d=1y"/>
    <n v="1609"/>
    <x v="17"/>
  </r>
  <r>
    <x v="83"/>
    <s v="Mumbai Chennai Mail"/>
    <s v="BGVN"/>
    <x v="399"/>
    <n v="13"/>
    <n v="46.15"/>
    <n v="53.85"/>
    <n v="0"/>
    <n v="0"/>
    <d v="2025-09-28T02:07:25"/>
    <s v="https://etrain.info/train/Mumbai-Chennai-Mail-11028/history?d=1y"/>
    <n v="1610"/>
    <x v="18"/>
  </r>
  <r>
    <x v="83"/>
    <s v="Mumbai Chennai Mail"/>
    <s v="DD"/>
    <x v="291"/>
    <n v="6"/>
    <n v="84.62"/>
    <n v="15.38"/>
    <n v="0"/>
    <n v="0"/>
    <d v="2025-09-28T02:07:29"/>
    <s v="https://etrain.info/train/Mumbai-Chennai-Mail-11028/history?d=1y"/>
    <n v="1611"/>
    <x v="19"/>
  </r>
  <r>
    <x v="83"/>
    <s v="Mumbai Chennai Mail"/>
    <s v="KDG"/>
    <x v="398"/>
    <n v="10"/>
    <n v="76.92"/>
    <n v="23.08"/>
    <n v="0"/>
    <n v="0"/>
    <d v="2025-09-28T02:07:30"/>
    <s v="https://etrain.info/train/Mumbai-Chennai-Mail-11028/history?d=1y"/>
    <n v="1612"/>
    <x v="20"/>
  </r>
  <r>
    <x v="83"/>
    <s v="Mumbai Chennai Mail"/>
    <s v="URI"/>
    <x v="397"/>
    <n v="15"/>
    <n v="61.54"/>
    <n v="38.46"/>
    <n v="0"/>
    <n v="0"/>
    <d v="2025-09-28T02:07:32"/>
    <s v="https://etrain.info/train/Mumbai-Chennai-Mail-11028/history?d=1y"/>
    <n v="1613"/>
    <x v="21"/>
  </r>
  <r>
    <x v="83"/>
    <s v="Mumbai Chennai Mail"/>
    <s v="PUNE"/>
    <x v="206"/>
    <n v="18"/>
    <n v="53.85"/>
    <n v="46.15"/>
    <n v="0"/>
    <n v="0"/>
    <d v="2025-09-28T02:07:34"/>
    <s v="https://etrain.info/train/Mumbai-Chennai-Mail-11028/history?d=1y"/>
    <n v="1614"/>
    <x v="22"/>
  </r>
  <r>
    <x v="83"/>
    <s v="Mumbai Chennai Mail"/>
    <s v="CCH"/>
    <x v="396"/>
    <m/>
    <n v="7.69"/>
    <n v="92.31"/>
    <n v="0"/>
    <n v="0"/>
    <d v="2025-09-28T02:07:36"/>
    <s v="https://etrain.info/train/Mumbai-Chennai-Mail-11028/history?d=1y"/>
    <n v="1615"/>
    <x v="23"/>
  </r>
  <r>
    <x v="83"/>
    <s v="Mumbai Chennai Mail"/>
    <s v="TGN"/>
    <x v="395"/>
    <n v="29"/>
    <n v="7.69"/>
    <n v="92.31"/>
    <n v="0"/>
    <n v="0"/>
    <d v="2025-09-28T02:07:38"/>
    <s v="https://etrain.info/train/Mumbai-Chennai-Mail-11028/history?d=1y"/>
    <n v="1616"/>
    <x v="24"/>
  </r>
  <r>
    <x v="83"/>
    <s v="Mumbai Chennai Mail"/>
    <s v="LNL"/>
    <x v="205"/>
    <n v="10"/>
    <n v="69.23"/>
    <n v="30.77"/>
    <n v="0"/>
    <n v="0"/>
    <d v="2025-09-28T02:07:41"/>
    <s v="https://etrain.info/train/Mumbai-Chennai-Mail-11028/history?d=1y"/>
    <n v="1617"/>
    <x v="25"/>
  </r>
  <r>
    <x v="83"/>
    <s v="Mumbai Chennai Mail"/>
    <s v="KYN"/>
    <x v="166"/>
    <n v="29"/>
    <n v="23.08"/>
    <n v="76.92"/>
    <n v="0"/>
    <n v="0"/>
    <d v="2025-09-28T02:07:43"/>
    <s v="https://etrain.info/train/Mumbai-Chennai-Mail-11028/history?d=1y"/>
    <n v="1618"/>
    <x v="26"/>
  </r>
  <r>
    <x v="83"/>
    <s v="Mumbai Chennai Mail"/>
    <s v="TNA"/>
    <x v="165"/>
    <n v="29"/>
    <n v="15.38"/>
    <n v="84.62"/>
    <n v="0"/>
    <n v="0"/>
    <d v="2025-09-28T02:07:45"/>
    <s v="https://etrain.info/train/Mumbai-Chennai-Mail-11028/history?d=1y"/>
    <n v="1619"/>
    <x v="27"/>
  </r>
  <r>
    <x v="83"/>
    <s v="Mumbai Chennai Mail"/>
    <s v="DR"/>
    <x v="164"/>
    <n v="15"/>
    <n v="69.23"/>
    <n v="30.77"/>
    <n v="0"/>
    <n v="0"/>
    <d v="2025-09-28T02:07:48"/>
    <s v="https://etrain.info/train/Mumbai-Chennai-Mail-11028/history?d=1y"/>
    <n v="1620"/>
    <x v="28"/>
  </r>
  <r>
    <x v="84"/>
    <s v="Vikramshila Express"/>
    <s v="BGP"/>
    <x v="417"/>
    <n v="8"/>
    <n v="93.42"/>
    <n v="0.55000000000000004"/>
    <n v="1.64"/>
    <n v="4.3899999999999997"/>
    <d v="2025-09-28T02:07:53"/>
    <s v="https://etrain.info/train/Vikramshila-Express-12367/history?d=1y"/>
    <n v="1621"/>
    <x v="0"/>
  </r>
  <r>
    <x v="84"/>
    <s v="Vikramshila Express"/>
    <s v="SGG"/>
    <x v="418"/>
    <n v="12"/>
    <n v="81.64"/>
    <n v="11.78"/>
    <n v="1.37"/>
    <n v="5.21"/>
    <d v="2025-09-28T02:07:55"/>
    <s v="https://etrain.info/train/Vikramshila-Express-12367/history?d=1y"/>
    <n v="1622"/>
    <x v="1"/>
  </r>
  <r>
    <x v="84"/>
    <s v="Vikramshila Express"/>
    <s v="BUP"/>
    <x v="419"/>
    <n v="11"/>
    <n v="85.75"/>
    <n v="7.67"/>
    <n v="1.37"/>
    <n v="5.21"/>
    <d v="2025-09-28T02:07:56"/>
    <s v="https://etrain.info/train/Vikramshila-Express-12367/history?d=1y"/>
    <n v="1623"/>
    <x v="2"/>
  </r>
  <r>
    <x v="84"/>
    <s v="Vikramshila Express"/>
    <s v="JMP"/>
    <x v="420"/>
    <n v="16"/>
    <n v="65.209999999999994"/>
    <n v="28.22"/>
    <n v="1.37"/>
    <n v="5.2"/>
    <d v="2025-09-28T02:07:58"/>
    <s v="https://etrain.info/train/Vikramshila-Express-12367/history?d=1y"/>
    <n v="1624"/>
    <x v="3"/>
  </r>
  <r>
    <x v="84"/>
    <s v="Vikramshila Express"/>
    <s v="DRH"/>
    <x v="421"/>
    <n v="18"/>
    <n v="48.49"/>
    <n v="44.93"/>
    <n v="1.37"/>
    <n v="5.21"/>
    <d v="2025-09-28T02:08:00"/>
    <s v="https://etrain.info/train/Vikramshila-Express-12367/history?d=1y"/>
    <n v="1625"/>
    <x v="4"/>
  </r>
  <r>
    <x v="84"/>
    <s v="Vikramshila Express"/>
    <s v="AHA"/>
    <x v="422"/>
    <n v="18"/>
    <n v="52.6"/>
    <n v="40.82"/>
    <n v="1.37"/>
    <n v="5.21"/>
    <d v="2025-09-28T02:08:01"/>
    <s v="https://etrain.info/train/Vikramshila-Express-12367/history?d=1y"/>
    <n v="1626"/>
    <x v="5"/>
  </r>
  <r>
    <x v="84"/>
    <s v="Vikramshila Express"/>
    <s v="KJH"/>
    <x v="423"/>
    <n v="20"/>
    <n v="44.66"/>
    <n v="48.77"/>
    <n v="1.37"/>
    <n v="5.2"/>
    <d v="2025-09-28T02:08:03"/>
    <s v="https://etrain.info/train/Vikramshila-Express-12367/history?d=1y"/>
    <n v="1627"/>
    <x v="6"/>
  </r>
  <r>
    <x v="84"/>
    <s v="Vikramshila Express"/>
    <s v="KIUL"/>
    <x v="346"/>
    <n v="14"/>
    <n v="79.180000000000007"/>
    <n v="13.97"/>
    <n v="2.4700000000000002"/>
    <n v="4.38"/>
    <d v="2025-09-28T02:08:05"/>
    <s v="https://etrain.info/train/Vikramshila-Express-12367/history?d=1y"/>
    <n v="1628"/>
    <x v="7"/>
  </r>
  <r>
    <x v="84"/>
    <s v="Vikramshila Express"/>
    <s v="LKR"/>
    <x v="424"/>
    <m/>
    <n v="74.52"/>
    <n v="18.899999999999999"/>
    <n v="2.19"/>
    <n v="4.38"/>
    <d v="2025-09-28T02:08:08"/>
    <s v="https://etrain.info/train/Vikramshila-Express-12367/history?d=1y"/>
    <n v="1629"/>
    <x v="8"/>
  </r>
  <r>
    <x v="84"/>
    <s v="Vikramshila Express"/>
    <s v="BRYA"/>
    <x v="425"/>
    <n v="21"/>
    <n v="59.73"/>
    <n v="33.15"/>
    <n v="2.74"/>
    <n v="4.38"/>
    <d v="2025-09-28T02:08:10"/>
    <s v="https://etrain.info/train/Vikramshila-Express-12367/history?d=1y"/>
    <n v="1630"/>
    <x v="9"/>
  </r>
  <r>
    <x v="84"/>
    <s v="Vikramshila Express"/>
    <s v="HTZ"/>
    <x v="426"/>
    <n v="24"/>
    <n v="43.84"/>
    <n v="48.77"/>
    <n v="3.01"/>
    <n v="4.38"/>
    <d v="2025-09-28T02:08:11"/>
    <s v="https://etrain.info/train/Vikramshila-Express-12367/history?d=1y"/>
    <n v="1631"/>
    <x v="10"/>
  </r>
  <r>
    <x v="84"/>
    <s v="Vikramshila Express"/>
    <s v="MKA"/>
    <x v="347"/>
    <n v="30"/>
    <n v="21.92"/>
    <n v="69.86"/>
    <n v="3.84"/>
    <n v="4.38"/>
    <d v="2025-09-28T02:08:13"/>
    <s v="https://etrain.info/train/Vikramshila-Express-12367/history?d=1y"/>
    <n v="1632"/>
    <x v="11"/>
  </r>
  <r>
    <x v="84"/>
    <s v="Vikramshila Express"/>
    <s v="BARH"/>
    <x v="427"/>
    <n v="38"/>
    <n v="7.4"/>
    <n v="83.29"/>
    <n v="4.93"/>
    <n v="4.38"/>
    <d v="2025-09-28T02:08:15"/>
    <s v="https://etrain.info/train/Vikramshila-Express-12367/history?d=1y"/>
    <n v="1633"/>
    <x v="12"/>
  </r>
  <r>
    <x v="84"/>
    <s v="Vikramshila Express"/>
    <s v="BKP"/>
    <x v="428"/>
    <n v="41"/>
    <n v="6.85"/>
    <n v="81.37"/>
    <n v="7.4"/>
    <n v="4.38"/>
    <d v="2025-09-28T02:08:17"/>
    <s v="https://etrain.info/train/Vikramshila-Express-12367/history?d=1y"/>
    <n v="1634"/>
    <x v="13"/>
  </r>
  <r>
    <x v="84"/>
    <s v="Vikramshila Express"/>
    <s v="KOO"/>
    <x v="429"/>
    <m/>
    <n v="3.29"/>
    <n v="81.92"/>
    <n v="10.41"/>
    <n v="4.38"/>
    <d v="2025-09-28T02:08:19"/>
    <s v="https://etrain.info/train/Vikramshila-Express-12367/history?d=1y"/>
    <n v="1635"/>
    <x v="14"/>
  </r>
  <r>
    <x v="84"/>
    <s v="Vikramshila Express"/>
    <s v="FUT"/>
    <x v="430"/>
    <n v="48"/>
    <n v="2.4700000000000002"/>
    <n v="79.180000000000007"/>
    <n v="13.97"/>
    <n v="4.38"/>
    <d v="2025-09-28T02:08:21"/>
    <s v="https://etrain.info/train/Vikramshila-Express-12367/history?d=1y"/>
    <n v="1636"/>
    <x v="15"/>
  </r>
  <r>
    <x v="84"/>
    <s v="Vikramshila Express"/>
    <s v="PNC"/>
    <x v="431"/>
    <n v="48"/>
    <n v="3.29"/>
    <n v="76.989999999999995"/>
    <n v="15.34"/>
    <n v="4.38"/>
    <d v="2025-09-28T02:08:22"/>
    <s v="https://etrain.info/train/Vikramshila-Express-12367/history?d=1y"/>
    <n v="1637"/>
    <x v="16"/>
  </r>
  <r>
    <x v="84"/>
    <s v="Vikramshila Express"/>
    <s v="PNBE"/>
    <x v="348"/>
    <n v="38"/>
    <n v="18.079999999999998"/>
    <n v="67.95"/>
    <n v="9.59"/>
    <n v="4.38"/>
    <d v="2025-09-28T02:08:23"/>
    <s v="https://etrain.info/train/Vikramshila-Express-12367/history?d=1y"/>
    <n v="1638"/>
    <x v="17"/>
  </r>
  <r>
    <x v="84"/>
    <s v="Vikramshila Express"/>
    <s v="ARA"/>
    <x v="97"/>
    <n v="55"/>
    <n v="4.1100000000000003"/>
    <n v="68.489999999999995"/>
    <n v="23.01"/>
    <n v="4.3899999999999997"/>
    <d v="2025-09-28T02:08:25"/>
    <s v="https://etrain.info/train/Vikramshila-Express-12367/history?d=1y"/>
    <n v="1639"/>
    <x v="18"/>
  </r>
  <r>
    <x v="84"/>
    <s v="Vikramshila Express"/>
    <s v="BXR"/>
    <x v="96"/>
    <n v="65"/>
    <n v="2.74"/>
    <n v="59.73"/>
    <n v="33.15"/>
    <n v="4.38"/>
    <d v="2025-09-28T02:08:27"/>
    <s v="https://etrain.info/train/Vikramshila-Express-12367/history?d=1y"/>
    <n v="1640"/>
    <x v="19"/>
  </r>
  <r>
    <x v="84"/>
    <s v="Vikramshila Express"/>
    <s v="DDU"/>
    <x v="94"/>
    <m/>
    <n v="54.52"/>
    <n v="25.21"/>
    <n v="15.89"/>
    <n v="4.38"/>
    <d v="2025-09-28T02:08:30"/>
    <s v="https://etrain.info/train/Vikramshila-Express-12367/history?d=1y"/>
    <n v="1641"/>
    <x v="20"/>
  </r>
  <r>
    <x v="84"/>
    <s v="Vikramshila Express"/>
    <s v="PRYJ"/>
    <x v="349"/>
    <n v="101"/>
    <n v="2.19"/>
    <n v="3.01"/>
    <n v="5.21"/>
    <n v="89.59"/>
    <d v="2025-09-28T02:08:31"/>
    <s v="https://etrain.info/train/Vikramshila-Express-12367/history?d=1y"/>
    <n v="1642"/>
    <x v="21"/>
  </r>
  <r>
    <x v="84"/>
    <s v="Vikramshila Express"/>
    <s v="CNB"/>
    <x v="350"/>
    <n v="53"/>
    <n v="28.77"/>
    <n v="45.75"/>
    <n v="21.1"/>
    <n v="4.38"/>
    <d v="2025-09-28T02:08:33"/>
    <s v="https://etrain.info/train/Vikramshila-Express-12367/history?d=1y"/>
    <n v="1643"/>
    <x v="22"/>
  </r>
  <r>
    <x v="84"/>
    <s v="Vikramshila Express"/>
    <s v="ANVT"/>
    <x v="351"/>
    <n v="37"/>
    <n v="71.510000000000005"/>
    <n v="6.85"/>
    <n v="17.260000000000002"/>
    <n v="4.38"/>
    <d v="2025-09-28T02:08:34"/>
    <s v="https://etrain.info/train/Vikramshila-Express-12367/history?d=1y"/>
    <n v="1644"/>
    <x v="23"/>
  </r>
  <r>
    <x v="85"/>
    <s v="Vikramshila Express"/>
    <s v="ANVT"/>
    <x v="351"/>
    <m/>
    <n v="100"/>
    <n v="0"/>
    <n v="0"/>
    <n v="0"/>
    <d v="2025-09-28T02:08:40"/>
    <s v="https://etrain.info/train/Vikramshila-Express-12368/history?d=1y"/>
    <n v="1645"/>
    <x v="0"/>
  </r>
  <r>
    <x v="85"/>
    <s v="Vikramshila Express"/>
    <s v="CNB"/>
    <x v="350"/>
    <m/>
    <n v="16.670000000000002"/>
    <n v="60"/>
    <n v="23.33"/>
    <n v="0"/>
    <d v="2025-09-28T02:08:42"/>
    <s v="https://etrain.info/train/Vikramshila-Express-12368/history?d=1y"/>
    <n v="1646"/>
    <x v="1"/>
  </r>
  <r>
    <x v="85"/>
    <s v="Vikramshila Express"/>
    <s v="DDU"/>
    <x v="94"/>
    <m/>
    <n v="63.33"/>
    <n v="23.33"/>
    <n v="13.33"/>
    <n v="0"/>
    <d v="2025-09-28T02:08:44"/>
    <s v="https://etrain.info/train/Vikramshila-Express-12368/history?d=1y"/>
    <n v="1647"/>
    <x v="2"/>
  </r>
  <r>
    <x v="85"/>
    <s v="Vikramshila Express"/>
    <s v="BXR"/>
    <x v="96"/>
    <n v="30"/>
    <n v="56.67"/>
    <n v="23.33"/>
    <n v="20"/>
    <n v="0"/>
    <d v="2025-09-28T02:08:45"/>
    <s v="https://etrain.info/train/Vikramshila-Express-12368/history?d=1y"/>
    <n v="1648"/>
    <x v="3"/>
  </r>
  <r>
    <x v="85"/>
    <s v="Vikramshila Express"/>
    <s v="ARA"/>
    <x v="97"/>
    <n v="35"/>
    <n v="46.67"/>
    <n v="33.33"/>
    <n v="20"/>
    <n v="0"/>
    <d v="2025-09-28T02:08:47"/>
    <s v="https://etrain.info/train/Vikramshila-Express-12368/history?d=1y"/>
    <n v="1649"/>
    <x v="4"/>
  </r>
  <r>
    <x v="85"/>
    <s v="Vikramshila Express"/>
    <s v="PNBE"/>
    <x v="348"/>
    <n v="54"/>
    <n v="10"/>
    <n v="63.33"/>
    <n v="26.67"/>
    <n v="0"/>
    <d v="2025-09-28T02:08:49"/>
    <s v="https://etrain.info/train/Vikramshila-Express-12368/history?d=1y"/>
    <n v="1650"/>
    <x v="5"/>
  </r>
  <r>
    <x v="85"/>
    <s v="Vikramshila Express"/>
    <s v="PNC"/>
    <x v="431"/>
    <n v="56"/>
    <n v="10"/>
    <n v="63.33"/>
    <n v="26.67"/>
    <n v="0"/>
    <d v="2025-09-28T02:08:50"/>
    <s v="https://etrain.info/train/Vikramshila-Express-12368/history?d=1y"/>
    <n v="1651"/>
    <x v="6"/>
  </r>
  <r>
    <x v="85"/>
    <s v="Vikramshila Express"/>
    <s v="FUT"/>
    <x v="430"/>
    <n v="63"/>
    <n v="0"/>
    <n v="66.67"/>
    <n v="33.33"/>
    <n v="0"/>
    <d v="2025-09-28T02:08:52"/>
    <s v="https://etrain.info/train/Vikramshila-Express-12368/history?d=1y"/>
    <n v="1652"/>
    <x v="7"/>
  </r>
  <r>
    <x v="85"/>
    <s v="Vikramshila Express"/>
    <s v="KOO"/>
    <x v="429"/>
    <n v="64"/>
    <n v="0"/>
    <n v="70"/>
    <n v="30"/>
    <n v="0"/>
    <d v="2025-09-28T02:08:54"/>
    <s v="https://etrain.info/train/Vikramshila-Express-12368/history?d=1y"/>
    <n v="1653"/>
    <x v="8"/>
  </r>
  <r>
    <x v="85"/>
    <s v="Vikramshila Express"/>
    <s v="BKP"/>
    <x v="428"/>
    <m/>
    <n v="0"/>
    <n v="66.67"/>
    <n v="33.33"/>
    <n v="0"/>
    <d v="2025-09-28T02:08:56"/>
    <s v="https://etrain.info/train/Vikramshila-Express-12368/history?d=1y"/>
    <n v="1654"/>
    <x v="9"/>
  </r>
  <r>
    <x v="85"/>
    <s v="Vikramshila Express"/>
    <s v="BARH"/>
    <x v="427"/>
    <n v="67"/>
    <n v="0"/>
    <n v="70"/>
    <n v="30"/>
    <n v="0"/>
    <d v="2025-09-28T02:08:58"/>
    <s v="https://etrain.info/train/Vikramshila-Express-12368/history?d=1y"/>
    <n v="1655"/>
    <x v="10"/>
  </r>
  <r>
    <x v="85"/>
    <s v="Vikramshila Express"/>
    <s v="MKA"/>
    <x v="347"/>
    <n v="71"/>
    <n v="0"/>
    <n v="63.33"/>
    <n v="36.67"/>
    <n v="0"/>
    <d v="2025-09-28T02:08:59"/>
    <s v="https://etrain.info/train/Vikramshila-Express-12368/history?d=1y"/>
    <n v="1656"/>
    <x v="11"/>
  </r>
  <r>
    <x v="85"/>
    <s v="Vikramshila Express"/>
    <s v="HTZ"/>
    <x v="426"/>
    <m/>
    <n v="0"/>
    <n v="56.67"/>
    <n v="43.33"/>
    <n v="0"/>
    <d v="2025-09-28T02:09:01"/>
    <s v="https://etrain.info/train/Vikramshila-Express-12368/history?d=1y"/>
    <n v="1657"/>
    <x v="12"/>
  </r>
  <r>
    <x v="85"/>
    <s v="Vikramshila Express"/>
    <s v="BRYA"/>
    <x v="425"/>
    <n v="75"/>
    <n v="0"/>
    <n v="56.67"/>
    <n v="43.33"/>
    <n v="0"/>
    <d v="2025-09-28T02:09:03"/>
    <s v="https://etrain.info/train/Vikramshila-Express-12368/history?d=1y"/>
    <n v="1658"/>
    <x v="13"/>
  </r>
  <r>
    <x v="85"/>
    <s v="Vikramshila Express"/>
    <s v="LKR"/>
    <x v="424"/>
    <n v="67"/>
    <n v="3.33"/>
    <n v="66.67"/>
    <n v="30"/>
    <n v="0"/>
    <d v="2025-09-28T02:09:05"/>
    <s v="https://etrain.info/train/Vikramshila-Express-12368/history?d=1y"/>
    <n v="1659"/>
    <x v="14"/>
  </r>
  <r>
    <x v="85"/>
    <s v="Vikramshila Express"/>
    <s v="KIUL"/>
    <x v="346"/>
    <n v="24"/>
    <n v="73.33"/>
    <n v="13.33"/>
    <n v="13.33"/>
    <n v="0.01"/>
    <d v="2025-09-28T02:09:06"/>
    <s v="https://etrain.info/train/Vikramshila-Express-12368/history?d=1y"/>
    <n v="1660"/>
    <x v="15"/>
  </r>
  <r>
    <x v="85"/>
    <s v="Vikramshila Express"/>
    <s v="KJH"/>
    <x v="423"/>
    <m/>
    <n v="73.33"/>
    <n v="13.33"/>
    <n v="13.33"/>
    <n v="0"/>
    <d v="2025-09-28T02:09:08"/>
    <s v="https://etrain.info/train/Vikramshila-Express-12368/history?d=1y"/>
    <n v="1661"/>
    <x v="16"/>
  </r>
  <r>
    <x v="85"/>
    <s v="Vikramshila Express"/>
    <s v="AHA"/>
    <x v="422"/>
    <n v="26"/>
    <n v="73.33"/>
    <n v="13.33"/>
    <n v="13.33"/>
    <n v="0.01"/>
    <d v="2025-09-28T02:09:10"/>
    <s v="https://etrain.info/train/Vikramshila-Express-12368/history?d=1y"/>
    <n v="1662"/>
    <x v="17"/>
  </r>
  <r>
    <x v="85"/>
    <s v="Vikramshila Express"/>
    <s v="DRH"/>
    <x v="421"/>
    <n v="26"/>
    <n v="73.33"/>
    <n v="13.33"/>
    <n v="13.33"/>
    <n v="0.01"/>
    <d v="2025-09-28T02:09:12"/>
    <s v="https://etrain.info/train/Vikramshila-Express-12368/history?d=1y"/>
    <n v="1663"/>
    <x v="18"/>
  </r>
  <r>
    <x v="85"/>
    <s v="Vikramshila Express"/>
    <s v="JMP"/>
    <x v="420"/>
    <n v="34"/>
    <n v="53.33"/>
    <n v="30"/>
    <n v="16.670000000000002"/>
    <n v="0"/>
    <d v="2025-09-28T02:09:13"/>
    <s v="https://etrain.info/train/Vikramshila-Express-12368/history?d=1y"/>
    <n v="1664"/>
    <x v="19"/>
  </r>
  <r>
    <x v="85"/>
    <s v="Vikramshila Express"/>
    <s v="BUP"/>
    <x v="419"/>
    <n v="41"/>
    <n v="23.33"/>
    <n v="60"/>
    <n v="16.670000000000002"/>
    <n v="0"/>
    <d v="2025-09-28T02:09:15"/>
    <s v="https://etrain.info/train/Vikramshila-Express-12368/history?d=1y"/>
    <n v="1665"/>
    <x v="20"/>
  </r>
  <r>
    <x v="85"/>
    <s v="Vikramshila Express"/>
    <s v="SGG"/>
    <x v="418"/>
    <n v="34"/>
    <n v="50"/>
    <n v="33.33"/>
    <n v="16.670000000000002"/>
    <n v="0"/>
    <d v="2025-09-28T02:09:17"/>
    <s v="https://etrain.info/train/Vikramshila-Express-12368/history?d=1y"/>
    <n v="1666"/>
    <x v="21"/>
  </r>
  <r>
    <x v="85"/>
    <s v="Vikramshila Express"/>
    <s v="BGP"/>
    <x v="417"/>
    <n v="10"/>
    <n v="80"/>
    <n v="10"/>
    <n v="10"/>
    <n v="0"/>
    <d v="2025-09-28T02:09:18"/>
    <s v="https://etrain.info/train/Vikramshila-Express-12368/history?d=1y"/>
    <n v="1667"/>
    <x v="22"/>
  </r>
  <r>
    <x v="86"/>
    <s v="Kamrup Express"/>
    <s v="HWH"/>
    <x v="42"/>
    <m/>
    <n v="97.32"/>
    <n v="2.68"/>
    <n v="0"/>
    <n v="0"/>
    <d v="2025-09-28T02:09:26"/>
    <s v="https://etrain.info/train/Kamrup-Express-15959/history?d=1y"/>
    <n v="1668"/>
    <x v="0"/>
  </r>
  <r>
    <x v="86"/>
    <s v="Kamrup Express"/>
    <s v="BDC"/>
    <x v="432"/>
    <n v="8"/>
    <n v="90.8"/>
    <n v="8.81"/>
    <n v="0.38"/>
    <n v="0.01"/>
    <d v="2025-09-28T02:09:27"/>
    <s v="https://etrain.info/train/Kamrup-Express-15959/history?d=1y"/>
    <n v="1669"/>
    <x v="1"/>
  </r>
  <r>
    <x v="86"/>
    <s v="Kamrup Express"/>
    <s v="ABKA"/>
    <x v="433"/>
    <n v="13"/>
    <n v="71.650000000000006"/>
    <n v="27.97"/>
    <n v="0.38"/>
    <n v="0"/>
    <d v="2025-09-28T02:09:31"/>
    <s v="https://etrain.info/train/Kamrup-Express-15959/history?d=1y"/>
    <n v="1670"/>
    <x v="2"/>
  </r>
  <r>
    <x v="86"/>
    <s v="Kamrup Express"/>
    <s v="NDAE"/>
    <x v="434"/>
    <m/>
    <n v="65.13"/>
    <n v="34.479999999999997"/>
    <n v="0.38"/>
    <n v="0"/>
    <d v="2025-09-28T02:09:35"/>
    <s v="https://etrain.info/train/Kamrup-Express-15959/history?d=1y"/>
    <n v="1671"/>
    <x v="3"/>
  </r>
  <r>
    <x v="86"/>
    <s v="Kamrup Express"/>
    <s v="KWAE"/>
    <x v="435"/>
    <n v="10"/>
    <n v="79.69"/>
    <n v="19.920000000000002"/>
    <n v="0.38"/>
    <n v="0.01"/>
    <d v="2025-09-28T02:09:36"/>
    <s v="https://etrain.info/train/Kamrup-Express-15959/history?d=1y"/>
    <n v="1672"/>
    <x v="4"/>
  </r>
  <r>
    <x v="86"/>
    <s v="Kamrup Express"/>
    <s v="SALE"/>
    <x v="436"/>
    <n v="14"/>
    <n v="62.45"/>
    <n v="37.159999999999997"/>
    <n v="0.38"/>
    <n v="0.01"/>
    <d v="2025-09-28T02:09:38"/>
    <s v="https://etrain.info/train/Kamrup-Express-15959/history?d=1y"/>
    <n v="1673"/>
    <x v="5"/>
  </r>
  <r>
    <x v="86"/>
    <s v="Kamrup Express"/>
    <s v="KGLE"/>
    <x v="437"/>
    <m/>
    <n v="48.66"/>
    <n v="50.19"/>
    <n v="1.1499999999999999"/>
    <n v="0"/>
    <d v="2025-09-28T02:09:41"/>
    <s v="https://etrain.info/train/Kamrup-Express-15959/history?d=1y"/>
    <n v="1674"/>
    <x v="6"/>
  </r>
  <r>
    <x v="86"/>
    <s v="Kamrup Express"/>
    <s v="AZ"/>
    <x v="438"/>
    <n v="9"/>
    <n v="85.82"/>
    <n v="13.03"/>
    <n v="1.1499999999999999"/>
    <n v="0"/>
    <d v="2025-09-28T02:09:45"/>
    <s v="https://etrain.info/train/Kamrup-Express-15959/history?d=1y"/>
    <n v="1675"/>
    <x v="7"/>
  </r>
  <r>
    <x v="86"/>
    <s v="Kamrup Express"/>
    <s v="JRLE"/>
    <x v="439"/>
    <n v="8"/>
    <n v="88.12"/>
    <n v="10.73"/>
    <n v="1.1499999999999999"/>
    <n v="0"/>
    <d v="2025-09-28T02:09:49"/>
    <s v="https://etrain.info/train/Kamrup-Express-15959/history?d=1y"/>
    <n v="1676"/>
    <x v="8"/>
  </r>
  <r>
    <x v="86"/>
    <s v="Kamrup Express"/>
    <s v="NILE"/>
    <x v="440"/>
    <n v="12"/>
    <n v="78.16"/>
    <n v="20.69"/>
    <n v="1.1499999999999999"/>
    <n v="0"/>
    <d v="2025-09-28T02:09:53"/>
    <s v="https://etrain.info/train/Kamrup-Express-15959/history?d=1y"/>
    <n v="1677"/>
    <x v="9"/>
  </r>
  <r>
    <x v="86"/>
    <s v="Kamrup Express"/>
    <s v="DGLE"/>
    <x v="441"/>
    <n v="13"/>
    <n v="77.39"/>
    <n v="21.07"/>
    <n v="1.53"/>
    <n v="0.01"/>
    <d v="2025-09-28T02:09:55"/>
    <s v="https://etrain.info/train/Kamrup-Express-15959/history?d=1y"/>
    <n v="1678"/>
    <x v="10"/>
  </r>
  <r>
    <x v="86"/>
    <s v="Kamrup Express"/>
    <s v="NFK"/>
    <x v="279"/>
    <n v="9"/>
    <n v="90.04"/>
    <n v="8.0500000000000007"/>
    <n v="1.92"/>
    <n v="0"/>
    <d v="2025-09-28T02:09:58"/>
    <s v="https://etrain.info/train/Kamrup-Express-15959/history?d=1y"/>
    <n v="1679"/>
    <x v="11"/>
  </r>
  <r>
    <x v="86"/>
    <s v="Kamrup Express"/>
    <s v="MLDT"/>
    <x v="130"/>
    <n v="8"/>
    <n v="95.02"/>
    <n v="3.07"/>
    <n v="1.92"/>
    <n v="0"/>
    <d v="2025-09-28T02:10:02"/>
    <s v="https://etrain.info/train/Kamrup-Express-15959/history?d=1y"/>
    <n v="1680"/>
    <x v="12"/>
  </r>
  <r>
    <x v="86"/>
    <s v="Kamrup Express"/>
    <s v="SM"/>
    <x v="442"/>
    <n v="10"/>
    <n v="86.21"/>
    <n v="11.49"/>
    <n v="2.2999999999999998"/>
    <n v="0"/>
    <d v="2025-09-28T02:10:06"/>
    <s v="https://etrain.info/train/Kamrup-Express-15959/history?d=1y"/>
    <n v="1681"/>
    <x v="13"/>
  </r>
  <r>
    <x v="86"/>
    <s v="Kamrup Express"/>
    <s v="HCR"/>
    <x v="443"/>
    <n v="11"/>
    <n v="80.08"/>
    <n v="17.62"/>
    <n v="2.2999999999999998"/>
    <n v="0"/>
    <d v="2025-09-28T02:10:10"/>
    <s v="https://etrain.info/train/Kamrup-Express-15959/history?d=1y"/>
    <n v="1682"/>
    <x v="14"/>
  </r>
  <r>
    <x v="86"/>
    <s v="Kamrup Express"/>
    <s v="BOE"/>
    <x v="131"/>
    <n v="17"/>
    <n v="0.77"/>
    <n v="1.1499999999999999"/>
    <n v="0"/>
    <n v="98.08"/>
    <d v="2025-09-28T02:10:11"/>
    <s v="https://etrain.info/train/Kamrup-Express-15959/history?d=1y"/>
    <n v="1683"/>
    <x v="15"/>
  </r>
  <r>
    <x v="86"/>
    <s v="Kamrup Express"/>
    <s v="KNE"/>
    <x v="132"/>
    <m/>
    <n v="32.57"/>
    <n v="62.45"/>
    <n v="4.9800000000000004"/>
    <n v="0"/>
    <d v="2025-09-28T02:10:14"/>
    <s v="https://etrain.info/train/Kamrup-Express-15959/history?d=1y"/>
    <n v="1684"/>
    <x v="16"/>
  </r>
  <r>
    <x v="86"/>
    <s v="Kamrup Express"/>
    <s v="AUB"/>
    <x v="444"/>
    <n v="34"/>
    <n v="14.18"/>
    <n v="78.16"/>
    <n v="7.66"/>
    <n v="0"/>
    <d v="2025-09-28T02:10:18"/>
    <s v="https://etrain.info/train/Kamrup-Express-15959/history?d=1y"/>
    <n v="1685"/>
    <x v="17"/>
  </r>
  <r>
    <x v="86"/>
    <s v="Kamrup Express"/>
    <s v="NJP"/>
    <x v="133"/>
    <n v="17"/>
    <n v="68.97"/>
    <n v="26.05"/>
    <n v="4.9800000000000004"/>
    <n v="0"/>
    <d v="2025-09-28T02:10:19"/>
    <s v="https://etrain.info/train/Kamrup-Express-15959/history?d=1y"/>
    <n v="1686"/>
    <x v="18"/>
  </r>
  <r>
    <x v="86"/>
    <s v="Kamrup Express"/>
    <s v="JPE"/>
    <x v="280"/>
    <n v="13"/>
    <n v="68.2"/>
    <n v="26.82"/>
    <n v="4.9800000000000004"/>
    <n v="0"/>
    <d v="2025-09-28T02:10:23"/>
    <s v="https://etrain.info/train/Kamrup-Express-15959/history?d=1y"/>
    <n v="1687"/>
    <x v="19"/>
  </r>
  <r>
    <x v="86"/>
    <s v="Kamrup Express"/>
    <s v="NMX"/>
    <x v="445"/>
    <n v="21"/>
    <n v="58.62"/>
    <n v="35.630000000000003"/>
    <n v="5.75"/>
    <n v="0"/>
    <d v="2025-09-28T02:10:25"/>
    <s v="https://etrain.info/train/Kamrup-Express-15959/history?d=1y"/>
    <n v="1688"/>
    <x v="20"/>
  </r>
  <r>
    <x v="86"/>
    <s v="Kamrup Express"/>
    <s v="DQG"/>
    <x v="281"/>
    <n v="19"/>
    <n v="65.13"/>
    <n v="29.5"/>
    <n v="5.36"/>
    <n v="0.01"/>
    <d v="2025-09-28T02:10:27"/>
    <s v="https://etrain.info/train/Kamrup-Express-15959/history?d=1y"/>
    <n v="1689"/>
    <x v="21"/>
  </r>
  <r>
    <x v="86"/>
    <s v="Kamrup Express"/>
    <s v="FLK"/>
    <x v="446"/>
    <n v="13"/>
    <n v="77.39"/>
    <n v="18.77"/>
    <n v="3.83"/>
    <n v="0.01"/>
    <d v="2025-09-28T02:10:29"/>
    <s v="https://etrain.info/train/Kamrup-Express-15959/history?d=1y"/>
    <n v="1690"/>
    <x v="22"/>
  </r>
  <r>
    <x v="86"/>
    <s v="Kamrup Express"/>
    <s v="NCB"/>
    <x v="282"/>
    <n v="13"/>
    <n v="82.76"/>
    <n v="13.03"/>
    <n v="4.21"/>
    <n v="0"/>
    <d v="2025-09-28T02:10:32"/>
    <s v="https://etrain.info/train/Kamrup-Express-15959/history?d=1y"/>
    <n v="1691"/>
    <x v="23"/>
  </r>
  <r>
    <x v="86"/>
    <s v="Kamrup Express"/>
    <s v="NOQ"/>
    <x v="283"/>
    <n v="12"/>
    <n v="82.76"/>
    <n v="13.41"/>
    <n v="3.45"/>
    <n v="0.38"/>
    <d v="2025-09-28T02:10:34"/>
    <s v="https://etrain.info/train/Kamrup-Express-15959/history?d=1y"/>
    <n v="1692"/>
    <x v="24"/>
  </r>
  <r>
    <x v="86"/>
    <s v="Kamrup Express"/>
    <s v="KAMG"/>
    <x v="447"/>
    <n v="18"/>
    <n v="74.33"/>
    <n v="21.46"/>
    <n v="3.83"/>
    <n v="0.38"/>
    <d v="2025-09-28T02:10:36"/>
    <s v="https://etrain.info/train/Kamrup-Express-15959/history?d=1y"/>
    <n v="1693"/>
    <x v="25"/>
  </r>
  <r>
    <x v="86"/>
    <s v="Kamrup Express"/>
    <s v="GOGH"/>
    <x v="448"/>
    <n v="10"/>
    <n v="1.53"/>
    <n v="0.38"/>
    <n v="0"/>
    <n v="98.09"/>
    <d v="2025-09-28T02:10:38"/>
    <s v="https://etrain.info/train/Kamrup-Express-15959/history?d=1y"/>
    <n v="1694"/>
    <x v="26"/>
  </r>
  <r>
    <x v="86"/>
    <s v="Kamrup Express"/>
    <s v="FKM"/>
    <x v="449"/>
    <n v="37"/>
    <n v="6.9"/>
    <n v="85.06"/>
    <n v="8.0500000000000007"/>
    <n v="0"/>
    <d v="2025-09-28T02:10:42"/>
    <s v="https://etrain.info/train/Kamrup-Express-15959/history?d=1y"/>
    <n v="1695"/>
    <x v="27"/>
  </r>
  <r>
    <x v="86"/>
    <s v="Kamrup Express"/>
    <s v="KOJ"/>
    <x v="284"/>
    <n v="35"/>
    <n v="10.73"/>
    <n v="80.84"/>
    <n v="8.43"/>
    <n v="0"/>
    <d v="2025-09-28T02:10:46"/>
    <s v="https://etrain.info/train/Kamrup-Express-15959/history?d=1y"/>
    <n v="1696"/>
    <x v="28"/>
  </r>
  <r>
    <x v="86"/>
    <s v="Kamrup Express"/>
    <s v="NBQ"/>
    <x v="285"/>
    <n v="17"/>
    <n v="72.8"/>
    <n v="21.46"/>
    <n v="5.75"/>
    <n v="0"/>
    <d v="2025-09-28T02:10:49"/>
    <s v="https://etrain.info/train/Kamrup-Express-15959/history?d=1y"/>
    <n v="1697"/>
    <x v="29"/>
  </r>
  <r>
    <x v="86"/>
    <s v="Kamrup Express"/>
    <s v="BNGN"/>
    <x v="450"/>
    <n v="20"/>
    <n v="65.52"/>
    <n v="26.05"/>
    <n v="6.13"/>
    <n v="2.2999999999999998"/>
    <d v="2025-09-28T02:10:51"/>
    <s v="https://etrain.info/train/Kamrup-Express-15959/history?d=1y"/>
    <n v="1698"/>
    <x v="30"/>
  </r>
  <r>
    <x v="86"/>
    <s v="Kamrup Express"/>
    <s v="SBE"/>
    <x v="451"/>
    <n v="23"/>
    <n v="59.39"/>
    <n v="30.27"/>
    <n v="8.0500000000000007"/>
    <n v="2.29"/>
    <d v="2025-09-28T02:10:53"/>
    <s v="https://etrain.info/train/Kamrup-Express-15959/history?d=1y"/>
    <n v="1699"/>
    <x v="31"/>
  </r>
  <r>
    <x v="86"/>
    <s v="Kamrup Express"/>
    <s v="BPRD"/>
    <x v="286"/>
    <n v="24"/>
    <n v="55.17"/>
    <n v="34.479999999999997"/>
    <n v="8.0500000000000007"/>
    <n v="2.2999999999999998"/>
    <d v="2025-09-28T02:10:54"/>
    <s v="https://etrain.info/train/Kamrup-Express-15959/history?d=1y"/>
    <n v="1700"/>
    <x v="32"/>
  </r>
  <r>
    <x v="86"/>
    <s v="Kamrup Express"/>
    <s v="PBL"/>
    <x v="452"/>
    <n v="27"/>
    <n v="48.28"/>
    <n v="41.38"/>
    <n v="8.0500000000000007"/>
    <n v="2.29"/>
    <d v="2025-09-28T02:10:56"/>
    <s v="https://etrain.info/train/Kamrup-Express-15959/history?d=1y"/>
    <n v="1701"/>
    <x v="33"/>
  </r>
  <r>
    <x v="86"/>
    <s v="Kamrup Express"/>
    <s v="TIHU"/>
    <x v="453"/>
    <n v="28"/>
    <n v="44.44"/>
    <n v="44.83"/>
    <n v="8.43"/>
    <n v="2.2999999999999998"/>
    <d v="2025-09-28T02:10:58"/>
    <s v="https://etrain.info/train/Kamrup-Express-15959/history?d=1y"/>
    <n v="1702"/>
    <x v="34"/>
  </r>
  <r>
    <x v="86"/>
    <s v="Kamrup Express"/>
    <s v="NLV"/>
    <x v="454"/>
    <n v="30"/>
    <n v="41.38"/>
    <n v="47.89"/>
    <n v="8.43"/>
    <n v="2.2999999999999998"/>
    <d v="2025-09-28T02:11:00"/>
    <s v="https://etrain.info/train/Kamrup-Express-15959/history?d=1y"/>
    <n v="1703"/>
    <x v="35"/>
  </r>
  <r>
    <x v="86"/>
    <s v="Kamrup Express"/>
    <s v="RNY"/>
    <x v="287"/>
    <n v="26"/>
    <n v="55.17"/>
    <n v="34.1"/>
    <n v="8.43"/>
    <n v="2.2999999999999998"/>
    <d v="2025-09-28T02:11:02"/>
    <s v="https://etrain.info/train/Kamrup-Express-15959/history?d=1y"/>
    <n v="1704"/>
    <x v="36"/>
  </r>
  <r>
    <x v="86"/>
    <s v="Kamrup Express"/>
    <s v="KYQ"/>
    <x v="288"/>
    <n v="23"/>
    <n v="63.6"/>
    <n v="28.35"/>
    <n v="8.0500000000000007"/>
    <n v="0"/>
    <d v="2025-09-28T02:11:05"/>
    <s v="https://etrain.info/train/Kamrup-Express-15959/history?d=1y"/>
    <n v="1705"/>
    <x v="37"/>
  </r>
  <r>
    <x v="86"/>
    <s v="Kamrup Express"/>
    <s v="GHY"/>
    <x v="289"/>
    <n v="32"/>
    <n v="41"/>
    <n v="47.51"/>
    <n v="11.49"/>
    <n v="0"/>
    <d v="2025-09-28T02:11:09"/>
    <s v="https://etrain.info/train/Kamrup-Express-15959/history?d=1y"/>
    <n v="1706"/>
    <x v="38"/>
  </r>
  <r>
    <x v="86"/>
    <s v="Kamrup Express"/>
    <s v="CPK"/>
    <x v="372"/>
    <n v="35"/>
    <n v="38.31"/>
    <n v="47.89"/>
    <n v="13.79"/>
    <n v="0.01"/>
    <d v="2025-09-28T02:11:11"/>
    <s v="https://etrain.info/train/Kamrup-Express-15959/history?d=1y"/>
    <n v="1707"/>
    <x v="39"/>
  </r>
  <r>
    <x v="86"/>
    <s v="Kamrup Express"/>
    <s v="HJI"/>
    <x v="455"/>
    <n v="37"/>
    <n v="36.78"/>
    <n v="47.51"/>
    <n v="15.71"/>
    <n v="0"/>
    <d v="2025-09-28T02:11:13"/>
    <s v="https://etrain.info/train/Kamrup-Express-15959/history?d=1y"/>
    <n v="1708"/>
    <x v="40"/>
  </r>
  <r>
    <x v="86"/>
    <s v="Kamrup Express"/>
    <s v="LKA"/>
    <x v="456"/>
    <n v="36"/>
    <n v="41"/>
    <n v="42.53"/>
    <n v="16.48"/>
    <n v="0"/>
    <d v="2025-09-28T02:11:16"/>
    <s v="https://etrain.info/train/Kamrup-Express-15959/history?d=1y"/>
    <n v="1709"/>
    <x v="41"/>
  </r>
  <r>
    <x v="86"/>
    <s v="Kamrup Express"/>
    <s v="LMG"/>
    <x v="371"/>
    <n v="47"/>
    <n v="20.69"/>
    <n v="57.85"/>
    <n v="21.46"/>
    <n v="0"/>
    <d v="2025-09-28T02:11:18"/>
    <s v="https://etrain.info/train/Kamrup-Express-15959/history?d=1y"/>
    <n v="1710"/>
    <x v="42"/>
  </r>
  <r>
    <x v="86"/>
    <s v="Kamrup Express"/>
    <s v="DPU"/>
    <x v="370"/>
    <n v="48"/>
    <n v="16.09"/>
    <n v="62.84"/>
    <n v="21.07"/>
    <n v="0"/>
    <d v="2025-09-28T02:11:23"/>
    <s v="https://etrain.info/train/Kamrup-Express-15959/history?d=1y"/>
    <n v="1711"/>
    <x v="43"/>
  </r>
  <r>
    <x v="86"/>
    <s v="Kamrup Express"/>
    <s v="DMV"/>
    <x v="369"/>
    <n v="49"/>
    <n v="17.62"/>
    <n v="62.07"/>
    <n v="20.309999999999999"/>
    <n v="0"/>
    <d v="2025-09-28T02:11:26"/>
    <s v="https://etrain.info/train/Kamrup-Express-15959/history?d=1y"/>
    <n v="1712"/>
    <x v="44"/>
  </r>
  <r>
    <x v="86"/>
    <s v="Kamrup Express"/>
    <s v="SZR"/>
    <x v="457"/>
    <n v="47"/>
    <n v="20.69"/>
    <n v="60.15"/>
    <n v="19.16"/>
    <n v="0"/>
    <d v="2025-09-28T02:11:30"/>
    <s v="https://etrain.info/train/Kamrup-Express-15959/history?d=1y"/>
    <n v="1713"/>
    <x v="45"/>
  </r>
  <r>
    <x v="86"/>
    <s v="Kamrup Express"/>
    <s v="BXP"/>
    <x v="458"/>
    <n v="48"/>
    <n v="19.920000000000002"/>
    <n v="60.54"/>
    <n v="19.54"/>
    <n v="0"/>
    <d v="2025-09-28T02:11:32"/>
    <s v="https://etrain.info/train/Kamrup-Express-15959/history?d=1y"/>
    <n v="1714"/>
    <x v="46"/>
  </r>
  <r>
    <x v="86"/>
    <s v="Kamrup Express"/>
    <s v="FKG"/>
    <x v="459"/>
    <n v="21"/>
    <n v="76.63"/>
    <n v="13.41"/>
    <n v="9.9600000000000009"/>
    <n v="0"/>
    <d v="2025-09-28T02:11:36"/>
    <s v="https://etrain.info/train/Kamrup-Express-15959/history?d=1y"/>
    <n v="1715"/>
    <x v="47"/>
  </r>
  <r>
    <x v="86"/>
    <s v="Kamrup Express"/>
    <s v="MXN"/>
    <x v="368"/>
    <n v="39"/>
    <n v="39.46"/>
    <n v="43.68"/>
    <n v="16.86"/>
    <n v="0"/>
    <d v="2025-09-28T02:11:39"/>
    <s v="https://etrain.info/train/Kamrup-Express-15959/history?d=1y"/>
    <n v="1716"/>
    <x v="48"/>
  </r>
  <r>
    <x v="86"/>
    <s v="Kamrup Express"/>
    <s v="AGI"/>
    <x v="460"/>
    <n v="46"/>
    <n v="11.49"/>
    <n v="70.88"/>
    <n v="17.62"/>
    <n v="0.01"/>
    <d v="2025-09-28T02:11:40"/>
    <s v="https://etrain.info/train/Kamrup-Express-15959/history?d=1y"/>
    <n v="1717"/>
    <x v="49"/>
  </r>
  <r>
    <x v="86"/>
    <s v="Kamrup Express"/>
    <s v="SLGR"/>
    <x v="461"/>
    <n v="42"/>
    <n v="21.46"/>
    <n v="63.22"/>
    <n v="15.33"/>
    <n v="0"/>
    <d v="2025-09-28T02:11:44"/>
    <s v="https://etrain.info/train/Kamrup-Express-15959/history?d=1y"/>
    <n v="1718"/>
    <x v="50"/>
  </r>
  <r>
    <x v="86"/>
    <s v="Kamrup Express"/>
    <s v="BOJ"/>
    <x v="462"/>
    <n v="51"/>
    <n v="9.1999999999999993"/>
    <n v="72.03"/>
    <n v="18.77"/>
    <n v="0"/>
    <d v="2025-09-28T02:11:48"/>
    <s v="https://etrain.info/train/Kamrup-Express-15959/history?d=1y"/>
    <n v="1719"/>
    <x v="51"/>
  </r>
  <r>
    <x v="86"/>
    <s v="Kamrup Express"/>
    <s v="NAM"/>
    <x v="463"/>
    <n v="54"/>
    <n v="6.9"/>
    <n v="71.650000000000006"/>
    <n v="21.46"/>
    <n v="0"/>
    <d v="2025-09-28T02:11:52"/>
    <s v="https://etrain.info/train/Kamrup-Express-15959/history?d=1y"/>
    <n v="1720"/>
    <x v="52"/>
  </r>
  <r>
    <x v="86"/>
    <s v="Kamrup Express"/>
    <s v="NHK"/>
    <x v="464"/>
    <n v="56"/>
    <n v="6.51"/>
    <n v="70.5"/>
    <n v="22.99"/>
    <n v="0"/>
    <d v="2025-09-28T02:11:56"/>
    <s v="https://etrain.info/train/Kamrup-Express-15959/history?d=1y"/>
    <n v="1721"/>
    <x v="53"/>
  </r>
  <r>
    <x v="86"/>
    <s v="Kamrup Express"/>
    <s v="DJG"/>
    <x v="465"/>
    <n v="56"/>
    <n v="7.28"/>
    <n v="68.97"/>
    <n v="23.75"/>
    <n v="0"/>
    <d v="2025-09-28T02:11:59"/>
    <s v="https://etrain.info/train/Kamrup-Express-15959/history?d=1y"/>
    <n v="1722"/>
    <x v="54"/>
  </r>
  <r>
    <x v="86"/>
    <s v="Kamrup Express"/>
    <s v="NTSK"/>
    <x v="367"/>
    <n v="53"/>
    <n v="13.79"/>
    <n v="65.52"/>
    <n v="20.69"/>
    <n v="0"/>
    <d v="2025-09-28T02:12:03"/>
    <s v="https://etrain.info/train/Kamrup-Express-15959/history?d=1y"/>
    <n v="1723"/>
    <x v="55"/>
  </r>
  <r>
    <x v="86"/>
    <s v="Kamrup Express"/>
    <s v="DBRG"/>
    <x v="366"/>
    <n v="17"/>
    <n v="71.260000000000005"/>
    <n v="16.09"/>
    <n v="12.64"/>
    <n v="0.01"/>
    <d v="2025-09-28T02:12:04"/>
    <s v="https://etrain.info/train/Kamrup-Express-15959/history?d=1y"/>
    <n v="1724"/>
    <x v="56"/>
  </r>
  <r>
    <x v="87"/>
    <s v="Kamrup Express"/>
    <s v="DBRG"/>
    <x v="366"/>
    <m/>
    <n v="96.54"/>
    <n v="2.69"/>
    <n v="0.77"/>
    <n v="0"/>
    <d v="2025-09-28T02:12:11"/>
    <s v="https://etrain.info/train/Kamrup-Express-15960/history?d=1y"/>
    <n v="1725"/>
    <x v="0"/>
  </r>
  <r>
    <x v="87"/>
    <s v="Kamrup Express"/>
    <s v="NTSK"/>
    <x v="367"/>
    <n v="15"/>
    <n v="65.77"/>
    <n v="30.38"/>
    <n v="3.85"/>
    <n v="0"/>
    <d v="2025-09-28T02:12:15"/>
    <s v="https://etrain.info/train/Kamrup-Express-15960/history?d=1y"/>
    <n v="1726"/>
    <x v="1"/>
  </r>
  <r>
    <x v="87"/>
    <s v="Kamrup Express"/>
    <s v="DJG"/>
    <x v="465"/>
    <n v="18"/>
    <n v="57.31"/>
    <n v="37.69"/>
    <n v="5"/>
    <n v="0"/>
    <d v="2025-09-28T02:12:17"/>
    <s v="https://etrain.info/train/Kamrup-Express-15960/history?d=1y"/>
    <n v="1727"/>
    <x v="2"/>
  </r>
  <r>
    <x v="87"/>
    <s v="Kamrup Express"/>
    <s v="NHK"/>
    <x v="464"/>
    <n v="23"/>
    <n v="44.62"/>
    <n v="48.85"/>
    <n v="6.54"/>
    <n v="0"/>
    <d v="2025-09-28T02:12:21"/>
    <s v="https://etrain.info/train/Kamrup-Express-15960/history?d=1y"/>
    <n v="1728"/>
    <x v="3"/>
  </r>
  <r>
    <x v="87"/>
    <s v="Kamrup Express"/>
    <s v="NAM"/>
    <x v="463"/>
    <n v="20"/>
    <n v="50"/>
    <n v="43.08"/>
    <n v="6.92"/>
    <n v="0"/>
    <d v="2025-09-28T02:12:25"/>
    <s v="https://etrain.info/train/Kamrup-Express-15960/history?d=1y"/>
    <n v="1729"/>
    <x v="4"/>
  </r>
  <r>
    <x v="87"/>
    <s v="Kamrup Express"/>
    <s v="BOJ"/>
    <x v="462"/>
    <n v="29"/>
    <n v="41.15"/>
    <n v="49.23"/>
    <n v="9.6199999999999992"/>
    <n v="0"/>
    <d v="2025-09-28T02:12:28"/>
    <s v="https://etrain.info/train/Kamrup-Express-15960/history?d=1y"/>
    <n v="1730"/>
    <x v="5"/>
  </r>
  <r>
    <x v="87"/>
    <s v="Kamrup Express"/>
    <s v="SLGR"/>
    <x v="461"/>
    <n v="44"/>
    <n v="19.23"/>
    <n v="51.92"/>
    <n v="28.85"/>
    <n v="0"/>
    <d v="2025-09-28T02:12:32"/>
    <s v="https://etrain.info/train/Kamrup-Express-15960/history?d=1y"/>
    <n v="1731"/>
    <x v="6"/>
  </r>
  <r>
    <x v="87"/>
    <s v="Kamrup Express"/>
    <s v="AGI"/>
    <x v="460"/>
    <n v="50"/>
    <n v="10.38"/>
    <n v="53.08"/>
    <n v="36.54"/>
    <n v="0"/>
    <d v="2025-09-28T02:12:36"/>
    <s v="https://etrain.info/train/Kamrup-Express-15960/history?d=1y"/>
    <n v="1732"/>
    <x v="7"/>
  </r>
  <r>
    <x v="87"/>
    <s v="Kamrup Express"/>
    <s v="MXN"/>
    <x v="368"/>
    <n v="34"/>
    <n v="16.149999999999999"/>
    <n v="77.69"/>
    <n v="6.15"/>
    <n v="0.01"/>
    <d v="2025-09-28T02:12:37"/>
    <s v="https://etrain.info/train/Kamrup-Express-15960/history?d=1y"/>
    <n v="1733"/>
    <x v="8"/>
  </r>
  <r>
    <x v="87"/>
    <s v="Kamrup Express"/>
    <s v="FKG"/>
    <x v="459"/>
    <n v="8"/>
    <n v="91.15"/>
    <n v="6.54"/>
    <n v="2.31"/>
    <n v="0"/>
    <d v="2025-09-28T02:12:41"/>
    <s v="https://etrain.info/train/Kamrup-Express-15960/history?d=1y"/>
    <n v="1734"/>
    <x v="9"/>
  </r>
  <r>
    <x v="87"/>
    <s v="Kamrup Express"/>
    <s v="BXP"/>
    <x v="458"/>
    <n v="11"/>
    <n v="85"/>
    <n v="11.92"/>
    <n v="3.08"/>
    <n v="0"/>
    <d v="2025-09-28T02:12:43"/>
    <s v="https://etrain.info/train/Kamrup-Express-15960/history?d=1y"/>
    <n v="1735"/>
    <x v="10"/>
  </r>
  <r>
    <x v="87"/>
    <s v="Kamrup Express"/>
    <s v="SZR"/>
    <x v="457"/>
    <n v="13"/>
    <n v="80.38"/>
    <n v="16.149999999999999"/>
    <n v="3.46"/>
    <n v="0.01"/>
    <d v="2025-09-28T02:12:44"/>
    <s v="https://etrain.info/train/Kamrup-Express-15960/history?d=1y"/>
    <n v="1736"/>
    <x v="11"/>
  </r>
  <r>
    <x v="87"/>
    <s v="Kamrup Express"/>
    <s v="DMV"/>
    <x v="369"/>
    <n v="20"/>
    <n v="50"/>
    <n v="45.77"/>
    <n v="4.2300000000000004"/>
    <n v="0"/>
    <d v="2025-09-28T02:12:48"/>
    <s v="https://etrain.info/train/Kamrup-Express-15960/history?d=1y"/>
    <n v="1737"/>
    <x v="12"/>
  </r>
  <r>
    <x v="87"/>
    <s v="Kamrup Express"/>
    <s v="DPU"/>
    <x v="370"/>
    <m/>
    <n v="38.08"/>
    <n v="56.92"/>
    <n v="5"/>
    <n v="0"/>
    <d v="2025-09-28T02:12:50"/>
    <s v="https://etrain.info/train/Kamrup-Express-15960/history?d=1y"/>
    <n v="1738"/>
    <x v="13"/>
  </r>
  <r>
    <x v="87"/>
    <s v="Kamrup Express"/>
    <s v="LMG"/>
    <x v="371"/>
    <n v="23"/>
    <n v="50"/>
    <n v="44.62"/>
    <n v="5.38"/>
    <n v="0"/>
    <d v="2025-09-28T02:12:54"/>
    <s v="https://etrain.info/train/Kamrup-Express-15960/history?d=1y"/>
    <n v="1739"/>
    <x v="14"/>
  </r>
  <r>
    <x v="87"/>
    <s v="Kamrup Express"/>
    <s v="LKA"/>
    <x v="456"/>
    <n v="19"/>
    <n v="56.92"/>
    <n v="37.31"/>
    <n v="5.77"/>
    <n v="0"/>
    <d v="2025-09-28T02:12:57"/>
    <s v="https://etrain.info/train/Kamrup-Express-15960/history?d=1y"/>
    <n v="1740"/>
    <x v="15"/>
  </r>
  <r>
    <x v="87"/>
    <s v="Kamrup Express"/>
    <s v="HJI"/>
    <x v="455"/>
    <n v="21"/>
    <n v="53.85"/>
    <n v="40"/>
    <n v="6.15"/>
    <n v="0"/>
    <d v="2025-09-28T02:13:01"/>
    <s v="https://etrain.info/train/Kamrup-Express-15960/history?d=1y"/>
    <n v="1741"/>
    <x v="16"/>
  </r>
  <r>
    <x v="87"/>
    <s v="Kamrup Express"/>
    <s v="CPK"/>
    <x v="372"/>
    <n v="25"/>
    <n v="45.77"/>
    <n v="46.54"/>
    <n v="7.69"/>
    <n v="0"/>
    <d v="2025-09-28T02:13:05"/>
    <s v="https://etrain.info/train/Kamrup-Express-15960/history?d=1y"/>
    <n v="1742"/>
    <x v="17"/>
  </r>
  <r>
    <x v="87"/>
    <s v="Kamrup Express"/>
    <s v="GHY"/>
    <x v="289"/>
    <m/>
    <n v="35.770000000000003"/>
    <n v="50.38"/>
    <n v="13.85"/>
    <n v="0"/>
    <d v="2025-09-28T02:13:08"/>
    <s v="https://etrain.info/train/Kamrup-Express-15960/history?d=1y"/>
    <n v="1743"/>
    <x v="18"/>
  </r>
  <r>
    <x v="87"/>
    <s v="Kamrup Express"/>
    <s v="KYQ"/>
    <x v="288"/>
    <n v="35"/>
    <n v="33.46"/>
    <n v="51.92"/>
    <n v="14.62"/>
    <n v="0"/>
    <d v="2025-09-28T02:13:12"/>
    <s v="https://etrain.info/train/Kamrup-Express-15960/history?d=1y"/>
    <n v="1744"/>
    <x v="19"/>
  </r>
  <r>
    <x v="87"/>
    <s v="Kamrup Express"/>
    <s v="RNY"/>
    <x v="287"/>
    <m/>
    <n v="65.77"/>
    <n v="25.77"/>
    <n v="7.31"/>
    <n v="1.1499999999999999"/>
    <d v="2025-09-28T02:13:14"/>
    <s v="https://etrain.info/train/Kamrup-Express-15960/history?d=1y"/>
    <n v="1745"/>
    <x v="20"/>
  </r>
  <r>
    <x v="87"/>
    <s v="Kamrup Express"/>
    <s v="NLV"/>
    <x v="454"/>
    <n v="23"/>
    <n v="58.08"/>
    <n v="33.08"/>
    <n v="7.69"/>
    <n v="1.1499999999999999"/>
    <d v="2025-09-28T02:13:16"/>
    <s v="https://etrain.info/train/Kamrup-Express-15960/history?d=1y"/>
    <n v="1746"/>
    <x v="21"/>
  </r>
  <r>
    <x v="87"/>
    <s v="Kamrup Express"/>
    <s v="TIHU"/>
    <x v="453"/>
    <n v="26"/>
    <n v="48.08"/>
    <n v="40.770000000000003"/>
    <n v="10"/>
    <n v="1.1499999999999999"/>
    <d v="2025-09-28T02:13:17"/>
    <s v="https://etrain.info/train/Kamrup-Express-15960/history?d=1y"/>
    <n v="1747"/>
    <x v="22"/>
  </r>
  <r>
    <x v="87"/>
    <s v="Kamrup Express"/>
    <s v="PBL"/>
    <x v="452"/>
    <n v="30"/>
    <n v="36.54"/>
    <n v="50.38"/>
    <n v="11.92"/>
    <n v="1.1599999999999999"/>
    <d v="2025-09-28T02:13:19"/>
    <s v="https://etrain.info/train/Kamrup-Express-15960/history?d=1y"/>
    <n v="1748"/>
    <x v="23"/>
  </r>
  <r>
    <x v="87"/>
    <s v="Kamrup Express"/>
    <s v="BPRD"/>
    <x v="286"/>
    <n v="31"/>
    <n v="36.92"/>
    <n v="49.62"/>
    <n v="12.31"/>
    <n v="1.1499999999999999"/>
    <d v="2025-09-28T02:13:20"/>
    <s v="https://etrain.info/train/Kamrup-Express-15960/history?d=1y"/>
    <n v="1749"/>
    <x v="24"/>
  </r>
  <r>
    <x v="87"/>
    <s v="Kamrup Express"/>
    <s v="SBE"/>
    <x v="451"/>
    <n v="35"/>
    <n v="27.69"/>
    <n v="56.92"/>
    <n v="14.23"/>
    <n v="1.1599999999999999"/>
    <d v="2025-09-28T02:13:22"/>
    <s v="https://etrain.info/train/Kamrup-Express-15960/history?d=1y"/>
    <n v="1750"/>
    <x v="25"/>
  </r>
  <r>
    <x v="87"/>
    <s v="Kamrup Express"/>
    <s v="BNGN"/>
    <x v="450"/>
    <n v="41"/>
    <n v="17.690000000000001"/>
    <n v="63.08"/>
    <n v="18.079999999999998"/>
    <n v="1.1499999999999999"/>
    <d v="2025-09-28T02:13:23"/>
    <s v="https://etrain.info/train/Kamrup-Express-15960/history?d=1y"/>
    <n v="1751"/>
    <x v="26"/>
  </r>
  <r>
    <x v="87"/>
    <s v="Kamrup Express"/>
    <s v="NBQ"/>
    <x v="285"/>
    <n v="28"/>
    <n v="59.62"/>
    <n v="25.38"/>
    <n v="15"/>
    <n v="0"/>
    <d v="2025-09-28T02:13:27"/>
    <s v="https://etrain.info/train/Kamrup-Express-15960/history?d=1y"/>
    <n v="1752"/>
    <x v="27"/>
  </r>
  <r>
    <x v="87"/>
    <s v="Kamrup Express"/>
    <s v="KOJ"/>
    <x v="284"/>
    <n v="32"/>
    <n v="53.08"/>
    <n v="30"/>
    <n v="16.920000000000002"/>
    <n v="0"/>
    <d v="2025-09-28T02:13:28"/>
    <s v="https://etrain.info/train/Kamrup-Express-15960/history?d=1y"/>
    <n v="1753"/>
    <x v="28"/>
  </r>
  <r>
    <x v="87"/>
    <s v="Kamrup Express"/>
    <s v="FKM"/>
    <x v="449"/>
    <n v="35"/>
    <n v="49.23"/>
    <n v="33.08"/>
    <n v="17.690000000000001"/>
    <n v="0"/>
    <d v="2025-09-28T02:13:32"/>
    <s v="https://etrain.info/train/Kamrup-Express-15960/history?d=1y"/>
    <n v="1754"/>
    <x v="29"/>
  </r>
  <r>
    <x v="87"/>
    <s v="Kamrup Express"/>
    <s v="GOGH"/>
    <x v="448"/>
    <n v="11"/>
    <n v="1.1499999999999999"/>
    <n v="0.38"/>
    <n v="0"/>
    <n v="98.47"/>
    <d v="2025-09-28T02:13:33"/>
    <s v="https://etrain.info/train/Kamrup-Express-15960/history?d=1y"/>
    <n v="1755"/>
    <x v="30"/>
  </r>
  <r>
    <x v="87"/>
    <s v="Kamrup Express"/>
    <s v="KAMG"/>
    <x v="447"/>
    <n v="39"/>
    <n v="40"/>
    <n v="40.770000000000003"/>
    <n v="18.850000000000001"/>
    <n v="0.38"/>
    <d v="2025-09-28T02:13:35"/>
    <s v="https://etrain.info/train/Kamrup-Express-15960/history?d=1y"/>
    <n v="1756"/>
    <x v="31"/>
  </r>
  <r>
    <x v="87"/>
    <s v="Kamrup Express"/>
    <s v="NOQ"/>
    <x v="283"/>
    <n v="37"/>
    <n v="44.62"/>
    <n v="36.15"/>
    <n v="18.46"/>
    <n v="0.77"/>
    <d v="2025-09-28T02:13:37"/>
    <s v="https://etrain.info/train/Kamrup-Express-15960/history?d=1y"/>
    <n v="1757"/>
    <x v="32"/>
  </r>
  <r>
    <x v="87"/>
    <s v="Kamrup Express"/>
    <s v="NCB"/>
    <x v="282"/>
    <n v="43"/>
    <n v="36.15"/>
    <n v="42.69"/>
    <n v="21.15"/>
    <n v="0.01"/>
    <d v="2025-09-28T02:13:38"/>
    <s v="https://etrain.info/train/Kamrup-Express-15960/history?d=1y"/>
    <n v="1758"/>
    <x v="33"/>
  </r>
  <r>
    <x v="87"/>
    <s v="Kamrup Express"/>
    <s v="FLK"/>
    <x v="446"/>
    <m/>
    <n v="16.149999999999999"/>
    <n v="58.85"/>
    <n v="24.62"/>
    <n v="0.38"/>
    <d v="2025-09-28T02:13:41"/>
    <s v="https://etrain.info/train/Kamrup-Express-15960/history?d=1y"/>
    <n v="1759"/>
    <x v="34"/>
  </r>
  <r>
    <x v="87"/>
    <s v="Kamrup Express"/>
    <s v="DQG"/>
    <x v="281"/>
    <n v="46"/>
    <n v="28.46"/>
    <n v="49.23"/>
    <n v="21.92"/>
    <n v="0.39"/>
    <d v="2025-09-28T02:13:42"/>
    <s v="https://etrain.info/train/Kamrup-Express-15960/history?d=1y"/>
    <n v="1760"/>
    <x v="35"/>
  </r>
  <r>
    <x v="87"/>
    <s v="Kamrup Express"/>
    <s v="NMX"/>
    <x v="445"/>
    <n v="46"/>
    <n v="27.69"/>
    <n v="48.08"/>
    <n v="23.85"/>
    <n v="0.38"/>
    <d v="2025-09-28T02:13:43"/>
    <s v="https://etrain.info/train/Kamrup-Express-15960/history?d=1y"/>
    <n v="1761"/>
    <x v="36"/>
  </r>
  <r>
    <x v="87"/>
    <s v="Kamrup Express"/>
    <s v="JPE"/>
    <x v="280"/>
    <n v="48"/>
    <n v="24.23"/>
    <n v="51.54"/>
    <n v="24.23"/>
    <n v="0"/>
    <d v="2025-09-28T02:13:47"/>
    <s v="https://etrain.info/train/Kamrup-Express-15960/history?d=1y"/>
    <n v="1762"/>
    <x v="37"/>
  </r>
  <r>
    <x v="87"/>
    <s v="Kamrup Express"/>
    <s v="NJP"/>
    <x v="133"/>
    <n v="28"/>
    <n v="66.540000000000006"/>
    <n v="18.46"/>
    <n v="15"/>
    <n v="0"/>
    <d v="2025-09-28T02:13:51"/>
    <s v="https://etrain.info/train/Kamrup-Express-15960/history?d=1y"/>
    <n v="1763"/>
    <x v="38"/>
  </r>
  <r>
    <x v="87"/>
    <s v="Kamrup Express"/>
    <s v="AUB"/>
    <x v="444"/>
    <n v="36"/>
    <n v="55"/>
    <n v="26.54"/>
    <n v="18.46"/>
    <n v="0"/>
    <d v="2025-09-28T02:13:52"/>
    <s v="https://etrain.info/train/Kamrup-Express-15960/history?d=1y"/>
    <n v="1764"/>
    <x v="39"/>
  </r>
  <r>
    <x v="87"/>
    <s v="Kamrup Express"/>
    <s v="KNE"/>
    <x v="132"/>
    <n v="37"/>
    <n v="54.62"/>
    <n v="26.54"/>
    <n v="18.850000000000001"/>
    <n v="0"/>
    <d v="2025-09-28T02:13:56"/>
    <s v="https://etrain.info/train/Kamrup-Express-15960/history?d=1y"/>
    <n v="1765"/>
    <x v="40"/>
  </r>
  <r>
    <x v="87"/>
    <s v="Kamrup Express"/>
    <s v="BOE"/>
    <x v="131"/>
    <n v="15"/>
    <n v="1.1499999999999999"/>
    <n v="0.77"/>
    <n v="0"/>
    <n v="98.08"/>
    <d v="2025-09-28T02:13:58"/>
    <s v="https://etrain.info/train/Kamrup-Express-15960/history?d=1y"/>
    <n v="1766"/>
    <x v="41"/>
  </r>
  <r>
    <x v="87"/>
    <s v="Kamrup Express"/>
    <s v="HCR"/>
    <x v="443"/>
    <m/>
    <n v="33.46"/>
    <n v="44.62"/>
    <n v="21.92"/>
    <n v="0"/>
    <d v="2025-09-28T02:14:00"/>
    <s v="https://etrain.info/train/Kamrup-Express-15960/history?d=1y"/>
    <n v="1767"/>
    <x v="42"/>
  </r>
  <r>
    <x v="87"/>
    <s v="Kamrup Express"/>
    <s v="SM"/>
    <x v="442"/>
    <n v="49"/>
    <n v="28.08"/>
    <n v="48.46"/>
    <n v="23.46"/>
    <n v="0"/>
    <d v="2025-09-28T02:14:02"/>
    <s v="https://etrain.info/train/Kamrup-Express-15960/history?d=1y"/>
    <n v="1768"/>
    <x v="43"/>
  </r>
  <r>
    <x v="87"/>
    <s v="Kamrup Express"/>
    <s v="MLDT"/>
    <x v="130"/>
    <n v="36"/>
    <n v="66.92"/>
    <n v="8.85"/>
    <n v="24.23"/>
    <n v="0"/>
    <d v="2025-09-28T02:14:06"/>
    <s v="https://etrain.info/train/Kamrup-Express-15960/history?d=1y"/>
    <n v="1769"/>
    <x v="44"/>
  </r>
  <r>
    <x v="87"/>
    <s v="Kamrup Express"/>
    <s v="NFK"/>
    <x v="279"/>
    <n v="37"/>
    <n v="64.62"/>
    <n v="10.77"/>
    <n v="24.62"/>
    <n v="0"/>
    <d v="2025-09-28T02:14:09"/>
    <s v="https://etrain.info/train/Kamrup-Express-15960/history?d=1y"/>
    <n v="1770"/>
    <x v="45"/>
  </r>
  <r>
    <x v="87"/>
    <s v="Kamrup Express"/>
    <s v="DGLE"/>
    <x v="441"/>
    <n v="37"/>
    <n v="64.23"/>
    <n v="11.15"/>
    <n v="24.62"/>
    <n v="0"/>
    <d v="2025-09-28T02:14:13"/>
    <s v="https://etrain.info/train/Kamrup-Express-15960/history?d=1y"/>
    <n v="1771"/>
    <x v="46"/>
  </r>
  <r>
    <x v="87"/>
    <s v="Kamrup Express"/>
    <s v="NILE"/>
    <x v="440"/>
    <n v="40"/>
    <n v="61.15"/>
    <n v="13.85"/>
    <n v="25"/>
    <n v="0"/>
    <d v="2025-09-28T02:14:15"/>
    <s v="https://etrain.info/train/Kamrup-Express-15960/history?d=1y"/>
    <n v="1772"/>
    <x v="47"/>
  </r>
  <r>
    <x v="87"/>
    <s v="Kamrup Express"/>
    <s v="JRLE"/>
    <x v="439"/>
    <n v="41"/>
    <n v="58.85"/>
    <n v="16.54"/>
    <n v="24.62"/>
    <n v="0"/>
    <d v="2025-09-28T02:14:18"/>
    <s v="https://etrain.info/train/Kamrup-Express-15960/history?d=1y"/>
    <n v="1773"/>
    <x v="48"/>
  </r>
  <r>
    <x v="87"/>
    <s v="Kamrup Express"/>
    <s v="AZ"/>
    <x v="438"/>
    <n v="33"/>
    <n v="68.459999999999994"/>
    <n v="8.4600000000000009"/>
    <n v="23.08"/>
    <n v="0"/>
    <d v="2025-09-28T02:14:22"/>
    <s v="https://etrain.info/train/Kamrup-Express-15960/history?d=1y"/>
    <n v="1774"/>
    <x v="49"/>
  </r>
  <r>
    <x v="87"/>
    <s v="Kamrup Express"/>
    <s v="KGLE"/>
    <x v="437"/>
    <n v="38"/>
    <n v="66.150000000000006"/>
    <n v="8.85"/>
    <n v="25"/>
    <n v="0"/>
    <d v="2025-09-28T02:14:26"/>
    <s v="https://etrain.info/train/Kamrup-Express-15960/history?d=1y"/>
    <n v="1775"/>
    <x v="50"/>
  </r>
  <r>
    <x v="87"/>
    <s v="Kamrup Express"/>
    <s v="SALE"/>
    <x v="436"/>
    <n v="45"/>
    <n v="50"/>
    <n v="23.85"/>
    <n v="26.15"/>
    <n v="0"/>
    <d v="2025-09-28T02:14:28"/>
    <s v="https://etrain.info/train/Kamrup-Express-15960/history?d=1y"/>
    <n v="1776"/>
    <x v="51"/>
  </r>
  <r>
    <x v="87"/>
    <s v="Kamrup Express"/>
    <s v="KWAE"/>
    <x v="435"/>
    <m/>
    <n v="65.77"/>
    <n v="10.38"/>
    <n v="23.85"/>
    <n v="0"/>
    <d v="2025-09-28T02:14:30"/>
    <s v="https://etrain.info/train/Kamrup-Express-15960/history?d=1y"/>
    <n v="1777"/>
    <x v="52"/>
  </r>
  <r>
    <x v="87"/>
    <s v="Kamrup Express"/>
    <s v="NDAE"/>
    <x v="434"/>
    <n v="36"/>
    <n v="65.38"/>
    <n v="12.69"/>
    <n v="21.92"/>
    <n v="0.01"/>
    <d v="2025-09-28T02:14:32"/>
    <s v="https://etrain.info/train/Kamrup-Express-15960/history?d=1y"/>
    <n v="1778"/>
    <x v="53"/>
  </r>
  <r>
    <x v="87"/>
    <s v="Kamrup Express"/>
    <s v="ABKA"/>
    <x v="433"/>
    <n v="38"/>
    <n v="63.85"/>
    <n v="13.08"/>
    <n v="23.08"/>
    <n v="0"/>
    <d v="2025-09-28T02:14:35"/>
    <s v="https://etrain.info/train/Kamrup-Express-15960/history?d=1y"/>
    <n v="1779"/>
    <x v="54"/>
  </r>
  <r>
    <x v="87"/>
    <s v="Kamrup Express"/>
    <s v="BDC"/>
    <x v="432"/>
    <n v="38"/>
    <n v="49.62"/>
    <n v="32.31"/>
    <n v="18.079999999999998"/>
    <n v="0"/>
    <d v="2025-09-28T02:14:39"/>
    <s v="https://etrain.info/train/Kamrup-Express-15960/history?d=1y"/>
    <n v="1780"/>
    <x v="55"/>
  </r>
  <r>
    <x v="87"/>
    <s v="Kamrup Express"/>
    <s v="HWH"/>
    <x v="42"/>
    <n v="5"/>
    <n v="79.62"/>
    <n v="8.4600000000000009"/>
    <n v="11.92"/>
    <n v="0"/>
    <d v="2025-09-28T02:14:43"/>
    <s v="https://etrain.info/train/Kamrup-Express-15960/history?d=1y"/>
    <n v="1781"/>
    <x v="56"/>
  </r>
  <r>
    <x v="88"/>
    <s v="Garib Rath"/>
    <s v="LTT"/>
    <x v="204"/>
    <n v="4"/>
    <n v="87.5"/>
    <n v="12.5"/>
    <n v="0"/>
    <n v="0"/>
    <d v="2025-09-28T02:14:49"/>
    <s v="https://etrain.info/train/Garib-Rath-12201/history?d=1y"/>
    <n v="1782"/>
    <x v="0"/>
  </r>
  <r>
    <x v="88"/>
    <s v="Garib Rath"/>
    <s v="TNA"/>
    <x v="165"/>
    <n v="11"/>
    <n v="87.5"/>
    <n v="12.5"/>
    <n v="0"/>
    <n v="0"/>
    <d v="2025-09-28T02:14:51"/>
    <s v="https://etrain.info/train/Garib-Rath-12201/history?d=1y"/>
    <n v="1783"/>
    <x v="1"/>
  </r>
  <r>
    <x v="88"/>
    <s v="Garib Rath"/>
    <s v="PNVL"/>
    <x v="466"/>
    <n v="13"/>
    <n v="62.5"/>
    <n v="37.5"/>
    <n v="0"/>
    <n v="0"/>
    <d v="2025-09-28T02:14:53"/>
    <s v="https://etrain.info/train/Garib-Rath-12201/history?d=1y"/>
    <n v="1784"/>
    <x v="2"/>
  </r>
  <r>
    <x v="88"/>
    <s v="Garib Rath"/>
    <s v="RN"/>
    <x v="467"/>
    <n v="58"/>
    <n v="12.5"/>
    <n v="37.5"/>
    <n v="50"/>
    <n v="0"/>
    <d v="2025-09-28T02:14:54"/>
    <s v="https://etrain.info/train/Garib-Rath-12201/history?d=1y"/>
    <n v="1785"/>
    <x v="3"/>
  </r>
  <r>
    <x v="88"/>
    <s v="Garib Rath"/>
    <s v="MAO"/>
    <x v="468"/>
    <n v="41"/>
    <n v="37.5"/>
    <n v="37.5"/>
    <n v="25"/>
    <n v="0"/>
    <d v="2025-09-28T02:14:56"/>
    <s v="https://etrain.info/train/Garib-Rath-12201/history?d=1y"/>
    <n v="1786"/>
    <x v="4"/>
  </r>
  <r>
    <x v="88"/>
    <s v="Garib Rath"/>
    <s v="KAWR"/>
    <x v="469"/>
    <n v="51"/>
    <n v="37.5"/>
    <n v="25"/>
    <n v="37.5"/>
    <n v="0"/>
    <d v="2025-09-28T02:14:57"/>
    <s v="https://etrain.info/train/Garib-Rath-12201/history?d=1y"/>
    <n v="1787"/>
    <x v="5"/>
  </r>
  <r>
    <x v="88"/>
    <s v="Garib Rath"/>
    <s v="ANKL"/>
    <x v="470"/>
    <n v="53"/>
    <n v="37.5"/>
    <n v="25"/>
    <n v="37.5"/>
    <n v="0"/>
    <d v="2025-09-28T02:14:59"/>
    <s v="https://etrain.info/train/Garib-Rath-12201/history?d=1y"/>
    <n v="1788"/>
    <x v="6"/>
  </r>
  <r>
    <x v="88"/>
    <s v="Garib Rath"/>
    <s v="BYNR"/>
    <x v="471"/>
    <n v="20"/>
    <n v="50"/>
    <n v="37.5"/>
    <n v="12.5"/>
    <n v="0"/>
    <d v="2025-09-28T02:15:00"/>
    <s v="https://etrain.info/train/Garib-Rath-12201/history?d=1y"/>
    <n v="1789"/>
    <x v="7"/>
  </r>
  <r>
    <x v="88"/>
    <s v="Garib Rath"/>
    <s v="UD"/>
    <x v="472"/>
    <n v="24"/>
    <n v="50"/>
    <n v="37.5"/>
    <n v="12.5"/>
    <n v="0"/>
    <d v="2025-09-28T02:15:02"/>
    <s v="https://etrain.info/train/Garib-Rath-12201/history?d=1y"/>
    <n v="1790"/>
    <x v="8"/>
  </r>
  <r>
    <x v="88"/>
    <s v="Garib Rath"/>
    <s v="MAJN"/>
    <x v="473"/>
    <m/>
    <n v="75"/>
    <n v="12.5"/>
    <n v="12.5"/>
    <n v="0"/>
    <d v="2025-09-28T02:15:04"/>
    <s v="https://etrain.info/train/Garib-Rath-12201/history?d=1y"/>
    <n v="1791"/>
    <x v="9"/>
  </r>
  <r>
    <x v="88"/>
    <s v="Garib Rath"/>
    <s v="KGQ"/>
    <x v="474"/>
    <n v="23"/>
    <n v="75"/>
    <n v="12.5"/>
    <n v="12.5"/>
    <n v="0"/>
    <d v="2025-09-28T02:15:05"/>
    <s v="https://etrain.info/train/Garib-Rath-12201/history?d=1y"/>
    <n v="1792"/>
    <x v="10"/>
  </r>
  <r>
    <x v="88"/>
    <s v="Garib Rath"/>
    <s v="CAN"/>
    <x v="475"/>
    <n v="26"/>
    <n v="50"/>
    <n v="37.5"/>
    <n v="12.5"/>
    <n v="0"/>
    <d v="2025-09-28T02:15:07"/>
    <s v="https://etrain.info/train/Garib-Rath-12201/history?d=1y"/>
    <n v="1793"/>
    <x v="11"/>
  </r>
  <r>
    <x v="88"/>
    <s v="Garib Rath"/>
    <s v="CLT"/>
    <x v="476"/>
    <n v="18"/>
    <n v="75"/>
    <n v="12.5"/>
    <n v="12.5"/>
    <n v="0"/>
    <d v="2025-09-28T02:15:09"/>
    <s v="https://etrain.info/train/Garib-Rath-12201/history?d=1y"/>
    <n v="1794"/>
    <x v="12"/>
  </r>
  <r>
    <x v="88"/>
    <s v="Garib Rath"/>
    <s v="TIR"/>
    <x v="477"/>
    <n v="23"/>
    <n v="50"/>
    <n v="37.5"/>
    <n v="12.5"/>
    <n v="0"/>
    <d v="2025-09-28T02:15:10"/>
    <s v="https://etrain.info/train/Garib-Rath-12201/history?d=1y"/>
    <n v="1795"/>
    <x v="13"/>
  </r>
  <r>
    <x v="88"/>
    <s v="Garib Rath"/>
    <s v="SRR"/>
    <x v="478"/>
    <n v="21"/>
    <n v="75"/>
    <n v="12.5"/>
    <n v="12.5"/>
    <n v="0"/>
    <d v="2025-09-28T02:15:12"/>
    <s v="https://etrain.info/train/Garib-Rath-12201/history?d=1y"/>
    <n v="1796"/>
    <x v="14"/>
  </r>
  <r>
    <x v="88"/>
    <s v="Garib Rath"/>
    <s v="TCR"/>
    <x v="112"/>
    <n v="21"/>
    <n v="75"/>
    <n v="12.5"/>
    <n v="12.5"/>
    <n v="0"/>
    <d v="2025-09-28T02:15:14"/>
    <s v="https://etrain.info/train/Garib-Rath-12201/history?d=1y"/>
    <n v="1797"/>
    <x v="15"/>
  </r>
  <r>
    <x v="88"/>
    <s v="Garib Rath"/>
    <s v="ERN"/>
    <x v="110"/>
    <m/>
    <n v="62.5"/>
    <n v="25"/>
    <n v="12.5"/>
    <n v="0"/>
    <d v="2025-09-28T02:15:16"/>
    <s v="https://etrain.info/train/Garib-Rath-12201/history?d=1y"/>
    <n v="1798"/>
    <x v="16"/>
  </r>
  <r>
    <x v="88"/>
    <s v="Garib Rath"/>
    <s v="KTYM"/>
    <x v="108"/>
    <n v="20"/>
    <n v="75"/>
    <n v="12.5"/>
    <n v="12.5"/>
    <n v="0"/>
    <d v="2025-09-28T02:15:17"/>
    <s v="https://etrain.info/train/Garib-Rath-12201/history?d=1y"/>
    <n v="1799"/>
    <x v="17"/>
  </r>
  <r>
    <x v="88"/>
    <s v="Garib Rath"/>
    <s v="CGY"/>
    <x v="107"/>
    <n v="20"/>
    <n v="75"/>
    <n v="12.5"/>
    <n v="12.5"/>
    <n v="0"/>
    <d v="2025-09-28T02:15:19"/>
    <s v="https://etrain.info/train/Garib-Rath-12201/history?d=1y"/>
    <n v="1800"/>
    <x v="18"/>
  </r>
  <r>
    <x v="88"/>
    <s v="Garib Rath"/>
    <s v="TRVL"/>
    <x v="106"/>
    <m/>
    <n v="75"/>
    <n v="12.5"/>
    <n v="12.5"/>
    <n v="0"/>
    <d v="2025-09-28T02:15:21"/>
    <s v="https://etrain.info/train/Garib-Rath-12201/history?d=1y"/>
    <n v="1801"/>
    <x v="19"/>
  </r>
  <r>
    <x v="88"/>
    <s v="Garib Rath"/>
    <s v="CNGR"/>
    <x v="105"/>
    <m/>
    <n v="75"/>
    <n v="12.5"/>
    <n v="12.5"/>
    <n v="0"/>
    <d v="2025-09-28T02:15:23"/>
    <s v="https://etrain.info/train/Garib-Rath-12201/history?d=1y"/>
    <n v="1802"/>
    <x v="20"/>
  </r>
  <r>
    <x v="88"/>
    <s v="Garib Rath"/>
    <s v="KYJ"/>
    <x v="103"/>
    <n v="22"/>
    <n v="75"/>
    <n v="12.5"/>
    <n v="12.5"/>
    <n v="0"/>
    <d v="2025-09-28T02:15:25"/>
    <s v="https://etrain.info/train/Garib-Rath-12201/history?d=1y"/>
    <n v="1803"/>
    <x v="21"/>
  </r>
  <r>
    <x v="88"/>
    <s v="Garib Rath"/>
    <s v="QLN"/>
    <x v="102"/>
    <m/>
    <n v="62.5"/>
    <n v="25"/>
    <n v="12.5"/>
    <n v="0"/>
    <d v="2025-09-28T02:15:27"/>
    <s v="https://etrain.info/train/Garib-Rath-12201/history?d=1y"/>
    <n v="1804"/>
    <x v="22"/>
  </r>
  <r>
    <x v="88"/>
    <s v="Garib Rath"/>
    <s v="TVCN"/>
    <x v="479"/>
    <m/>
    <n v="87.5"/>
    <n v="12.5"/>
    <n v="0"/>
    <n v="0"/>
    <d v="2025-09-28T02:15:29"/>
    <s v="https://etrain.info/train/Garib-Rath-12201/history?d=1y"/>
    <n v="1805"/>
    <x v="23"/>
  </r>
  <r>
    <x v="89"/>
    <s v="Garib Rath"/>
    <s v="TVCN"/>
    <x v="479"/>
    <n v="1"/>
    <n v="100"/>
    <n v="0"/>
    <n v="0"/>
    <n v="0"/>
    <d v="2025-09-28T02:15:36"/>
    <s v="https://etrain.info/train/Garib-Rath-12202/history?d=1y"/>
    <n v="1806"/>
    <x v="0"/>
  </r>
  <r>
    <x v="89"/>
    <s v="Garib Rath"/>
    <s v="QLN"/>
    <x v="102"/>
    <n v="8"/>
    <n v="88.89"/>
    <n v="11.11"/>
    <n v="0"/>
    <n v="0"/>
    <d v="2025-09-28T02:15:37"/>
    <s v="https://etrain.info/train/Garib-Rath-12202/history?d=1y"/>
    <n v="1807"/>
    <x v="1"/>
  </r>
  <r>
    <x v="89"/>
    <s v="Garib Rath"/>
    <s v="KYJ"/>
    <x v="103"/>
    <n v="12"/>
    <n v="77.78"/>
    <n v="22.22"/>
    <n v="0"/>
    <n v="0"/>
    <d v="2025-09-28T02:15:39"/>
    <s v="https://etrain.info/train/Garib-Rath-12202/history?d=1y"/>
    <n v="1808"/>
    <x v="2"/>
  </r>
  <r>
    <x v="89"/>
    <s v="Garib Rath"/>
    <s v="CNGR"/>
    <x v="105"/>
    <n v="14"/>
    <n v="66.67"/>
    <n v="33.33"/>
    <n v="0"/>
    <n v="0"/>
    <d v="2025-09-28T02:15:41"/>
    <s v="https://etrain.info/train/Garib-Rath-12202/history?d=1y"/>
    <n v="1809"/>
    <x v="3"/>
  </r>
  <r>
    <x v="89"/>
    <s v="Garib Rath"/>
    <s v="TRVL"/>
    <x v="106"/>
    <n v="14"/>
    <n v="55.56"/>
    <n v="44.44"/>
    <n v="0"/>
    <n v="0"/>
    <d v="2025-09-28T02:15:43"/>
    <s v="https://etrain.info/train/Garib-Rath-12202/history?d=1y"/>
    <n v="1810"/>
    <x v="4"/>
  </r>
  <r>
    <x v="89"/>
    <s v="Garib Rath"/>
    <s v="CGY"/>
    <x v="107"/>
    <n v="15"/>
    <n v="55.56"/>
    <n v="44.44"/>
    <n v="0"/>
    <n v="0"/>
    <d v="2025-09-28T02:15:45"/>
    <s v="https://etrain.info/train/Garib-Rath-12202/history?d=1y"/>
    <n v="1811"/>
    <x v="5"/>
  </r>
  <r>
    <x v="89"/>
    <s v="Garib Rath"/>
    <s v="KTYM"/>
    <x v="108"/>
    <n v="18"/>
    <n v="33.33"/>
    <n v="66.67"/>
    <n v="0"/>
    <n v="0"/>
    <d v="2025-09-28T02:15:46"/>
    <s v="https://etrain.info/train/Garib-Rath-12202/history?d=1y"/>
    <n v="1812"/>
    <x v="6"/>
  </r>
  <r>
    <x v="89"/>
    <s v="Garib Rath"/>
    <s v="ERN"/>
    <x v="110"/>
    <n v="11"/>
    <n v="66.67"/>
    <n v="33.33"/>
    <n v="0"/>
    <n v="0"/>
    <d v="2025-09-28T02:15:49"/>
    <s v="https://etrain.info/train/Garib-Rath-12202/history?d=1y"/>
    <n v="1813"/>
    <x v="7"/>
  </r>
  <r>
    <x v="89"/>
    <s v="Garib Rath"/>
    <s v="TCR"/>
    <x v="112"/>
    <n v="20"/>
    <n v="44.44"/>
    <n v="55.56"/>
    <n v="0"/>
    <n v="0"/>
    <d v="2025-09-28T02:15:51"/>
    <s v="https://etrain.info/train/Garib-Rath-12202/history?d=1y"/>
    <n v="1814"/>
    <x v="8"/>
  </r>
  <r>
    <x v="89"/>
    <s v="Garib Rath"/>
    <s v="SRR"/>
    <x v="478"/>
    <n v="13"/>
    <n v="55.56"/>
    <n v="44.44"/>
    <n v="0"/>
    <n v="0"/>
    <d v="2025-09-28T02:15:53"/>
    <s v="https://etrain.info/train/Garib-Rath-12202/history?d=1y"/>
    <n v="1815"/>
    <x v="9"/>
  </r>
  <r>
    <x v="89"/>
    <s v="Garib Rath"/>
    <s v="TIR"/>
    <x v="477"/>
    <n v="22"/>
    <n v="22.22"/>
    <n v="77.78"/>
    <n v="0"/>
    <n v="0"/>
    <d v="2025-09-28T02:15:55"/>
    <s v="https://etrain.info/train/Garib-Rath-12202/history?d=1y"/>
    <n v="1816"/>
    <x v="10"/>
  </r>
  <r>
    <x v="89"/>
    <s v="Garib Rath"/>
    <s v="CLT"/>
    <x v="476"/>
    <n v="25"/>
    <n v="11.11"/>
    <n v="88.89"/>
    <n v="0"/>
    <n v="0"/>
    <d v="2025-09-28T02:15:56"/>
    <s v="https://etrain.info/train/Garib-Rath-12202/history?d=1y"/>
    <n v="1817"/>
    <x v="11"/>
  </r>
  <r>
    <x v="89"/>
    <s v="Garib Rath"/>
    <s v="CAN"/>
    <x v="475"/>
    <n v="50"/>
    <n v="0"/>
    <n v="88.89"/>
    <n v="11.11"/>
    <n v="0"/>
    <d v="2025-09-28T02:15:58"/>
    <s v="https://etrain.info/train/Garib-Rath-12202/history?d=1y"/>
    <n v="1818"/>
    <x v="12"/>
  </r>
  <r>
    <x v="89"/>
    <s v="Garib Rath"/>
    <s v="KGQ"/>
    <x v="474"/>
    <n v="55"/>
    <n v="0"/>
    <n v="77.78"/>
    <n v="22.22"/>
    <n v="0"/>
    <d v="2025-09-28T02:16:00"/>
    <s v="https://etrain.info/train/Garib-Rath-12202/history?d=1y"/>
    <n v="1819"/>
    <x v="13"/>
  </r>
  <r>
    <x v="89"/>
    <s v="Garib Rath"/>
    <s v="MAJN"/>
    <x v="473"/>
    <n v="34"/>
    <n v="0"/>
    <n v="88.89"/>
    <n v="11.11"/>
    <n v="0"/>
    <d v="2025-09-28T02:16:01"/>
    <s v="https://etrain.info/train/Garib-Rath-12202/history?d=1y"/>
    <n v="1820"/>
    <x v="14"/>
  </r>
  <r>
    <x v="89"/>
    <s v="Garib Rath"/>
    <s v="UD"/>
    <x v="472"/>
    <n v="44"/>
    <n v="0"/>
    <n v="88.89"/>
    <n v="11.11"/>
    <n v="0"/>
    <d v="2025-09-28T02:16:03"/>
    <s v="https://etrain.info/train/Garib-Rath-12202/history?d=1y"/>
    <n v="1821"/>
    <x v="15"/>
  </r>
  <r>
    <x v="89"/>
    <s v="Garib Rath"/>
    <s v="BYNR"/>
    <x v="471"/>
    <m/>
    <n v="0"/>
    <n v="88.89"/>
    <n v="11.11"/>
    <n v="0"/>
    <d v="2025-09-28T02:16:06"/>
    <s v="https://etrain.info/train/Garib-Rath-12202/history?d=1y"/>
    <n v="1822"/>
    <x v="16"/>
  </r>
  <r>
    <x v="89"/>
    <s v="Garib Rath"/>
    <s v="ANKL"/>
    <x v="470"/>
    <n v="45"/>
    <n v="0"/>
    <n v="66.67"/>
    <n v="33.33"/>
    <n v="0"/>
    <d v="2025-09-28T02:16:07"/>
    <s v="https://etrain.info/train/Garib-Rath-12202/history?d=1y"/>
    <n v="1823"/>
    <x v="17"/>
  </r>
  <r>
    <x v="89"/>
    <s v="Garib Rath"/>
    <s v="KAWR"/>
    <x v="469"/>
    <n v="48"/>
    <n v="0"/>
    <n v="77.78"/>
    <n v="22.22"/>
    <n v="0"/>
    <d v="2025-09-28T02:16:09"/>
    <s v="https://etrain.info/train/Garib-Rath-12202/history?d=1y"/>
    <n v="1824"/>
    <x v="18"/>
  </r>
  <r>
    <x v="89"/>
    <s v="Garib Rath"/>
    <s v="MAO"/>
    <x v="468"/>
    <n v="35"/>
    <n v="11.11"/>
    <n v="77.78"/>
    <n v="11.11"/>
    <n v="0"/>
    <d v="2025-09-28T02:16:11"/>
    <s v="https://etrain.info/train/Garib-Rath-12202/history?d=1y"/>
    <n v="1825"/>
    <x v="19"/>
  </r>
  <r>
    <x v="89"/>
    <s v="Garib Rath"/>
    <s v="RN"/>
    <x v="467"/>
    <n v="66"/>
    <n v="11.11"/>
    <n v="22.22"/>
    <n v="66.67"/>
    <n v="0"/>
    <d v="2025-09-28T02:16:13"/>
    <s v="https://etrain.info/train/Garib-Rath-12202/history?d=1y"/>
    <n v="1826"/>
    <x v="20"/>
  </r>
  <r>
    <x v="89"/>
    <s v="Garib Rath"/>
    <s v="PNVL"/>
    <x v="466"/>
    <n v="41"/>
    <n v="11.11"/>
    <n v="77.78"/>
    <n v="11.11"/>
    <n v="0"/>
    <d v="2025-09-28T02:16:15"/>
    <s v="https://etrain.info/train/Garib-Rath-12202/history?d=1y"/>
    <n v="1827"/>
    <x v="21"/>
  </r>
  <r>
    <x v="89"/>
    <s v="Garib Rath"/>
    <s v="TNA"/>
    <x v="165"/>
    <n v="45"/>
    <n v="11.11"/>
    <n v="66.67"/>
    <n v="22.22"/>
    <n v="0"/>
    <d v="2025-09-28T02:16:16"/>
    <s v="https://etrain.info/train/Garib-Rath-12202/history?d=1y"/>
    <n v="1828"/>
    <x v="22"/>
  </r>
  <r>
    <x v="89"/>
    <s v="Garib Rath"/>
    <s v="LTT"/>
    <x v="204"/>
    <n v="17"/>
    <n v="55.56"/>
    <n v="33.33"/>
    <n v="11.11"/>
    <n v="0"/>
    <d v="2025-09-28T02:16:19"/>
    <s v="https://etrain.info/train/Garib-Rath-12202/history?d=1y"/>
    <n v="1829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93825-E7FD-4D7D-9658-9AB14FD8FD9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25" firstHeaderRow="1" firstDataRow="1" firstDataCol="1"/>
  <pivotFields count="11">
    <pivotField axis="axisRow" showAll="0">
      <items count="92">
        <item x="9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/>
    <pivotField showAll="0"/>
    <pivotField axis="axisRow" showAll="0">
      <items count="482">
        <item x="480"/>
        <item x="224"/>
        <item x="371"/>
        <item x="14"/>
        <item x="61"/>
        <item x="470"/>
        <item x="70"/>
        <item x="373"/>
        <item x="458"/>
        <item x="186"/>
        <item x="434"/>
        <item x="404"/>
        <item x="283"/>
        <item x="341"/>
        <item x="302"/>
        <item x="389"/>
        <item x="309"/>
        <item x="405"/>
        <item x="340"/>
        <item x="310"/>
        <item x="69"/>
        <item x="163"/>
        <item x="12"/>
        <item x="430"/>
        <item x="158"/>
        <item x="318"/>
        <item x="170"/>
        <item x="135"/>
        <item x="419"/>
        <item x="414"/>
        <item x="83"/>
        <item x="448"/>
        <item x="305"/>
        <item x="381"/>
        <item x="97"/>
        <item x="123"/>
        <item x="229"/>
        <item x="262"/>
        <item x="192"/>
        <item x="259"/>
        <item x="113"/>
        <item x="378"/>
        <item x="327"/>
        <item x="19"/>
        <item x="198"/>
        <item x="323"/>
        <item x="251"/>
        <item x="217"/>
        <item x="114"/>
        <item x="228"/>
        <item x="223"/>
        <item x="219"/>
        <item x="403"/>
        <item x="273"/>
        <item x="269"/>
        <item x="463"/>
        <item x="345"/>
        <item x="336"/>
        <item x="446"/>
        <item x="205"/>
        <item x="261"/>
        <item x="218"/>
        <item x="351"/>
        <item x="73"/>
        <item x="94"/>
        <item x="331"/>
        <item x="44"/>
        <item x="35"/>
        <item x="368"/>
        <item x="406"/>
        <item x="56"/>
        <item x="175"/>
        <item x="99"/>
        <item x="178"/>
        <item x="185"/>
        <item x="57"/>
        <item x="77"/>
        <item x="450"/>
        <item x="265"/>
        <item x="308"/>
        <item x="390"/>
        <item x="72"/>
        <item x="258"/>
        <item x="115"/>
        <item x="103"/>
        <item x="171"/>
        <item x="85"/>
        <item x="431"/>
        <item x="112"/>
        <item x="355"/>
        <item x="196"/>
        <item x="78"/>
        <item x="145"/>
        <item x="250"/>
        <item x="315"/>
        <item x="288"/>
        <item x="147"/>
        <item x="125"/>
        <item x="285"/>
        <item x="40"/>
        <item x="312"/>
        <item x="324"/>
        <item x="413"/>
        <item x="278"/>
        <item x="181"/>
        <item x="0"/>
        <item x="304"/>
        <item x="129"/>
        <item x="252"/>
        <item x="106"/>
        <item x="31"/>
        <item x="362"/>
        <item x="343"/>
        <item x="189"/>
        <item x="264"/>
        <item x="95"/>
        <item x="30"/>
        <item x="376"/>
        <item x="107"/>
        <item x="52"/>
        <item x="76"/>
        <item x="225"/>
        <item x="461"/>
        <item x="28"/>
        <item x="1"/>
        <item x="60"/>
        <item x="385"/>
        <item x="271"/>
        <item x="233"/>
        <item x="188"/>
        <item x="245"/>
        <item x="293"/>
        <item x="246"/>
        <item x="23"/>
        <item x="407"/>
        <item x="81"/>
        <item x="314"/>
        <item x="423"/>
        <item x="426"/>
        <item x="150"/>
        <item x="16"/>
        <item x="408"/>
        <item x="386"/>
        <item x="372"/>
        <item x="89"/>
        <item x="105"/>
        <item x="232"/>
        <item x="92"/>
        <item x="387"/>
        <item x="25"/>
        <item x="349"/>
        <item x="101"/>
        <item x="118"/>
        <item x="18"/>
        <item x="216"/>
        <item x="339"/>
        <item x="211"/>
        <item x="330"/>
        <item x="98"/>
        <item x="131"/>
        <item x="411"/>
        <item x="479"/>
        <item x="203"/>
        <item x="11"/>
        <item x="375"/>
        <item x="416"/>
        <item x="247"/>
        <item x="64"/>
        <item x="84"/>
        <item x="456"/>
        <item x="93"/>
        <item x="433"/>
        <item x="382"/>
        <item x="227"/>
        <item x="350"/>
        <item x="17"/>
        <item x="400"/>
        <item x="24"/>
        <item x="75"/>
        <item x="316"/>
        <item x="452"/>
        <item x="432"/>
        <item x="87"/>
        <item x="201"/>
        <item x="374"/>
        <item x="260"/>
        <item x="111"/>
        <item x="359"/>
        <item x="338"/>
        <item x="109"/>
        <item x="270"/>
        <item x="222"/>
        <item x="379"/>
        <item x="165"/>
        <item x="51"/>
        <item x="49"/>
        <item x="160"/>
        <item x="117"/>
        <item x="194"/>
        <item x="428"/>
        <item x="440"/>
        <item x="226"/>
        <item x="26"/>
        <item x="8"/>
        <item x="274"/>
        <item x="388"/>
        <item x="457"/>
        <item x="154"/>
        <item x="167"/>
        <item x="39"/>
        <item x="441"/>
        <item x="364"/>
        <item x="437"/>
        <item x="157"/>
        <item x="96"/>
        <item x="140"/>
        <item x="234"/>
        <item x="212"/>
        <item x="190"/>
        <item x="383"/>
        <item x="53"/>
        <item x="148"/>
        <item x="47"/>
        <item x="50"/>
        <item x="356"/>
        <item x="395"/>
        <item x="195"/>
        <item x="86"/>
        <item x="263"/>
        <item x="90"/>
        <item x="257"/>
        <item x="230"/>
        <item x="36"/>
        <item x="242"/>
        <item x="168"/>
        <item x="303"/>
        <item x="177"/>
        <item x="137"/>
        <item x="240"/>
        <item x="151"/>
        <item x="54"/>
        <item x="122"/>
        <item x="104"/>
        <item x="337"/>
        <item x="144"/>
        <item x="299"/>
        <item x="141"/>
        <item x="6"/>
        <item x="191"/>
        <item x="2"/>
        <item x="425"/>
        <item x="424"/>
        <item x="193"/>
        <item x="27"/>
        <item x="367"/>
        <item x="63"/>
        <item x="399"/>
        <item x="449"/>
        <item x="445"/>
        <item x="179"/>
        <item x="3"/>
        <item x="38"/>
        <item x="221"/>
        <item x="352"/>
        <item x="248"/>
        <item x="442"/>
        <item x="156"/>
        <item x="164"/>
        <item x="294"/>
        <item x="377"/>
        <item x="213"/>
        <item x="268"/>
        <item x="469"/>
        <item x="300"/>
        <item x="301"/>
        <item x="139"/>
        <item x="100"/>
        <item x="116"/>
        <item x="239"/>
        <item x="10"/>
        <item x="466"/>
        <item x="244"/>
        <item x="46"/>
        <item x="62"/>
        <item x="121"/>
        <item x="279"/>
        <item x="347"/>
        <item x="346"/>
        <item x="344"/>
        <item x="290"/>
        <item x="45"/>
        <item x="33"/>
        <item x="459"/>
        <item x="199"/>
        <item x="475"/>
        <item x="169"/>
        <item x="152"/>
        <item x="307"/>
        <item x="65"/>
        <item x="453"/>
        <item x="66"/>
        <item x="80"/>
        <item x="353"/>
        <item x="391"/>
        <item x="68"/>
        <item x="329"/>
        <item x="417"/>
        <item x="436"/>
        <item x="184"/>
        <item x="410"/>
        <item x="398"/>
        <item x="443"/>
        <item x="409"/>
        <item x="421"/>
        <item x="88"/>
        <item x="206"/>
        <item x="119"/>
        <item x="102"/>
        <item x="235"/>
        <item x="311"/>
        <item x="365"/>
        <item x="209"/>
        <item x="272"/>
        <item x="238"/>
        <item x="249"/>
        <item x="58"/>
        <item x="267"/>
        <item x="241"/>
        <item x="394"/>
        <item x="237"/>
        <item x="427"/>
        <item x="320"/>
        <item x="384"/>
        <item x="464"/>
        <item x="476"/>
        <item x="207"/>
        <item x="277"/>
        <item x="444"/>
        <item x="282"/>
        <item x="478"/>
        <item x="370"/>
        <item x="256"/>
        <item x="471"/>
        <item x="42"/>
        <item x="363"/>
        <item x="149"/>
        <item x="215"/>
        <item x="429"/>
        <item x="460"/>
        <item x="465"/>
        <item x="396"/>
        <item x="236"/>
        <item x="166"/>
        <item x="231"/>
        <item x="412"/>
        <item x="136"/>
        <item x="357"/>
        <item x="438"/>
        <item x="197"/>
        <item x="473"/>
        <item x="204"/>
        <item x="162"/>
        <item x="161"/>
        <item x="29"/>
        <item x="418"/>
        <item x="454"/>
        <item x="127"/>
        <item x="7"/>
        <item x="91"/>
        <item x="254"/>
        <item x="332"/>
        <item x="202"/>
        <item x="266"/>
        <item x="79"/>
        <item x="243"/>
        <item x="55"/>
        <item x="82"/>
        <item x="474"/>
        <item x="182"/>
        <item x="328"/>
        <item x="159"/>
        <item x="134"/>
        <item x="126"/>
        <item x="124"/>
        <item x="447"/>
        <item x="369"/>
        <item x="180"/>
        <item x="334"/>
        <item x="361"/>
        <item x="13"/>
        <item x="132"/>
        <item x="468"/>
        <item x="348"/>
        <item x="392"/>
        <item x="15"/>
        <item x="319"/>
        <item x="306"/>
        <item x="380"/>
        <item x="34"/>
        <item x="48"/>
        <item x="325"/>
        <item x="402"/>
        <item x="32"/>
        <item x="214"/>
        <item x="296"/>
        <item x="342"/>
        <item x="176"/>
        <item x="451"/>
        <item x="462"/>
        <item x="200"/>
        <item x="22"/>
        <item x="110"/>
        <item x="326"/>
        <item x="333"/>
        <item x="435"/>
        <item x="298"/>
        <item x="142"/>
        <item x="354"/>
        <item x="401"/>
        <item x="208"/>
        <item x="172"/>
        <item x="21"/>
        <item x="317"/>
        <item x="360"/>
        <item x="393"/>
        <item x="183"/>
        <item x="255"/>
        <item x="415"/>
        <item x="358"/>
        <item x="220"/>
        <item x="71"/>
        <item x="321"/>
        <item x="130"/>
        <item x="37"/>
        <item x="41"/>
        <item x="287"/>
        <item x="187"/>
        <item x="322"/>
        <item x="4"/>
        <item x="143"/>
        <item x="397"/>
        <item x="297"/>
        <item x="291"/>
        <item x="286"/>
        <item x="280"/>
        <item x="439"/>
        <item x="20"/>
        <item x="155"/>
        <item x="128"/>
        <item x="146"/>
        <item x="472"/>
        <item x="120"/>
        <item x="275"/>
        <item x="138"/>
        <item x="284"/>
        <item x="313"/>
        <item x="477"/>
        <item x="153"/>
        <item x="455"/>
        <item x="43"/>
        <item x="59"/>
        <item x="67"/>
        <item x="281"/>
        <item x="422"/>
        <item x="366"/>
        <item x="420"/>
        <item x="74"/>
        <item x="276"/>
        <item x="108"/>
        <item x="174"/>
        <item x="289"/>
        <item x="295"/>
        <item x="253"/>
        <item x="173"/>
        <item x="292"/>
        <item x="5"/>
        <item x="210"/>
        <item x="9"/>
        <item x="335"/>
        <item x="467"/>
        <item x="133"/>
        <item t="default"/>
      </items>
    </pivotField>
    <pivotField dataField="1" showAll="0"/>
    <pivotField showAll="0"/>
    <pivotField showAll="0"/>
    <pivotField showAll="0"/>
    <pivotField showAll="0"/>
    <pivotField numFmtId="22" showAll="0"/>
    <pivotField showAll="0"/>
  </pivotFields>
  <rowFields count="2">
    <field x="0"/>
    <field x="3"/>
  </rowFields>
  <rowItems count="1922">
    <i>
      <x/>
    </i>
    <i r="1">
      <x/>
    </i>
    <i>
      <x v="1"/>
    </i>
    <i r="1">
      <x v="3"/>
    </i>
    <i r="1">
      <x v="22"/>
    </i>
    <i r="1">
      <x v="43"/>
    </i>
    <i r="1">
      <x v="105"/>
    </i>
    <i r="1">
      <x v="123"/>
    </i>
    <i r="1">
      <x v="124"/>
    </i>
    <i r="1">
      <x v="133"/>
    </i>
    <i r="1">
      <x v="140"/>
    </i>
    <i r="1">
      <x v="149"/>
    </i>
    <i r="1">
      <x v="153"/>
    </i>
    <i r="1">
      <x v="163"/>
    </i>
    <i r="1">
      <x v="175"/>
    </i>
    <i r="1">
      <x v="177"/>
    </i>
    <i r="1">
      <x v="202"/>
    </i>
    <i r="1">
      <x v="203"/>
    </i>
    <i r="1">
      <x v="247"/>
    </i>
    <i r="1">
      <x v="249"/>
    </i>
    <i r="1">
      <x v="253"/>
    </i>
    <i r="1">
      <x v="260"/>
    </i>
    <i r="1">
      <x v="279"/>
    </i>
    <i r="1">
      <x v="363"/>
    </i>
    <i r="1">
      <x v="367"/>
    </i>
    <i r="1">
      <x v="389"/>
    </i>
    <i r="1">
      <x v="394"/>
    </i>
    <i r="1">
      <x v="410"/>
    </i>
    <i r="1">
      <x v="421"/>
    </i>
    <i r="1">
      <x v="438"/>
    </i>
    <i r="1">
      <x v="446"/>
    </i>
    <i r="1">
      <x v="475"/>
    </i>
    <i r="1">
      <x v="477"/>
    </i>
    <i>
      <x v="2"/>
    </i>
    <i r="1">
      <x v="3"/>
    </i>
    <i r="1">
      <x v="22"/>
    </i>
    <i r="1">
      <x v="43"/>
    </i>
    <i r="1">
      <x v="105"/>
    </i>
    <i r="1">
      <x v="116"/>
    </i>
    <i r="1">
      <x v="123"/>
    </i>
    <i r="1">
      <x v="124"/>
    </i>
    <i r="1">
      <x v="133"/>
    </i>
    <i r="1">
      <x v="140"/>
    </i>
    <i r="1">
      <x v="149"/>
    </i>
    <i r="1">
      <x v="153"/>
    </i>
    <i r="1">
      <x v="163"/>
    </i>
    <i r="1">
      <x v="175"/>
    </i>
    <i r="1">
      <x v="177"/>
    </i>
    <i r="1">
      <x v="202"/>
    </i>
    <i r="1">
      <x v="203"/>
    </i>
    <i r="1">
      <x v="247"/>
    </i>
    <i r="1">
      <x v="249"/>
    </i>
    <i r="1">
      <x v="253"/>
    </i>
    <i r="1">
      <x v="260"/>
    </i>
    <i r="1">
      <x v="279"/>
    </i>
    <i r="1">
      <x v="363"/>
    </i>
    <i r="1">
      <x v="367"/>
    </i>
    <i r="1">
      <x v="389"/>
    </i>
    <i r="1">
      <x v="394"/>
    </i>
    <i r="1">
      <x v="410"/>
    </i>
    <i r="1">
      <x v="421"/>
    </i>
    <i r="1">
      <x v="438"/>
    </i>
    <i r="1">
      <x v="446"/>
    </i>
    <i r="1">
      <x v="475"/>
    </i>
    <i r="1">
      <x v="477"/>
    </i>
    <i>
      <x v="3"/>
    </i>
    <i r="1">
      <x v="66"/>
    </i>
    <i r="1">
      <x v="67"/>
    </i>
    <i r="1">
      <x v="99"/>
    </i>
    <i r="1">
      <x v="110"/>
    </i>
    <i r="1">
      <x v="116"/>
    </i>
    <i r="1">
      <x v="119"/>
    </i>
    <i r="1">
      <x v="194"/>
    </i>
    <i r="1">
      <x v="195"/>
    </i>
    <i r="1">
      <x v="203"/>
    </i>
    <i r="1">
      <x v="209"/>
    </i>
    <i r="1">
      <x v="220"/>
    </i>
    <i r="1">
      <x v="222"/>
    </i>
    <i r="1">
      <x v="223"/>
    </i>
    <i r="1">
      <x v="232"/>
    </i>
    <i r="1">
      <x v="240"/>
    </i>
    <i r="1">
      <x v="253"/>
    </i>
    <i r="1">
      <x v="261"/>
    </i>
    <i r="1">
      <x v="282"/>
    </i>
    <i r="1">
      <x v="290"/>
    </i>
    <i r="1">
      <x v="291"/>
    </i>
    <i r="1">
      <x v="343"/>
    </i>
    <i r="1">
      <x v="363"/>
    </i>
    <i r="1">
      <x v="398"/>
    </i>
    <i r="1">
      <x v="399"/>
    </i>
    <i r="1">
      <x v="402"/>
    </i>
    <i r="1">
      <x v="433"/>
    </i>
    <i r="1">
      <x v="434"/>
    </i>
    <i r="1">
      <x v="438"/>
    </i>
    <i r="1">
      <x v="459"/>
    </i>
    <i>
      <x v="4"/>
    </i>
    <i r="1">
      <x v="66"/>
    </i>
    <i r="1">
      <x v="67"/>
    </i>
    <i r="1">
      <x v="99"/>
    </i>
    <i r="1">
      <x v="110"/>
    </i>
    <i r="1">
      <x v="116"/>
    </i>
    <i r="1">
      <x v="119"/>
    </i>
    <i r="1">
      <x v="194"/>
    </i>
    <i r="1">
      <x v="195"/>
    </i>
    <i r="1">
      <x v="203"/>
    </i>
    <i r="1">
      <x v="209"/>
    </i>
    <i r="1">
      <x v="220"/>
    </i>
    <i r="1">
      <x v="222"/>
    </i>
    <i r="1">
      <x v="223"/>
    </i>
    <i r="1">
      <x v="232"/>
    </i>
    <i r="1">
      <x v="240"/>
    </i>
    <i r="1">
      <x v="253"/>
    </i>
    <i r="1">
      <x v="261"/>
    </i>
    <i r="1">
      <x v="282"/>
    </i>
    <i r="1">
      <x v="290"/>
    </i>
    <i r="1">
      <x v="291"/>
    </i>
    <i r="1">
      <x v="343"/>
    </i>
    <i r="1">
      <x v="363"/>
    </i>
    <i r="1">
      <x v="398"/>
    </i>
    <i r="1">
      <x v="399"/>
    </i>
    <i r="1">
      <x v="402"/>
    </i>
    <i r="1">
      <x v="433"/>
    </i>
    <i r="1">
      <x v="434"/>
    </i>
    <i r="1">
      <x v="438"/>
    </i>
    <i r="1">
      <x v="459"/>
    </i>
    <i>
      <x v="5"/>
    </i>
    <i r="1">
      <x v="4"/>
    </i>
    <i r="1">
      <x v="70"/>
    </i>
    <i r="1">
      <x v="75"/>
    </i>
    <i r="1">
      <x v="125"/>
    </i>
    <i r="1">
      <x v="167"/>
    </i>
    <i r="1">
      <x v="255"/>
    </i>
    <i r="1">
      <x v="283"/>
    </i>
    <i r="1">
      <x v="298"/>
    </i>
    <i r="1">
      <x v="325"/>
    </i>
    <i r="1">
      <x v="375"/>
    </i>
    <i r="1">
      <x v="460"/>
    </i>
    <i>
      <x v="6"/>
    </i>
    <i r="1">
      <x v="4"/>
    </i>
    <i r="1">
      <x v="70"/>
    </i>
    <i r="1">
      <x v="75"/>
    </i>
    <i r="1">
      <x v="125"/>
    </i>
    <i r="1">
      <x v="167"/>
    </i>
    <i r="1">
      <x v="255"/>
    </i>
    <i r="1">
      <x v="283"/>
    </i>
    <i r="1">
      <x v="298"/>
    </i>
    <i r="1">
      <x v="325"/>
    </i>
    <i r="1">
      <x v="375"/>
    </i>
    <i r="1">
      <x v="460"/>
    </i>
    <i>
      <x v="7"/>
    </i>
    <i r="1">
      <x v="6"/>
    </i>
    <i r="1">
      <x v="20"/>
    </i>
    <i r="1">
      <x v="63"/>
    </i>
    <i r="1">
      <x v="81"/>
    </i>
    <i r="1">
      <x v="300"/>
    </i>
    <i r="1">
      <x v="304"/>
    </i>
    <i r="1">
      <x v="430"/>
    </i>
    <i r="1">
      <x v="461"/>
    </i>
    <i r="1">
      <x v="466"/>
    </i>
    <i>
      <x v="8"/>
    </i>
    <i r="1">
      <x v="6"/>
    </i>
    <i r="1">
      <x v="20"/>
    </i>
    <i r="1">
      <x v="63"/>
    </i>
    <i r="1">
      <x v="81"/>
    </i>
    <i r="1">
      <x v="300"/>
    </i>
    <i r="1">
      <x v="304"/>
    </i>
    <i r="1">
      <x v="430"/>
    </i>
    <i r="1">
      <x v="461"/>
    </i>
    <i r="1">
      <x v="466"/>
    </i>
    <i>
      <x v="9"/>
    </i>
    <i r="1">
      <x v="30"/>
    </i>
    <i r="1">
      <x v="76"/>
    </i>
    <i r="1">
      <x v="91"/>
    </i>
    <i r="1">
      <x v="120"/>
    </i>
    <i r="1">
      <x v="135"/>
    </i>
    <i r="1">
      <x v="178"/>
    </i>
    <i r="1">
      <x v="301"/>
    </i>
    <i r="1">
      <x v="373"/>
    </i>
    <i r="1">
      <x v="376"/>
    </i>
    <i>
      <x v="10"/>
    </i>
    <i r="1">
      <x v="30"/>
    </i>
    <i r="1">
      <x v="76"/>
    </i>
    <i r="1">
      <x v="91"/>
    </i>
    <i r="1">
      <x v="120"/>
    </i>
    <i r="1">
      <x v="135"/>
    </i>
    <i r="1">
      <x v="178"/>
    </i>
    <i r="1">
      <x v="301"/>
    </i>
    <i r="1">
      <x v="373"/>
    </i>
    <i r="1">
      <x v="376"/>
    </i>
    <i>
      <x v="11"/>
    </i>
    <i r="1">
      <x v="4"/>
    </i>
    <i r="1">
      <x v="167"/>
    </i>
    <i r="1">
      <x v="168"/>
    </i>
    <i r="1">
      <x v="460"/>
    </i>
    <i>
      <x v="12"/>
    </i>
    <i r="1">
      <x v="4"/>
    </i>
    <i r="1">
      <x v="167"/>
    </i>
    <i r="1">
      <x v="168"/>
    </i>
    <i r="1">
      <x v="460"/>
    </i>
    <i>
      <x v="13"/>
    </i>
    <i r="1">
      <x v="4"/>
    </i>
    <i r="1">
      <x v="34"/>
    </i>
    <i r="1">
      <x v="35"/>
    </i>
    <i r="1">
      <x v="40"/>
    </i>
    <i r="1">
      <x v="48"/>
    </i>
    <i r="1">
      <x v="64"/>
    </i>
    <i r="1">
      <x v="70"/>
    </i>
    <i r="1">
      <x v="72"/>
    </i>
    <i r="1">
      <x v="75"/>
    </i>
    <i r="1">
      <x v="83"/>
    </i>
    <i r="1">
      <x v="84"/>
    </i>
    <i r="1">
      <x v="86"/>
    </i>
    <i r="1">
      <x v="88"/>
    </i>
    <i r="1">
      <x v="109"/>
    </i>
    <i r="1">
      <x v="110"/>
    </i>
    <i r="1">
      <x v="115"/>
    </i>
    <i r="1">
      <x v="118"/>
    </i>
    <i r="1">
      <x v="125"/>
    </i>
    <i r="1">
      <x v="144"/>
    </i>
    <i r="1">
      <x v="145"/>
    </i>
    <i r="1">
      <x v="147"/>
    </i>
    <i r="1">
      <x v="151"/>
    </i>
    <i r="1">
      <x v="152"/>
    </i>
    <i r="1">
      <x v="158"/>
    </i>
    <i r="1">
      <x v="167"/>
    </i>
    <i r="1">
      <x v="168"/>
    </i>
    <i r="1">
      <x v="170"/>
    </i>
    <i r="1">
      <x v="182"/>
    </i>
    <i r="1">
      <x v="186"/>
    </i>
    <i r="1">
      <x v="189"/>
    </i>
    <i r="1">
      <x v="197"/>
    </i>
    <i r="1">
      <x v="203"/>
    </i>
    <i r="1">
      <x v="214"/>
    </i>
    <i r="1">
      <x v="227"/>
    </i>
    <i r="1">
      <x v="229"/>
    </i>
    <i r="1">
      <x v="241"/>
    </i>
    <i r="1">
      <x v="242"/>
    </i>
    <i r="1">
      <x v="255"/>
    </i>
    <i r="1">
      <x v="276"/>
    </i>
    <i r="1">
      <x v="277"/>
    </i>
    <i r="1">
      <x v="283"/>
    </i>
    <i r="1">
      <x v="284"/>
    </i>
    <i r="1">
      <x v="298"/>
    </i>
    <i r="1">
      <x v="314"/>
    </i>
    <i r="1">
      <x v="316"/>
    </i>
    <i r="1">
      <x v="317"/>
    </i>
    <i r="1">
      <x v="325"/>
    </i>
    <i r="1">
      <x v="368"/>
    </i>
    <i r="1">
      <x v="375"/>
    </i>
    <i r="1">
      <x v="383"/>
    </i>
    <i r="1">
      <x v="411"/>
    </i>
    <i r="1">
      <x v="451"/>
    </i>
    <i r="1">
      <x v="460"/>
    </i>
    <i r="1">
      <x v="468"/>
    </i>
    <i>
      <x v="14"/>
    </i>
    <i r="1">
      <x v="4"/>
    </i>
    <i r="1">
      <x v="34"/>
    </i>
    <i r="1">
      <x v="35"/>
    </i>
    <i r="1">
      <x v="40"/>
    </i>
    <i r="1">
      <x v="48"/>
    </i>
    <i r="1">
      <x v="64"/>
    </i>
    <i r="1">
      <x v="70"/>
    </i>
    <i r="1">
      <x v="72"/>
    </i>
    <i r="1">
      <x v="75"/>
    </i>
    <i r="1">
      <x v="83"/>
    </i>
    <i r="1">
      <x v="84"/>
    </i>
    <i r="1">
      <x v="86"/>
    </i>
    <i r="1">
      <x v="88"/>
    </i>
    <i r="1">
      <x v="109"/>
    </i>
    <i r="1">
      <x v="110"/>
    </i>
    <i r="1">
      <x v="115"/>
    </i>
    <i r="1">
      <x v="118"/>
    </i>
    <i r="1">
      <x v="125"/>
    </i>
    <i r="1">
      <x v="144"/>
    </i>
    <i r="1">
      <x v="145"/>
    </i>
    <i r="1">
      <x v="147"/>
    </i>
    <i r="1">
      <x v="151"/>
    </i>
    <i r="1">
      <x v="152"/>
    </i>
    <i r="1">
      <x v="158"/>
    </i>
    <i r="1">
      <x v="167"/>
    </i>
    <i r="1">
      <x v="170"/>
    </i>
    <i r="1">
      <x v="182"/>
    </i>
    <i r="1">
      <x v="186"/>
    </i>
    <i r="1">
      <x v="189"/>
    </i>
    <i r="1">
      <x v="197"/>
    </i>
    <i r="1">
      <x v="203"/>
    </i>
    <i r="1">
      <x v="227"/>
    </i>
    <i r="1">
      <x v="229"/>
    </i>
    <i r="1">
      <x v="241"/>
    </i>
    <i r="1">
      <x v="242"/>
    </i>
    <i r="1">
      <x v="255"/>
    </i>
    <i r="1">
      <x v="276"/>
    </i>
    <i r="1">
      <x v="277"/>
    </i>
    <i r="1">
      <x v="283"/>
    </i>
    <i r="1">
      <x v="284"/>
    </i>
    <i r="1">
      <x v="298"/>
    </i>
    <i r="1">
      <x v="314"/>
    </i>
    <i r="1">
      <x v="316"/>
    </i>
    <i r="1">
      <x v="317"/>
    </i>
    <i r="1">
      <x v="325"/>
    </i>
    <i r="1">
      <x v="368"/>
    </i>
    <i r="1">
      <x v="375"/>
    </i>
    <i r="1">
      <x v="383"/>
    </i>
    <i r="1">
      <x v="411"/>
    </i>
    <i r="1">
      <x v="451"/>
    </i>
    <i r="1">
      <x v="460"/>
    </i>
    <i r="1">
      <x v="468"/>
    </i>
    <i>
      <x v="15"/>
    </i>
    <i r="1">
      <x v="3"/>
    </i>
    <i r="1">
      <x v="27"/>
    </i>
    <i r="1">
      <x v="97"/>
    </i>
    <i r="1">
      <x v="107"/>
    </i>
    <i r="1">
      <x v="159"/>
    </i>
    <i r="1">
      <x v="163"/>
    </i>
    <i r="1">
      <x v="202"/>
    </i>
    <i r="1">
      <x v="203"/>
    </i>
    <i r="1">
      <x v="237"/>
    </i>
    <i r="1">
      <x v="260"/>
    </i>
    <i r="1">
      <x v="261"/>
    </i>
    <i r="1">
      <x v="279"/>
    </i>
    <i r="1">
      <x v="355"/>
    </i>
    <i r="1">
      <x v="363"/>
    </i>
    <i r="1">
      <x v="366"/>
    </i>
    <i r="1">
      <x v="367"/>
    </i>
    <i r="1">
      <x v="381"/>
    </i>
    <i r="1">
      <x v="382"/>
    </i>
    <i r="1">
      <x v="390"/>
    </i>
    <i r="1">
      <x v="421"/>
    </i>
    <i r="1">
      <x v="432"/>
    </i>
    <i r="1">
      <x v="438"/>
    </i>
    <i r="1">
      <x v="448"/>
    </i>
    <i r="1">
      <x v="475"/>
    </i>
    <i r="1">
      <x v="477"/>
    </i>
    <i r="1">
      <x v="480"/>
    </i>
    <i>
      <x v="16"/>
    </i>
    <i r="1">
      <x v="3"/>
    </i>
    <i r="1">
      <x v="27"/>
    </i>
    <i r="1">
      <x v="97"/>
    </i>
    <i r="1">
      <x v="107"/>
    </i>
    <i r="1">
      <x v="159"/>
    </i>
    <i r="1">
      <x v="163"/>
    </i>
    <i r="1">
      <x v="202"/>
    </i>
    <i r="1">
      <x v="203"/>
    </i>
    <i r="1">
      <x v="237"/>
    </i>
    <i r="1">
      <x v="260"/>
    </i>
    <i r="1">
      <x v="261"/>
    </i>
    <i r="1">
      <x v="279"/>
    </i>
    <i r="1">
      <x v="363"/>
    </i>
    <i r="1">
      <x v="366"/>
    </i>
    <i r="1">
      <x v="367"/>
    </i>
    <i r="1">
      <x v="381"/>
    </i>
    <i r="1">
      <x v="382"/>
    </i>
    <i r="1">
      <x v="390"/>
    </i>
    <i r="1">
      <x v="421"/>
    </i>
    <i r="1">
      <x v="432"/>
    </i>
    <i r="1">
      <x v="438"/>
    </i>
    <i r="1">
      <x v="448"/>
    </i>
    <i r="1">
      <x v="475"/>
    </i>
    <i r="1">
      <x v="477"/>
    </i>
    <i r="1">
      <x v="480"/>
    </i>
    <i>
      <x v="17"/>
    </i>
    <i r="1">
      <x v="24"/>
    </i>
    <i r="1">
      <x v="92"/>
    </i>
    <i r="1">
      <x v="96"/>
    </i>
    <i r="1">
      <x v="139"/>
    </i>
    <i r="1">
      <x v="207"/>
    </i>
    <i r="1">
      <x v="213"/>
    </i>
    <i r="1">
      <x v="215"/>
    </i>
    <i r="1">
      <x v="221"/>
    </i>
    <i r="1">
      <x v="239"/>
    </i>
    <i r="1">
      <x v="244"/>
    </i>
    <i r="1">
      <x v="246"/>
    </i>
    <i r="1">
      <x v="260"/>
    </i>
    <i r="1">
      <x v="266"/>
    </i>
    <i r="1">
      <x v="275"/>
    </i>
    <i r="1">
      <x v="296"/>
    </i>
    <i r="1">
      <x v="345"/>
    </i>
    <i r="1">
      <x v="380"/>
    </i>
    <i r="1">
      <x v="416"/>
    </i>
    <i r="1">
      <x v="438"/>
    </i>
    <i r="1">
      <x v="439"/>
    </i>
    <i r="1">
      <x v="447"/>
    </i>
    <i r="1">
      <x v="449"/>
    </i>
    <i r="1">
      <x v="453"/>
    </i>
    <i r="1">
      <x v="457"/>
    </i>
    <i>
      <x v="18"/>
    </i>
    <i r="1">
      <x v="24"/>
    </i>
    <i r="1">
      <x v="92"/>
    </i>
    <i r="1">
      <x v="96"/>
    </i>
    <i r="1">
      <x v="139"/>
    </i>
    <i r="1">
      <x v="207"/>
    </i>
    <i r="1">
      <x v="213"/>
    </i>
    <i r="1">
      <x v="215"/>
    </i>
    <i r="1">
      <x v="221"/>
    </i>
    <i r="1">
      <x v="239"/>
    </i>
    <i r="1">
      <x v="244"/>
    </i>
    <i r="1">
      <x v="246"/>
    </i>
    <i r="1">
      <x v="260"/>
    </i>
    <i r="1">
      <x v="266"/>
    </i>
    <i r="1">
      <x v="275"/>
    </i>
    <i r="1">
      <x v="296"/>
    </i>
    <i r="1">
      <x v="345"/>
    </i>
    <i r="1">
      <x v="380"/>
    </i>
    <i r="1">
      <x v="416"/>
    </i>
    <i r="1">
      <x v="438"/>
    </i>
    <i r="1">
      <x v="439"/>
    </i>
    <i r="1">
      <x v="447"/>
    </i>
    <i r="1">
      <x v="449"/>
    </i>
    <i r="1">
      <x v="453"/>
    </i>
    <i r="1">
      <x v="457"/>
    </i>
    <i>
      <x v="19"/>
    </i>
    <i r="1">
      <x v="21"/>
    </i>
    <i r="1">
      <x v="26"/>
    </i>
    <i r="1">
      <x v="85"/>
    </i>
    <i r="1">
      <x v="193"/>
    </i>
    <i r="1">
      <x v="196"/>
    </i>
    <i r="1">
      <x v="208"/>
    </i>
    <i r="1">
      <x v="234"/>
    </i>
    <i r="1">
      <x v="267"/>
    </i>
    <i r="1">
      <x v="295"/>
    </i>
    <i r="1">
      <x v="352"/>
    </i>
    <i r="1">
      <x v="361"/>
    </i>
    <i r="1">
      <x v="362"/>
    </i>
    <i>
      <x v="20"/>
    </i>
    <i r="1">
      <x v="21"/>
    </i>
    <i r="1">
      <x v="26"/>
    </i>
    <i r="1">
      <x v="85"/>
    </i>
    <i r="1">
      <x v="193"/>
    </i>
    <i r="1">
      <x v="196"/>
    </i>
    <i r="1">
      <x v="208"/>
    </i>
    <i r="1">
      <x v="234"/>
    </i>
    <i r="1">
      <x v="267"/>
    </i>
    <i r="1">
      <x v="295"/>
    </i>
    <i r="1">
      <x v="352"/>
    </i>
    <i r="1">
      <x v="361"/>
    </i>
    <i r="1">
      <x v="362"/>
    </i>
    <i>
      <x v="21"/>
    </i>
    <i r="1">
      <x v="71"/>
    </i>
    <i r="1">
      <x v="178"/>
    </i>
    <i r="1">
      <x v="382"/>
    </i>
    <i r="1">
      <x v="420"/>
    </i>
    <i r="1">
      <x v="469"/>
    </i>
    <i r="1">
      <x v="473"/>
    </i>
    <i>
      <x v="22"/>
    </i>
    <i r="1">
      <x v="71"/>
    </i>
    <i r="1">
      <x v="178"/>
    </i>
    <i r="1">
      <x v="382"/>
    </i>
    <i r="1">
      <x v="420"/>
    </i>
    <i r="1">
      <x v="469"/>
    </i>
    <i r="1">
      <x v="473"/>
    </i>
    <i>
      <x v="23"/>
    </i>
    <i r="1">
      <x v="73"/>
    </i>
    <i r="1">
      <x v="104"/>
    </i>
    <i r="1">
      <x v="120"/>
    </i>
    <i r="1">
      <x v="208"/>
    </i>
    <i r="1">
      <x v="236"/>
    </i>
    <i r="1">
      <x v="259"/>
    </i>
    <i r="1">
      <x v="325"/>
    </i>
    <i r="1">
      <x v="362"/>
    </i>
    <i r="1">
      <x v="378"/>
    </i>
    <i r="1">
      <x v="386"/>
    </i>
    <i r="1">
      <x v="406"/>
    </i>
    <i r="1">
      <x v="425"/>
    </i>
    <i>
      <x v="24"/>
    </i>
    <i r="1">
      <x v="73"/>
    </i>
    <i r="1">
      <x v="104"/>
    </i>
    <i r="1">
      <x v="120"/>
    </i>
    <i r="1">
      <x v="208"/>
    </i>
    <i r="1">
      <x v="236"/>
    </i>
    <i r="1">
      <x v="259"/>
    </i>
    <i r="1">
      <x v="325"/>
    </i>
    <i r="1">
      <x v="362"/>
    </i>
    <i r="1">
      <x v="378"/>
    </i>
    <i r="1">
      <x v="386"/>
    </i>
    <i r="1">
      <x v="406"/>
    </i>
    <i r="1">
      <x v="425"/>
    </i>
    <i>
      <x v="25"/>
    </i>
    <i r="1">
      <x v="9"/>
    </i>
    <i r="1">
      <x v="72"/>
    </i>
    <i r="1">
      <x v="74"/>
    </i>
    <i r="1">
      <x v="86"/>
    </i>
    <i r="1">
      <x v="178"/>
    </i>
    <i r="1">
      <x v="203"/>
    </i>
    <i r="1">
      <x v="308"/>
    </i>
    <i r="1">
      <x v="436"/>
    </i>
    <i>
      <x v="26"/>
    </i>
    <i r="1">
      <x v="9"/>
    </i>
    <i r="1">
      <x v="72"/>
    </i>
    <i r="1">
      <x v="74"/>
    </i>
    <i r="1">
      <x v="86"/>
    </i>
    <i r="1">
      <x v="178"/>
    </i>
    <i r="1">
      <x v="203"/>
    </i>
    <i r="1">
      <x v="308"/>
    </i>
    <i r="1">
      <x v="436"/>
    </i>
    <i>
      <x v="27"/>
    </i>
    <i r="1">
      <x v="26"/>
    </i>
    <i r="1">
      <x v="27"/>
    </i>
    <i r="1">
      <x v="38"/>
    </i>
    <i r="1">
      <x v="44"/>
    </i>
    <i r="1">
      <x v="59"/>
    </i>
    <i r="1">
      <x v="85"/>
    </i>
    <i r="1">
      <x v="90"/>
    </i>
    <i r="1">
      <x v="113"/>
    </i>
    <i r="1">
      <x v="129"/>
    </i>
    <i r="1">
      <x v="156"/>
    </i>
    <i r="1">
      <x v="162"/>
    </i>
    <i r="1">
      <x v="182"/>
    </i>
    <i r="1">
      <x v="183"/>
    </i>
    <i r="1">
      <x v="198"/>
    </i>
    <i r="1">
      <x v="217"/>
    </i>
    <i r="1">
      <x v="218"/>
    </i>
    <i r="1">
      <x v="226"/>
    </i>
    <i r="1">
      <x v="248"/>
    </i>
    <i r="1">
      <x v="252"/>
    </i>
    <i r="1">
      <x v="270"/>
    </i>
    <i r="1">
      <x v="293"/>
    </i>
    <i r="1">
      <x v="308"/>
    </i>
    <i r="1">
      <x v="315"/>
    </i>
    <i r="1">
      <x v="321"/>
    </i>
    <i r="1">
      <x v="335"/>
    </i>
    <i r="1">
      <x v="355"/>
    </i>
    <i r="1">
      <x v="358"/>
    </i>
    <i r="1">
      <x v="360"/>
    </i>
    <i r="1">
      <x v="362"/>
    </i>
    <i r="1">
      <x v="371"/>
    </i>
    <i r="1">
      <x v="403"/>
    </i>
    <i r="1">
      <x v="409"/>
    </i>
    <i r="1">
      <x v="419"/>
    </i>
    <i r="1">
      <x v="420"/>
    </i>
    <i r="1">
      <x v="469"/>
    </i>
    <i r="1">
      <x v="476"/>
    </i>
    <i>
      <x v="28"/>
    </i>
    <i r="1">
      <x v="26"/>
    </i>
    <i r="1">
      <x v="27"/>
    </i>
    <i r="1">
      <x v="38"/>
    </i>
    <i r="1">
      <x v="44"/>
    </i>
    <i r="1">
      <x v="59"/>
    </i>
    <i r="1">
      <x v="85"/>
    </i>
    <i r="1">
      <x v="90"/>
    </i>
    <i r="1">
      <x v="113"/>
    </i>
    <i r="1">
      <x v="129"/>
    </i>
    <i r="1">
      <x v="156"/>
    </i>
    <i r="1">
      <x v="162"/>
    </i>
    <i r="1">
      <x v="182"/>
    </i>
    <i r="1">
      <x v="183"/>
    </i>
    <i r="1">
      <x v="198"/>
    </i>
    <i r="1">
      <x v="217"/>
    </i>
    <i r="1">
      <x v="218"/>
    </i>
    <i r="1">
      <x v="226"/>
    </i>
    <i r="1">
      <x v="248"/>
    </i>
    <i r="1">
      <x v="252"/>
    </i>
    <i r="1">
      <x v="270"/>
    </i>
    <i r="1">
      <x v="293"/>
    </i>
    <i r="1">
      <x v="308"/>
    </i>
    <i r="1">
      <x v="315"/>
    </i>
    <i r="1">
      <x v="321"/>
    </i>
    <i r="1">
      <x v="335"/>
    </i>
    <i r="1">
      <x v="355"/>
    </i>
    <i r="1">
      <x v="358"/>
    </i>
    <i r="1">
      <x v="360"/>
    </i>
    <i r="1">
      <x v="362"/>
    </i>
    <i r="1">
      <x v="371"/>
    </i>
    <i r="1">
      <x v="403"/>
    </i>
    <i r="1">
      <x v="409"/>
    </i>
    <i r="1">
      <x v="419"/>
    </i>
    <i r="1">
      <x v="420"/>
    </i>
    <i r="1">
      <x v="469"/>
    </i>
    <i r="1">
      <x v="476"/>
    </i>
    <i>
      <x v="29"/>
    </i>
    <i r="1">
      <x v="30"/>
    </i>
    <i r="1">
      <x v="120"/>
    </i>
    <i r="1">
      <x v="154"/>
    </i>
    <i r="1">
      <x v="178"/>
    </i>
    <i r="1">
      <x v="208"/>
    </i>
    <i r="1">
      <x v="325"/>
    </i>
    <i r="1">
      <x v="346"/>
    </i>
    <i r="1">
      <x v="361"/>
    </i>
    <i r="1">
      <x v="362"/>
    </i>
    <i>
      <x v="30"/>
    </i>
    <i r="1">
      <x v="30"/>
    </i>
    <i r="1">
      <x v="120"/>
    </i>
    <i r="1">
      <x v="154"/>
    </i>
    <i r="1">
      <x v="178"/>
    </i>
    <i r="1">
      <x v="208"/>
    </i>
    <i r="1">
      <x v="325"/>
    </i>
    <i r="1">
      <x v="346"/>
    </i>
    <i r="1">
      <x v="361"/>
    </i>
    <i r="1">
      <x v="362"/>
    </i>
    <i>
      <x v="31"/>
    </i>
    <i r="1">
      <x v="47"/>
    </i>
    <i r="1">
      <x v="178"/>
    </i>
    <i r="1">
      <x v="193"/>
    </i>
    <i r="1">
      <x v="208"/>
    </i>
    <i r="1">
      <x v="267"/>
    </i>
    <i r="1">
      <x v="325"/>
    </i>
    <i r="1">
      <x v="352"/>
    </i>
    <i r="1">
      <x v="361"/>
    </i>
    <i r="1">
      <x v="362"/>
    </i>
    <i>
      <x v="32"/>
    </i>
    <i r="1">
      <x v="47"/>
    </i>
    <i r="1">
      <x v="178"/>
    </i>
    <i r="1">
      <x v="193"/>
    </i>
    <i r="1">
      <x v="208"/>
    </i>
    <i r="1">
      <x v="267"/>
    </i>
    <i r="1">
      <x v="325"/>
    </i>
    <i r="1">
      <x v="352"/>
    </i>
    <i r="1">
      <x v="361"/>
    </i>
    <i r="1">
      <x v="362"/>
    </i>
    <i>
      <x v="33"/>
    </i>
    <i r="1">
      <x v="30"/>
    </i>
    <i r="1">
      <x v="120"/>
    </i>
    <i r="1">
      <x v="135"/>
    </i>
    <i r="1">
      <x v="154"/>
    </i>
    <i r="1">
      <x v="208"/>
    </i>
    <i r="1">
      <x v="325"/>
    </i>
    <i r="1">
      <x v="362"/>
    </i>
    <i r="1">
      <x v="406"/>
    </i>
    <i>
      <x v="34"/>
    </i>
    <i r="1">
      <x v="30"/>
    </i>
    <i r="1">
      <x v="120"/>
    </i>
    <i r="1">
      <x v="135"/>
    </i>
    <i r="1">
      <x v="154"/>
    </i>
    <i r="1">
      <x v="208"/>
    </i>
    <i r="1">
      <x v="325"/>
    </i>
    <i r="1">
      <x v="362"/>
    </i>
    <i r="1">
      <x v="406"/>
    </i>
    <i>
      <x v="35"/>
    </i>
    <i r="1">
      <x v="1"/>
    </i>
    <i r="1">
      <x v="21"/>
    </i>
    <i r="1">
      <x v="26"/>
    </i>
    <i r="1">
      <x v="36"/>
    </i>
    <i r="1">
      <x v="49"/>
    </i>
    <i r="1">
      <x v="50"/>
    </i>
    <i r="1">
      <x v="51"/>
    </i>
    <i r="1">
      <x v="61"/>
    </i>
    <i r="1">
      <x v="85"/>
    </i>
    <i r="1">
      <x v="121"/>
    </i>
    <i r="1">
      <x v="146"/>
    </i>
    <i r="1">
      <x v="173"/>
    </i>
    <i r="1">
      <x v="191"/>
    </i>
    <i r="1">
      <x v="201"/>
    </i>
    <i r="1">
      <x v="208"/>
    </i>
    <i r="1">
      <x v="231"/>
    </i>
    <i r="1">
      <x v="234"/>
    </i>
    <i r="1">
      <x v="262"/>
    </i>
    <i r="1">
      <x v="295"/>
    </i>
    <i r="1">
      <x v="352"/>
    </i>
    <i r="1">
      <x v="353"/>
    </i>
    <i r="1">
      <x v="361"/>
    </i>
    <i r="1">
      <x v="362"/>
    </i>
    <i r="1">
      <x v="429"/>
    </i>
    <i>
      <x v="36"/>
    </i>
    <i r="1">
      <x v="1"/>
    </i>
    <i r="1">
      <x v="21"/>
    </i>
    <i r="1">
      <x v="26"/>
    </i>
    <i r="1">
      <x v="36"/>
    </i>
    <i r="1">
      <x v="49"/>
    </i>
    <i r="1">
      <x v="50"/>
    </i>
    <i r="1">
      <x v="51"/>
    </i>
    <i r="1">
      <x v="61"/>
    </i>
    <i r="1">
      <x v="85"/>
    </i>
    <i r="1">
      <x v="121"/>
    </i>
    <i r="1">
      <x v="146"/>
    </i>
    <i r="1">
      <x v="173"/>
    </i>
    <i r="1">
      <x v="191"/>
    </i>
    <i r="1">
      <x v="201"/>
    </i>
    <i r="1">
      <x v="208"/>
    </i>
    <i r="1">
      <x v="231"/>
    </i>
    <i r="1">
      <x v="234"/>
    </i>
    <i r="1">
      <x v="262"/>
    </i>
    <i r="1">
      <x v="295"/>
    </i>
    <i r="1">
      <x v="352"/>
    </i>
    <i r="1">
      <x v="353"/>
    </i>
    <i r="1">
      <x v="362"/>
    </i>
    <i r="1">
      <x v="429"/>
    </i>
    <i>
      <x v="37"/>
    </i>
    <i r="1">
      <x v="46"/>
    </i>
    <i r="1">
      <x v="93"/>
    </i>
    <i r="1">
      <x v="113"/>
    </i>
    <i r="1">
      <x v="128"/>
    </i>
    <i r="1">
      <x v="130"/>
    </i>
    <i r="1">
      <x v="132"/>
    </i>
    <i r="1">
      <x v="166"/>
    </i>
    <i r="1">
      <x v="208"/>
    </i>
    <i r="1">
      <x v="216"/>
    </i>
    <i r="1">
      <x v="233"/>
    </i>
    <i r="1">
      <x v="238"/>
    </i>
    <i r="1">
      <x v="264"/>
    </i>
    <i r="1">
      <x v="278"/>
    </i>
    <i r="1">
      <x v="281"/>
    </i>
    <i r="1">
      <x v="318"/>
    </i>
    <i r="1">
      <x v="323"/>
    </i>
    <i r="1">
      <x v="324"/>
    </i>
    <i r="1">
      <x v="325"/>
    </i>
    <i r="1">
      <x v="327"/>
    </i>
    <i r="1">
      <x v="329"/>
    </i>
    <i r="1">
      <x v="351"/>
    </i>
    <i r="1">
      <x v="361"/>
    </i>
    <i r="1">
      <x v="362"/>
    </i>
    <i r="1">
      <x v="374"/>
    </i>
    <i>
      <x v="38"/>
    </i>
    <i r="1">
      <x v="46"/>
    </i>
    <i r="1">
      <x v="93"/>
    </i>
    <i r="1">
      <x v="113"/>
    </i>
    <i r="1">
      <x v="128"/>
    </i>
    <i r="1">
      <x v="130"/>
    </i>
    <i r="1">
      <x v="132"/>
    </i>
    <i r="1">
      <x v="166"/>
    </i>
    <i r="1">
      <x v="208"/>
    </i>
    <i r="1">
      <x v="216"/>
    </i>
    <i r="1">
      <x v="233"/>
    </i>
    <i r="1">
      <x v="238"/>
    </i>
    <i r="1">
      <x v="264"/>
    </i>
    <i r="1">
      <x v="278"/>
    </i>
    <i r="1">
      <x v="281"/>
    </i>
    <i r="1">
      <x v="318"/>
    </i>
    <i r="1">
      <x v="323"/>
    </i>
    <i r="1">
      <x v="324"/>
    </i>
    <i r="1">
      <x v="325"/>
    </i>
    <i r="1">
      <x v="327"/>
    </i>
    <i r="1">
      <x v="329"/>
    </i>
    <i r="1">
      <x v="351"/>
    </i>
    <i r="1">
      <x v="361"/>
    </i>
    <i r="1">
      <x v="362"/>
    </i>
    <i r="1">
      <x v="374"/>
    </i>
    <i>
      <x v="39"/>
    </i>
    <i r="1">
      <x v="4"/>
    </i>
    <i r="1">
      <x v="38"/>
    </i>
    <i r="1">
      <x v="70"/>
    </i>
    <i r="1">
      <x v="97"/>
    </i>
    <i r="1">
      <x v="167"/>
    </i>
    <i r="1">
      <x v="168"/>
    </i>
    <i r="1">
      <x v="308"/>
    </i>
    <i r="1">
      <x v="460"/>
    </i>
    <i r="1">
      <x v="469"/>
    </i>
    <i r="1">
      <x v="476"/>
    </i>
    <i>
      <x v="40"/>
    </i>
    <i r="1">
      <x v="4"/>
    </i>
    <i r="1">
      <x v="38"/>
    </i>
    <i r="1">
      <x v="70"/>
    </i>
    <i r="1">
      <x v="97"/>
    </i>
    <i r="1">
      <x v="167"/>
    </i>
    <i r="1">
      <x v="168"/>
    </i>
    <i r="1">
      <x v="308"/>
    </i>
    <i r="1">
      <x v="460"/>
    </i>
    <i r="1">
      <x v="469"/>
    </i>
    <i r="1">
      <x v="476"/>
    </i>
    <i>
      <x v="41"/>
    </i>
    <i r="1">
      <x v="27"/>
    </i>
    <i r="1">
      <x v="37"/>
    </i>
    <i r="1">
      <x v="39"/>
    </i>
    <i r="1">
      <x v="44"/>
    </i>
    <i r="1">
      <x v="53"/>
    </i>
    <i r="1">
      <x v="54"/>
    </i>
    <i r="1">
      <x v="60"/>
    </i>
    <i r="1">
      <x v="71"/>
    </i>
    <i r="1">
      <x v="78"/>
    </i>
    <i r="1">
      <x v="82"/>
    </i>
    <i r="1">
      <x v="108"/>
    </i>
    <i r="1">
      <x v="114"/>
    </i>
    <i r="1">
      <x v="127"/>
    </i>
    <i r="1">
      <x v="166"/>
    </i>
    <i r="1">
      <x v="185"/>
    </i>
    <i r="1">
      <x v="190"/>
    </i>
    <i r="1">
      <x v="198"/>
    </i>
    <i r="1">
      <x v="204"/>
    </i>
    <i r="1">
      <x v="218"/>
    </i>
    <i r="1">
      <x v="228"/>
    </i>
    <i r="1">
      <x v="230"/>
    </i>
    <i r="1">
      <x v="233"/>
    </i>
    <i r="1">
      <x v="238"/>
    </i>
    <i r="1">
      <x v="248"/>
    </i>
    <i r="1">
      <x v="271"/>
    </i>
    <i r="1">
      <x v="322"/>
    </i>
    <i r="1">
      <x v="323"/>
    </i>
    <i r="1">
      <x v="324"/>
    </i>
    <i r="1">
      <x v="326"/>
    </i>
    <i r="1">
      <x v="327"/>
    </i>
    <i r="1">
      <x v="335"/>
    </i>
    <i r="1">
      <x v="341"/>
    </i>
    <i r="1">
      <x v="355"/>
    </i>
    <i r="1">
      <x v="369"/>
    </i>
    <i r="1">
      <x v="372"/>
    </i>
    <i r="1">
      <x v="374"/>
    </i>
    <i r="1">
      <x v="420"/>
    </i>
    <i r="1">
      <x v="426"/>
    </i>
    <i r="1">
      <x v="469"/>
    </i>
    <i r="1">
      <x v="472"/>
    </i>
    <i r="1">
      <x v="473"/>
    </i>
    <i>
      <x v="42"/>
    </i>
    <i r="1">
      <x v="27"/>
    </i>
    <i r="1">
      <x v="37"/>
    </i>
    <i r="1">
      <x v="39"/>
    </i>
    <i r="1">
      <x v="44"/>
    </i>
    <i r="1">
      <x v="53"/>
    </i>
    <i r="1">
      <x v="54"/>
    </i>
    <i r="1">
      <x v="60"/>
    </i>
    <i r="1">
      <x v="71"/>
    </i>
    <i r="1">
      <x v="78"/>
    </i>
    <i r="1">
      <x v="82"/>
    </i>
    <i r="1">
      <x v="108"/>
    </i>
    <i r="1">
      <x v="114"/>
    </i>
    <i r="1">
      <x v="127"/>
    </i>
    <i r="1">
      <x v="166"/>
    </i>
    <i r="1">
      <x v="185"/>
    </i>
    <i r="1">
      <x v="190"/>
    </i>
    <i r="1">
      <x v="198"/>
    </i>
    <i r="1">
      <x v="204"/>
    </i>
    <i r="1">
      <x v="218"/>
    </i>
    <i r="1">
      <x v="228"/>
    </i>
    <i r="1">
      <x v="230"/>
    </i>
    <i r="1">
      <x v="233"/>
    </i>
    <i r="1">
      <x v="238"/>
    </i>
    <i r="1">
      <x v="248"/>
    </i>
    <i r="1">
      <x v="271"/>
    </i>
    <i r="1">
      <x v="322"/>
    </i>
    <i r="1">
      <x v="323"/>
    </i>
    <i r="1">
      <x v="324"/>
    </i>
    <i r="1">
      <x v="326"/>
    </i>
    <i r="1">
      <x v="327"/>
    </i>
    <i r="1">
      <x v="341"/>
    </i>
    <i r="1">
      <x v="355"/>
    </i>
    <i r="1">
      <x v="369"/>
    </i>
    <i r="1">
      <x v="372"/>
    </i>
    <i r="1">
      <x v="374"/>
    </i>
    <i r="1">
      <x v="420"/>
    </i>
    <i r="1">
      <x v="426"/>
    </i>
    <i r="1">
      <x v="469"/>
    </i>
    <i r="1">
      <x v="472"/>
    </i>
    <i r="1">
      <x v="473"/>
    </i>
    <i>
      <x v="43"/>
    </i>
    <i r="1">
      <x v="4"/>
    </i>
    <i r="1">
      <x v="38"/>
    </i>
    <i r="1">
      <x v="70"/>
    </i>
    <i r="1">
      <x v="97"/>
    </i>
    <i r="1">
      <x v="167"/>
    </i>
    <i r="1">
      <x v="168"/>
    </i>
    <i r="1">
      <x v="182"/>
    </i>
    <i r="1">
      <x v="226"/>
    </i>
    <i r="1">
      <x v="308"/>
    </i>
    <i r="1">
      <x v="325"/>
    </i>
    <i r="1">
      <x v="460"/>
    </i>
    <i r="1">
      <x v="469"/>
    </i>
    <i r="1">
      <x v="476"/>
    </i>
    <i>
      <x v="44"/>
    </i>
    <i r="1">
      <x v="4"/>
    </i>
    <i r="1">
      <x v="38"/>
    </i>
    <i r="1">
      <x v="70"/>
    </i>
    <i r="1">
      <x v="97"/>
    </i>
    <i r="1">
      <x v="167"/>
    </i>
    <i r="1">
      <x v="182"/>
    </i>
    <i r="1">
      <x v="226"/>
    </i>
    <i r="1">
      <x v="308"/>
    </i>
    <i r="1">
      <x v="325"/>
    </i>
    <i r="1">
      <x v="460"/>
    </i>
    <i r="1">
      <x v="469"/>
    </i>
    <i r="1">
      <x v="476"/>
    </i>
    <i>
      <x v="45"/>
    </i>
    <i r="1">
      <x v="4"/>
    </i>
    <i r="1">
      <x v="12"/>
    </i>
    <i r="1">
      <x v="38"/>
    </i>
    <i r="1">
      <x v="70"/>
    </i>
    <i r="1">
      <x v="75"/>
    </i>
    <i r="1">
      <x v="90"/>
    </i>
    <i r="1">
      <x v="92"/>
    </i>
    <i r="1">
      <x v="96"/>
    </i>
    <i r="1">
      <x v="103"/>
    </i>
    <i r="1">
      <x v="105"/>
    </i>
    <i r="1">
      <x v="139"/>
    </i>
    <i r="1">
      <x v="140"/>
    </i>
    <i r="1">
      <x v="144"/>
    </i>
    <i r="1">
      <x v="162"/>
    </i>
    <i r="1">
      <x v="167"/>
    </i>
    <i r="1">
      <x v="168"/>
    </i>
    <i r="1">
      <x v="182"/>
    </i>
    <i r="1">
      <x v="198"/>
    </i>
    <i r="1">
      <x v="218"/>
    </i>
    <i r="1">
      <x v="221"/>
    </i>
    <i r="1">
      <x v="239"/>
    </i>
    <i r="1">
      <x v="244"/>
    </i>
    <i r="1">
      <x v="283"/>
    </i>
    <i r="1">
      <x v="285"/>
    </i>
    <i r="1">
      <x v="308"/>
    </i>
    <i r="1">
      <x v="321"/>
    </i>
    <i r="1">
      <x v="325"/>
    </i>
    <i r="1">
      <x v="336"/>
    </i>
    <i r="1">
      <x v="338"/>
    </i>
    <i r="1">
      <x v="371"/>
    </i>
    <i r="1">
      <x v="382"/>
    </i>
    <i r="1">
      <x v="394"/>
    </i>
    <i r="1">
      <x v="409"/>
    </i>
    <i r="1">
      <x v="439"/>
    </i>
    <i r="1">
      <x v="444"/>
    </i>
    <i r="1">
      <x v="446"/>
    </i>
    <i r="1">
      <x v="449"/>
    </i>
    <i r="1">
      <x v="452"/>
    </i>
    <i r="1">
      <x v="460"/>
    </i>
    <i r="1">
      <x v="462"/>
    </i>
    <i r="1">
      <x v="467"/>
    </i>
    <i r="1">
      <x v="469"/>
    </i>
    <i r="1">
      <x v="476"/>
    </i>
    <i>
      <x v="46"/>
    </i>
    <i r="1">
      <x v="4"/>
    </i>
    <i r="1">
      <x v="12"/>
    </i>
    <i r="1">
      <x v="38"/>
    </i>
    <i r="1">
      <x v="70"/>
    </i>
    <i r="1">
      <x v="75"/>
    </i>
    <i r="1">
      <x v="90"/>
    </i>
    <i r="1">
      <x v="92"/>
    </i>
    <i r="1">
      <x v="96"/>
    </i>
    <i r="1">
      <x v="103"/>
    </i>
    <i r="1">
      <x v="105"/>
    </i>
    <i r="1">
      <x v="139"/>
    </i>
    <i r="1">
      <x v="140"/>
    </i>
    <i r="1">
      <x v="162"/>
    </i>
    <i r="1">
      <x v="167"/>
    </i>
    <i r="1">
      <x v="182"/>
    </i>
    <i r="1">
      <x v="198"/>
    </i>
    <i r="1">
      <x v="218"/>
    </i>
    <i r="1">
      <x v="221"/>
    </i>
    <i r="1">
      <x v="239"/>
    </i>
    <i r="1">
      <x v="244"/>
    </i>
    <i r="1">
      <x v="283"/>
    </i>
    <i r="1">
      <x v="285"/>
    </i>
    <i r="1">
      <x v="308"/>
    </i>
    <i r="1">
      <x v="321"/>
    </i>
    <i r="1">
      <x v="325"/>
    </i>
    <i r="1">
      <x v="336"/>
    </i>
    <i r="1">
      <x v="338"/>
    </i>
    <i r="1">
      <x v="371"/>
    </i>
    <i r="1">
      <x v="382"/>
    </i>
    <i r="1">
      <x v="394"/>
    </i>
    <i r="1">
      <x v="409"/>
    </i>
    <i r="1">
      <x v="439"/>
    </i>
    <i r="1">
      <x v="444"/>
    </i>
    <i r="1">
      <x v="446"/>
    </i>
    <i r="1">
      <x v="449"/>
    </i>
    <i r="1">
      <x v="452"/>
    </i>
    <i r="1">
      <x v="454"/>
    </i>
    <i r="1">
      <x v="460"/>
    </i>
    <i r="1">
      <x v="462"/>
    </i>
    <i r="1">
      <x v="467"/>
    </i>
    <i r="1">
      <x v="469"/>
    </i>
    <i r="1">
      <x v="476"/>
    </i>
    <i>
      <x v="47"/>
    </i>
    <i r="1">
      <x v="95"/>
    </i>
    <i r="1">
      <x v="98"/>
    </i>
    <i r="1">
      <x v="131"/>
    </i>
    <i r="1">
      <x v="245"/>
    </i>
    <i r="1">
      <x v="268"/>
    </i>
    <i r="1">
      <x v="289"/>
    </i>
    <i r="1">
      <x v="404"/>
    </i>
    <i r="1">
      <x v="415"/>
    </i>
    <i r="1">
      <x v="435"/>
    </i>
    <i r="1">
      <x v="441"/>
    </i>
    <i r="1">
      <x v="442"/>
    </i>
    <i r="1">
      <x v="443"/>
    </i>
    <i r="1">
      <x v="470"/>
    </i>
    <i r="1">
      <x v="471"/>
    </i>
    <i r="1">
      <x v="474"/>
    </i>
    <i>
      <x v="48"/>
    </i>
    <i r="1">
      <x v="95"/>
    </i>
    <i r="1">
      <x v="98"/>
    </i>
    <i r="1">
      <x v="131"/>
    </i>
    <i r="1">
      <x v="245"/>
    </i>
    <i r="1">
      <x v="268"/>
    </i>
    <i r="1">
      <x v="273"/>
    </i>
    <i r="1">
      <x v="289"/>
    </i>
    <i r="1">
      <x v="404"/>
    </i>
    <i r="1">
      <x v="415"/>
    </i>
    <i r="1">
      <x v="435"/>
    </i>
    <i r="1">
      <x v="441"/>
    </i>
    <i r="1">
      <x v="442"/>
    </i>
    <i r="1">
      <x v="443"/>
    </i>
    <i r="1">
      <x v="470"/>
    </i>
    <i r="1">
      <x v="471"/>
    </i>
    <i r="1">
      <x v="474"/>
    </i>
    <i>
      <x v="49"/>
    </i>
    <i r="1">
      <x v="14"/>
    </i>
    <i r="1">
      <x v="95"/>
    </i>
    <i r="1">
      <x v="98"/>
    </i>
    <i r="1">
      <x v="131"/>
    </i>
    <i r="1">
      <x v="235"/>
    </i>
    <i r="1">
      <x v="268"/>
    </i>
    <i r="1">
      <x v="274"/>
    </i>
    <i r="1">
      <x v="289"/>
    </i>
    <i r="1">
      <x v="435"/>
    </i>
    <i r="1">
      <x v="442"/>
    </i>
    <i r="1">
      <x v="470"/>
    </i>
    <i r="1">
      <x v="474"/>
    </i>
    <i>
      <x v="50"/>
    </i>
    <i r="1">
      <x v="14"/>
    </i>
    <i r="1">
      <x v="95"/>
    </i>
    <i r="1">
      <x v="98"/>
    </i>
    <i r="1">
      <x v="131"/>
    </i>
    <i r="1">
      <x v="235"/>
    </i>
    <i r="1">
      <x v="268"/>
    </i>
    <i r="1">
      <x v="273"/>
    </i>
    <i r="1">
      <x v="274"/>
    </i>
    <i r="1">
      <x v="289"/>
    </i>
    <i r="1">
      <x v="435"/>
    </i>
    <i r="1">
      <x v="442"/>
    </i>
    <i r="1">
      <x v="470"/>
    </i>
    <i r="1">
      <x v="474"/>
    </i>
    <i>
      <x v="51"/>
    </i>
    <i r="1">
      <x v="27"/>
    </i>
    <i r="1">
      <x v="32"/>
    </i>
    <i r="1">
      <x v="97"/>
    </i>
    <i r="1">
      <x v="105"/>
    </i>
    <i r="1">
      <x v="106"/>
    </i>
    <i r="1">
      <x v="140"/>
    </i>
    <i r="1">
      <x v="198"/>
    </i>
    <i r="1">
      <x v="218"/>
    </i>
    <i r="1">
      <x v="394"/>
    </i>
    <i r="1">
      <x v="446"/>
    </i>
    <i>
      <x v="52"/>
    </i>
    <i r="1">
      <x v="27"/>
    </i>
    <i r="1">
      <x v="97"/>
    </i>
    <i r="1">
      <x v="105"/>
    </i>
    <i r="1">
      <x v="140"/>
    </i>
    <i r="1">
      <x v="198"/>
    </i>
    <i r="1">
      <x v="218"/>
    </i>
    <i r="1">
      <x v="355"/>
    </i>
    <i r="1">
      <x v="394"/>
    </i>
    <i r="1">
      <x v="446"/>
    </i>
    <i>
      <x v="53"/>
    </i>
    <i r="1">
      <x v="16"/>
    </i>
    <i r="1">
      <x v="27"/>
    </i>
    <i r="1">
      <x v="79"/>
    </i>
    <i r="1">
      <x v="97"/>
    </i>
    <i r="1">
      <x v="105"/>
    </i>
    <i r="1">
      <x v="106"/>
    </i>
    <i r="1">
      <x v="140"/>
    </i>
    <i r="1">
      <x v="198"/>
    </i>
    <i r="1">
      <x v="218"/>
    </i>
    <i r="1">
      <x v="297"/>
    </i>
    <i r="1">
      <x v="394"/>
    </i>
    <i r="1">
      <x v="396"/>
    </i>
    <i r="1">
      <x v="446"/>
    </i>
    <i>
      <x v="54"/>
    </i>
    <i r="1">
      <x v="16"/>
    </i>
    <i r="1">
      <x v="27"/>
    </i>
    <i r="1">
      <x v="79"/>
    </i>
    <i r="1">
      <x v="97"/>
    </i>
    <i r="1">
      <x v="105"/>
    </i>
    <i r="1">
      <x v="140"/>
    </i>
    <i r="1">
      <x v="198"/>
    </i>
    <i r="1">
      <x v="218"/>
    </i>
    <i r="1">
      <x v="297"/>
    </i>
    <i r="1">
      <x v="355"/>
    </i>
    <i r="1">
      <x v="394"/>
    </i>
    <i r="1">
      <x v="396"/>
    </i>
    <i r="1">
      <x v="446"/>
    </i>
    <i>
      <x v="55"/>
    </i>
    <i r="1">
      <x v="27"/>
    </i>
    <i r="1">
      <x v="97"/>
    </i>
    <i r="1">
      <x v="105"/>
    </i>
    <i r="1">
      <x v="106"/>
    </i>
    <i r="1">
      <x v="140"/>
    </i>
    <i r="1">
      <x v="218"/>
    </i>
    <i r="1">
      <x v="394"/>
    </i>
    <i r="1">
      <x v="446"/>
    </i>
    <i>
      <x v="56"/>
    </i>
    <i r="1">
      <x v="27"/>
    </i>
    <i r="1">
      <x v="97"/>
    </i>
    <i r="1">
      <x v="105"/>
    </i>
    <i r="1">
      <x v="140"/>
    </i>
    <i r="1">
      <x v="218"/>
    </i>
    <i r="1">
      <x v="355"/>
    </i>
    <i r="1">
      <x v="394"/>
    </i>
    <i r="1">
      <x v="446"/>
    </i>
    <i>
      <x v="57"/>
    </i>
    <i r="1">
      <x v="19"/>
    </i>
    <i r="1">
      <x v="25"/>
    </i>
    <i r="1">
      <x v="37"/>
    </i>
    <i r="1">
      <x v="39"/>
    </i>
    <i r="1">
      <x v="45"/>
    </i>
    <i r="1">
      <x v="60"/>
    </i>
    <i r="1">
      <x v="71"/>
    </i>
    <i r="1">
      <x v="82"/>
    </i>
    <i r="1">
      <x v="94"/>
    </i>
    <i r="1">
      <x v="97"/>
    </i>
    <i r="1">
      <x v="100"/>
    </i>
    <i r="1">
      <x v="101"/>
    </i>
    <i r="1">
      <x v="108"/>
    </i>
    <i r="1">
      <x v="136"/>
    </i>
    <i r="1">
      <x v="162"/>
    </i>
    <i r="1">
      <x v="178"/>
    </i>
    <i r="1">
      <x v="179"/>
    </i>
    <i r="1">
      <x v="185"/>
    </i>
    <i r="1">
      <x v="228"/>
    </i>
    <i r="1">
      <x v="230"/>
    </i>
    <i r="1">
      <x v="319"/>
    </i>
    <i r="1">
      <x v="321"/>
    </i>
    <i r="1">
      <x v="331"/>
    </i>
    <i r="1">
      <x v="335"/>
    </i>
    <i r="1">
      <x v="341"/>
    </i>
    <i r="1">
      <x v="369"/>
    </i>
    <i r="1">
      <x v="395"/>
    </i>
    <i r="1">
      <x v="422"/>
    </i>
    <i r="1">
      <x v="426"/>
    </i>
    <i r="1">
      <x v="431"/>
    </i>
    <i r="1">
      <x v="437"/>
    </i>
    <i r="1">
      <x v="455"/>
    </i>
    <i r="1">
      <x v="469"/>
    </i>
    <i r="1">
      <x v="472"/>
    </i>
    <i r="1">
      <x v="473"/>
    </i>
    <i>
      <x v="58"/>
    </i>
    <i r="1">
      <x v="19"/>
    </i>
    <i r="1">
      <x v="25"/>
    </i>
    <i r="1">
      <x v="37"/>
    </i>
    <i r="1">
      <x v="39"/>
    </i>
    <i r="1">
      <x v="45"/>
    </i>
    <i r="1">
      <x v="60"/>
    </i>
    <i r="1">
      <x v="71"/>
    </i>
    <i r="1">
      <x v="82"/>
    </i>
    <i r="1">
      <x v="94"/>
    </i>
    <i r="1">
      <x v="97"/>
    </i>
    <i r="1">
      <x v="100"/>
    </i>
    <i r="1">
      <x v="101"/>
    </i>
    <i r="1">
      <x v="108"/>
    </i>
    <i r="1">
      <x v="136"/>
    </i>
    <i r="1">
      <x v="162"/>
    </i>
    <i r="1">
      <x v="178"/>
    </i>
    <i r="1">
      <x v="179"/>
    </i>
    <i r="1">
      <x v="185"/>
    </i>
    <i r="1">
      <x v="228"/>
    </i>
    <i r="1">
      <x v="230"/>
    </i>
    <i r="1">
      <x v="319"/>
    </i>
    <i r="1">
      <x v="321"/>
    </i>
    <i r="1">
      <x v="331"/>
    </i>
    <i r="1">
      <x v="335"/>
    </i>
    <i r="1">
      <x v="341"/>
    </i>
    <i r="1">
      <x v="369"/>
    </i>
    <i r="1">
      <x v="395"/>
    </i>
    <i r="1">
      <x v="400"/>
    </i>
    <i r="1">
      <x v="422"/>
    </i>
    <i r="1">
      <x v="426"/>
    </i>
    <i r="1">
      <x v="431"/>
    </i>
    <i r="1">
      <x v="437"/>
    </i>
    <i r="1">
      <x v="455"/>
    </i>
    <i r="1">
      <x v="469"/>
    </i>
    <i r="1">
      <x v="472"/>
    </i>
    <i r="1">
      <x v="473"/>
    </i>
    <i>
      <x v="59"/>
    </i>
    <i r="1">
      <x v="37"/>
    </i>
    <i r="1">
      <x v="60"/>
    </i>
    <i r="1">
      <x v="71"/>
    </i>
    <i r="1">
      <x v="82"/>
    </i>
    <i r="1">
      <x v="97"/>
    </i>
    <i r="1">
      <x v="108"/>
    </i>
    <i r="1">
      <x v="136"/>
    </i>
    <i r="1">
      <x v="178"/>
    </i>
    <i r="1">
      <x v="185"/>
    </i>
    <i r="1">
      <x v="228"/>
    </i>
    <i r="1">
      <x v="230"/>
    </i>
    <i r="1">
      <x v="369"/>
    </i>
    <i r="1">
      <x v="400"/>
    </i>
    <i r="1">
      <x v="412"/>
    </i>
    <i r="1">
      <x v="431"/>
    </i>
    <i r="1">
      <x v="469"/>
    </i>
    <i r="1">
      <x v="472"/>
    </i>
    <i>
      <x v="60"/>
    </i>
    <i r="1">
      <x v="37"/>
    </i>
    <i r="1">
      <x v="60"/>
    </i>
    <i r="1">
      <x v="71"/>
    </i>
    <i r="1">
      <x v="82"/>
    </i>
    <i r="1">
      <x v="97"/>
    </i>
    <i r="1">
      <x v="108"/>
    </i>
    <i r="1">
      <x v="136"/>
    </i>
    <i r="1">
      <x v="178"/>
    </i>
    <i r="1">
      <x v="185"/>
    </i>
    <i r="1">
      <x v="228"/>
    </i>
    <i r="1">
      <x v="230"/>
    </i>
    <i r="1">
      <x v="335"/>
    </i>
    <i r="1">
      <x v="369"/>
    </i>
    <i r="1">
      <x v="400"/>
    </i>
    <i r="1">
      <x v="412"/>
    </i>
    <i r="1">
      <x v="431"/>
    </i>
    <i r="1">
      <x v="469"/>
    </i>
    <i r="1">
      <x v="472"/>
    </i>
    <i>
      <x v="61"/>
    </i>
    <i r="1">
      <x v="13"/>
    </i>
    <i r="1">
      <x v="18"/>
    </i>
    <i r="1">
      <x v="42"/>
    </i>
    <i r="1">
      <x v="56"/>
    </i>
    <i r="1">
      <x v="57"/>
    </i>
    <i r="1">
      <x v="62"/>
    </i>
    <i r="1">
      <x v="65"/>
    </i>
    <i r="1">
      <x v="81"/>
    </i>
    <i r="1">
      <x v="112"/>
    </i>
    <i r="1">
      <x v="144"/>
    </i>
    <i r="1">
      <x v="150"/>
    </i>
    <i r="1">
      <x v="155"/>
    </i>
    <i r="1">
      <x v="157"/>
    </i>
    <i r="1">
      <x v="168"/>
    </i>
    <i r="1">
      <x v="174"/>
    </i>
    <i r="1">
      <x v="188"/>
    </i>
    <i r="1">
      <x v="243"/>
    </i>
    <i r="1">
      <x v="263"/>
    </i>
    <i r="1">
      <x v="283"/>
    </i>
    <i r="1">
      <x v="286"/>
    </i>
    <i r="1">
      <x v="287"/>
    </i>
    <i r="1">
      <x v="288"/>
    </i>
    <i r="1">
      <x v="302"/>
    </i>
    <i r="1">
      <x v="305"/>
    </i>
    <i r="1">
      <x v="370"/>
    </i>
    <i r="1">
      <x v="379"/>
    </i>
    <i r="1">
      <x v="387"/>
    </i>
    <i r="1">
      <x v="392"/>
    </i>
    <i r="1">
      <x v="405"/>
    </i>
    <i r="1">
      <x v="413"/>
    </i>
    <i r="1">
      <x v="417"/>
    </i>
    <i r="1">
      <x v="430"/>
    </i>
    <i r="1">
      <x v="461"/>
    </i>
    <i r="1">
      <x v="478"/>
    </i>
    <i>
      <x v="62"/>
    </i>
    <i r="1">
      <x v="13"/>
    </i>
    <i r="1">
      <x v="18"/>
    </i>
    <i r="1">
      <x v="42"/>
    </i>
    <i r="1">
      <x v="56"/>
    </i>
    <i r="1">
      <x v="57"/>
    </i>
    <i r="1">
      <x v="62"/>
    </i>
    <i r="1">
      <x v="65"/>
    </i>
    <i r="1">
      <x v="81"/>
    </i>
    <i r="1">
      <x v="112"/>
    </i>
    <i r="1">
      <x v="144"/>
    </i>
    <i r="1">
      <x v="150"/>
    </i>
    <i r="1">
      <x v="155"/>
    </i>
    <i r="1">
      <x v="157"/>
    </i>
    <i r="1">
      <x v="168"/>
    </i>
    <i r="1">
      <x v="174"/>
    </i>
    <i r="1">
      <x v="188"/>
    </i>
    <i r="1">
      <x v="243"/>
    </i>
    <i r="1">
      <x v="263"/>
    </i>
    <i r="1">
      <x v="283"/>
    </i>
    <i r="1">
      <x v="286"/>
    </i>
    <i r="1">
      <x v="287"/>
    </i>
    <i r="1">
      <x v="288"/>
    </i>
    <i r="1">
      <x v="302"/>
    </i>
    <i r="1">
      <x v="305"/>
    </i>
    <i r="1">
      <x v="370"/>
    </i>
    <i r="1">
      <x v="379"/>
    </i>
    <i r="1">
      <x v="387"/>
    </i>
    <i r="1">
      <x v="392"/>
    </i>
    <i r="1">
      <x v="405"/>
    </i>
    <i r="1">
      <x v="413"/>
    </i>
    <i r="1">
      <x v="417"/>
    </i>
    <i r="1">
      <x v="430"/>
    </i>
    <i r="1">
      <x v="461"/>
    </i>
    <i r="1">
      <x v="478"/>
    </i>
    <i>
      <x v="63"/>
    </i>
    <i r="1">
      <x v="13"/>
    </i>
    <i r="1">
      <x v="18"/>
    </i>
    <i r="1">
      <x v="42"/>
    </i>
    <i r="1">
      <x v="56"/>
    </i>
    <i r="1">
      <x v="57"/>
    </i>
    <i r="1">
      <x v="62"/>
    </i>
    <i r="1">
      <x v="63"/>
    </i>
    <i r="1">
      <x v="68"/>
    </i>
    <i r="1">
      <x v="81"/>
    </i>
    <i r="1">
      <x v="89"/>
    </i>
    <i r="1">
      <x v="111"/>
    </i>
    <i r="1">
      <x v="112"/>
    </i>
    <i r="1">
      <x v="144"/>
    </i>
    <i r="1">
      <x v="150"/>
    </i>
    <i r="1">
      <x v="157"/>
    </i>
    <i r="1">
      <x v="168"/>
    </i>
    <i r="1">
      <x v="174"/>
    </i>
    <i r="1">
      <x v="187"/>
    </i>
    <i r="1">
      <x v="188"/>
    </i>
    <i r="1">
      <x v="211"/>
    </i>
    <i r="1">
      <x v="224"/>
    </i>
    <i r="1">
      <x v="243"/>
    </i>
    <i r="1">
      <x v="254"/>
    </i>
    <i r="1">
      <x v="263"/>
    </i>
    <i r="1">
      <x v="283"/>
    </i>
    <i r="1">
      <x v="288"/>
    </i>
    <i r="1">
      <x v="300"/>
    </i>
    <i r="1">
      <x v="305"/>
    </i>
    <i r="1">
      <x v="320"/>
    </i>
    <i r="1">
      <x v="325"/>
    </i>
    <i r="1">
      <x v="344"/>
    </i>
    <i r="1">
      <x v="356"/>
    </i>
    <i r="1">
      <x v="370"/>
    </i>
    <i r="1">
      <x v="379"/>
    </i>
    <i r="1">
      <x v="388"/>
    </i>
    <i r="1">
      <x v="405"/>
    </i>
    <i r="1">
      <x v="413"/>
    </i>
    <i r="1">
      <x v="417"/>
    </i>
    <i r="1">
      <x v="423"/>
    </i>
    <i r="1">
      <x v="428"/>
    </i>
    <i r="1">
      <x v="430"/>
    </i>
    <i r="1">
      <x v="461"/>
    </i>
    <i r="1">
      <x v="464"/>
    </i>
    <i r="1">
      <x v="466"/>
    </i>
    <i>
      <x v="64"/>
    </i>
    <i r="1">
      <x v="13"/>
    </i>
    <i r="1">
      <x v="18"/>
    </i>
    <i r="1">
      <x v="42"/>
    </i>
    <i r="1">
      <x v="56"/>
    </i>
    <i r="1">
      <x v="57"/>
    </i>
    <i r="1">
      <x v="62"/>
    </i>
    <i r="1">
      <x v="63"/>
    </i>
    <i r="1">
      <x v="68"/>
    </i>
    <i r="1">
      <x v="81"/>
    </i>
    <i r="1">
      <x v="89"/>
    </i>
    <i r="1">
      <x v="111"/>
    </i>
    <i r="1">
      <x v="112"/>
    </i>
    <i r="1">
      <x v="144"/>
    </i>
    <i r="1">
      <x v="150"/>
    </i>
    <i r="1">
      <x v="157"/>
    </i>
    <i r="1">
      <x v="174"/>
    </i>
    <i r="1">
      <x v="187"/>
    </i>
    <i r="1">
      <x v="188"/>
    </i>
    <i r="1">
      <x v="211"/>
    </i>
    <i r="1">
      <x v="224"/>
    </i>
    <i r="1">
      <x v="243"/>
    </i>
    <i r="1">
      <x v="254"/>
    </i>
    <i r="1">
      <x v="263"/>
    </i>
    <i r="1">
      <x v="283"/>
    </i>
    <i r="1">
      <x v="288"/>
    </i>
    <i r="1">
      <x v="300"/>
    </i>
    <i r="1">
      <x v="305"/>
    </i>
    <i r="1">
      <x v="320"/>
    </i>
    <i r="1">
      <x v="325"/>
    </i>
    <i r="1">
      <x v="344"/>
    </i>
    <i r="1">
      <x v="356"/>
    </i>
    <i r="1">
      <x v="370"/>
    </i>
    <i r="1">
      <x v="379"/>
    </i>
    <i r="1">
      <x v="388"/>
    </i>
    <i r="1">
      <x v="405"/>
    </i>
    <i r="1">
      <x v="413"/>
    </i>
    <i r="1">
      <x v="417"/>
    </i>
    <i r="1">
      <x v="423"/>
    </i>
    <i r="1">
      <x v="428"/>
    </i>
    <i r="1">
      <x v="430"/>
    </i>
    <i r="1">
      <x v="461"/>
    </i>
    <i r="1">
      <x v="464"/>
    </i>
    <i r="1">
      <x v="466"/>
    </i>
    <i>
      <x v="65"/>
    </i>
    <i r="1">
      <x v="81"/>
    </i>
    <i r="1">
      <x v="243"/>
    </i>
    <i r="1">
      <x v="300"/>
    </i>
    <i r="1">
      <x v="305"/>
    </i>
    <i r="1">
      <x v="325"/>
    </i>
    <i r="1">
      <x v="379"/>
    </i>
    <i r="1">
      <x v="430"/>
    </i>
    <i r="1">
      <x v="461"/>
    </i>
    <i>
      <x v="66"/>
    </i>
    <i r="1">
      <x v="81"/>
    </i>
    <i r="1">
      <x v="243"/>
    </i>
    <i r="1">
      <x v="300"/>
    </i>
    <i r="1">
      <x v="305"/>
    </i>
    <i r="1">
      <x v="325"/>
    </i>
    <i r="1">
      <x v="379"/>
    </i>
    <i r="1">
      <x v="430"/>
    </i>
    <i r="1">
      <x v="461"/>
    </i>
    <i>
      <x v="67"/>
    </i>
    <i r="1">
      <x v="63"/>
    </i>
    <i r="1">
      <x v="81"/>
    </i>
    <i r="1">
      <x v="112"/>
    </i>
    <i r="1">
      <x v="168"/>
    </i>
    <i r="1">
      <x v="243"/>
    </i>
    <i r="1">
      <x v="283"/>
    </i>
    <i r="1">
      <x v="300"/>
    </i>
    <i r="1">
      <x v="379"/>
    </i>
    <i r="1">
      <x v="405"/>
    </i>
    <i r="1">
      <x v="430"/>
    </i>
    <i r="1">
      <x v="461"/>
    </i>
    <i r="1">
      <x v="464"/>
    </i>
    <i r="1">
      <x v="466"/>
    </i>
    <i>
      <x v="68"/>
    </i>
    <i r="1">
      <x v="63"/>
    </i>
    <i r="1">
      <x v="81"/>
    </i>
    <i r="1">
      <x v="112"/>
    </i>
    <i r="1">
      <x v="168"/>
    </i>
    <i r="1">
      <x v="243"/>
    </i>
    <i r="1">
      <x v="283"/>
    </i>
    <i r="1">
      <x v="300"/>
    </i>
    <i r="1">
      <x v="379"/>
    </i>
    <i r="1">
      <x v="405"/>
    </i>
    <i r="1">
      <x v="430"/>
    </i>
    <i r="1">
      <x v="461"/>
    </i>
    <i r="1">
      <x v="464"/>
    </i>
    <i r="1">
      <x v="466"/>
    </i>
    <i>
      <x v="69"/>
    </i>
    <i r="1">
      <x v="2"/>
    </i>
    <i r="1">
      <x v="7"/>
    </i>
    <i r="1">
      <x v="117"/>
    </i>
    <i r="1">
      <x v="143"/>
    </i>
    <i r="1">
      <x v="164"/>
    </i>
    <i r="1">
      <x v="184"/>
    </i>
    <i r="1">
      <x v="269"/>
    </i>
    <i r="1">
      <x v="325"/>
    </i>
    <i r="1">
      <x v="340"/>
    </i>
    <i r="1">
      <x v="385"/>
    </i>
    <i>
      <x v="70"/>
    </i>
    <i r="1">
      <x v="2"/>
    </i>
    <i r="1">
      <x v="7"/>
    </i>
    <i r="1">
      <x v="117"/>
    </i>
    <i r="1">
      <x v="143"/>
    </i>
    <i r="1">
      <x v="164"/>
    </i>
    <i r="1">
      <x v="184"/>
    </i>
    <i r="1">
      <x v="269"/>
    </i>
    <i r="1">
      <x v="325"/>
    </i>
    <i r="1">
      <x v="340"/>
    </i>
    <i r="1">
      <x v="385"/>
    </i>
    <i>
      <x v="71"/>
    </i>
    <i r="1">
      <x v="11"/>
    </i>
    <i r="1">
      <x v="15"/>
    </i>
    <i r="1">
      <x v="17"/>
    </i>
    <i r="1">
      <x v="33"/>
    </i>
    <i r="1">
      <x v="41"/>
    </i>
    <i r="1">
      <x v="52"/>
    </i>
    <i r="1">
      <x v="53"/>
    </i>
    <i r="1">
      <x v="54"/>
    </i>
    <i r="1">
      <x v="69"/>
    </i>
    <i r="1">
      <x v="80"/>
    </i>
    <i r="1">
      <x v="93"/>
    </i>
    <i r="1">
      <x v="126"/>
    </i>
    <i r="1">
      <x v="127"/>
    </i>
    <i r="1">
      <x v="128"/>
    </i>
    <i r="1">
      <x v="130"/>
    </i>
    <i r="1">
      <x v="132"/>
    </i>
    <i r="1">
      <x v="134"/>
    </i>
    <i r="1">
      <x v="141"/>
    </i>
    <i r="1">
      <x v="142"/>
    </i>
    <i r="1">
      <x v="148"/>
    </i>
    <i r="1">
      <x v="160"/>
    </i>
    <i r="1">
      <x v="166"/>
    </i>
    <i r="1">
      <x v="172"/>
    </i>
    <i r="1">
      <x v="176"/>
    </i>
    <i r="1">
      <x v="178"/>
    </i>
    <i r="1">
      <x v="190"/>
    </i>
    <i r="1">
      <x v="192"/>
    </i>
    <i r="1">
      <x v="204"/>
    </i>
    <i r="1">
      <x v="205"/>
    </i>
    <i r="1">
      <x v="219"/>
    </i>
    <i r="1">
      <x v="225"/>
    </i>
    <i r="1">
      <x v="233"/>
    </i>
    <i r="1">
      <x v="238"/>
    </i>
    <i r="1">
      <x v="256"/>
    </i>
    <i r="1">
      <x v="264"/>
    </i>
    <i r="1">
      <x v="271"/>
    </i>
    <i r="1">
      <x v="281"/>
    </i>
    <i r="1">
      <x v="303"/>
    </i>
    <i r="1">
      <x v="309"/>
    </i>
    <i r="1">
      <x v="310"/>
    </i>
    <i r="1">
      <x v="312"/>
    </i>
    <i r="1">
      <x v="322"/>
    </i>
    <i r="1">
      <x v="323"/>
    </i>
    <i r="1">
      <x v="324"/>
    </i>
    <i r="1">
      <x v="326"/>
    </i>
    <i r="1">
      <x v="327"/>
    </i>
    <i r="1">
      <x v="328"/>
    </i>
    <i r="1">
      <x v="329"/>
    </i>
    <i r="1">
      <x v="332"/>
    </i>
    <i r="1">
      <x v="350"/>
    </i>
    <i r="1">
      <x v="374"/>
    </i>
    <i r="1">
      <x v="393"/>
    </i>
    <i r="1">
      <x v="397"/>
    </i>
    <i r="1">
      <x v="401"/>
    </i>
    <i r="1">
      <x v="418"/>
    </i>
    <i r="1">
      <x v="424"/>
    </i>
    <i r="1">
      <x v="440"/>
    </i>
    <i>
      <x v="72"/>
    </i>
    <i r="1">
      <x v="11"/>
    </i>
    <i r="1">
      <x v="15"/>
    </i>
    <i r="1">
      <x v="17"/>
    </i>
    <i r="1">
      <x v="33"/>
    </i>
    <i r="1">
      <x v="41"/>
    </i>
    <i r="1">
      <x v="52"/>
    </i>
    <i r="1">
      <x v="53"/>
    </i>
    <i r="1">
      <x v="54"/>
    </i>
    <i r="1">
      <x v="69"/>
    </i>
    <i r="1">
      <x v="80"/>
    </i>
    <i r="1">
      <x v="93"/>
    </i>
    <i r="1">
      <x v="126"/>
    </i>
    <i r="1">
      <x v="127"/>
    </i>
    <i r="1">
      <x v="128"/>
    </i>
    <i r="1">
      <x v="130"/>
    </i>
    <i r="1">
      <x v="132"/>
    </i>
    <i r="1">
      <x v="134"/>
    </i>
    <i r="1">
      <x v="141"/>
    </i>
    <i r="1">
      <x v="142"/>
    </i>
    <i r="1">
      <x v="148"/>
    </i>
    <i r="1">
      <x v="160"/>
    </i>
    <i r="1">
      <x v="166"/>
    </i>
    <i r="1">
      <x v="172"/>
    </i>
    <i r="1">
      <x v="176"/>
    </i>
    <i r="1">
      <x v="178"/>
    </i>
    <i r="1">
      <x v="190"/>
    </i>
    <i r="1">
      <x v="192"/>
    </i>
    <i r="1">
      <x v="204"/>
    </i>
    <i r="1">
      <x v="205"/>
    </i>
    <i r="1">
      <x v="219"/>
    </i>
    <i r="1">
      <x v="225"/>
    </i>
    <i r="1">
      <x v="233"/>
    </i>
    <i r="1">
      <x v="238"/>
    </i>
    <i r="1">
      <x v="256"/>
    </i>
    <i r="1">
      <x v="264"/>
    </i>
    <i r="1">
      <x v="271"/>
    </i>
    <i r="1">
      <x v="281"/>
    </i>
    <i r="1">
      <x v="303"/>
    </i>
    <i r="1">
      <x v="309"/>
    </i>
    <i r="1">
      <x v="310"/>
    </i>
    <i r="1">
      <x v="312"/>
    </i>
    <i r="1">
      <x v="322"/>
    </i>
    <i r="1">
      <x v="323"/>
    </i>
    <i r="1">
      <x v="324"/>
    </i>
    <i r="1">
      <x v="326"/>
    </i>
    <i r="1">
      <x v="327"/>
    </i>
    <i r="1">
      <x v="328"/>
    </i>
    <i r="1">
      <x v="329"/>
    </i>
    <i r="1">
      <x v="332"/>
    </i>
    <i r="1">
      <x v="350"/>
    </i>
    <i r="1">
      <x v="374"/>
    </i>
    <i r="1">
      <x v="393"/>
    </i>
    <i r="1">
      <x v="397"/>
    </i>
    <i r="1">
      <x v="401"/>
    </i>
    <i r="1">
      <x v="418"/>
    </i>
    <i r="1">
      <x v="424"/>
    </i>
    <i r="1">
      <x v="440"/>
    </i>
    <i>
      <x v="73"/>
    </i>
    <i r="1">
      <x v="10"/>
    </i>
    <i r="1">
      <x v="12"/>
    </i>
    <i r="1">
      <x v="23"/>
    </i>
    <i r="1">
      <x v="28"/>
    </i>
    <i r="1">
      <x v="29"/>
    </i>
    <i r="1">
      <x v="87"/>
    </i>
    <i r="1">
      <x v="95"/>
    </i>
    <i r="1">
      <x v="98"/>
    </i>
    <i r="1">
      <x v="102"/>
    </i>
    <i r="1">
      <x v="131"/>
    </i>
    <i r="1">
      <x v="137"/>
    </i>
    <i r="1">
      <x v="138"/>
    </i>
    <i r="1">
      <x v="139"/>
    </i>
    <i r="1">
      <x v="165"/>
    </i>
    <i r="1">
      <x v="171"/>
    </i>
    <i r="1">
      <x v="181"/>
    </i>
    <i r="1">
      <x v="199"/>
    </i>
    <i r="1">
      <x v="221"/>
    </i>
    <i r="1">
      <x v="235"/>
    </i>
    <i r="1">
      <x v="239"/>
    </i>
    <i r="1">
      <x v="245"/>
    </i>
    <i r="1">
      <x v="250"/>
    </i>
    <i r="1">
      <x v="251"/>
    </i>
    <i r="1">
      <x v="268"/>
    </i>
    <i r="1">
      <x v="274"/>
    </i>
    <i r="1">
      <x v="289"/>
    </i>
    <i r="1">
      <x v="306"/>
    </i>
    <i r="1">
      <x v="313"/>
    </i>
    <i r="1">
      <x v="330"/>
    </i>
    <i r="1">
      <x v="347"/>
    </i>
    <i r="1">
      <x v="354"/>
    </i>
    <i r="1">
      <x v="364"/>
    </i>
    <i r="1">
      <x v="404"/>
    </i>
    <i r="1">
      <x v="414"/>
    </i>
    <i r="1">
      <x v="415"/>
    </i>
    <i r="1">
      <x v="427"/>
    </i>
    <i r="1">
      <x v="435"/>
    </i>
    <i r="1">
      <x v="439"/>
    </i>
    <i r="1">
      <x v="441"/>
    </i>
    <i r="1">
      <x v="442"/>
    </i>
    <i r="1">
      <x v="443"/>
    </i>
    <i r="1">
      <x v="452"/>
    </i>
    <i r="1">
      <x v="463"/>
    </i>
    <i r="1">
      <x v="465"/>
    </i>
    <i r="1">
      <x v="467"/>
    </i>
    <i r="1">
      <x v="470"/>
    </i>
    <i r="1">
      <x v="471"/>
    </i>
    <i r="1">
      <x v="474"/>
    </i>
    <i>
      <x v="74"/>
    </i>
    <i r="1">
      <x v="10"/>
    </i>
    <i r="1">
      <x v="12"/>
    </i>
    <i r="1">
      <x v="23"/>
    </i>
    <i r="1">
      <x v="28"/>
    </i>
    <i r="1">
      <x v="29"/>
    </i>
    <i r="1">
      <x v="87"/>
    </i>
    <i r="1">
      <x v="95"/>
    </i>
    <i r="1">
      <x v="98"/>
    </i>
    <i r="1">
      <x v="102"/>
    </i>
    <i r="1">
      <x v="131"/>
    </i>
    <i r="1">
      <x v="137"/>
    </i>
    <i r="1">
      <x v="138"/>
    </i>
    <i r="1">
      <x v="139"/>
    </i>
    <i r="1">
      <x v="165"/>
    </i>
    <i r="1">
      <x v="171"/>
    </i>
    <i r="1">
      <x v="181"/>
    </i>
    <i r="1">
      <x v="221"/>
    </i>
    <i r="1">
      <x v="235"/>
    </i>
    <i r="1">
      <x v="239"/>
    </i>
    <i r="1">
      <x v="245"/>
    </i>
    <i r="1">
      <x v="251"/>
    </i>
    <i r="1">
      <x v="268"/>
    </i>
    <i r="1">
      <x v="273"/>
    </i>
    <i r="1">
      <x v="274"/>
    </i>
    <i r="1">
      <x v="289"/>
    </i>
    <i r="1">
      <x v="306"/>
    </i>
    <i r="1">
      <x v="313"/>
    </i>
    <i r="1">
      <x v="330"/>
    </i>
    <i r="1">
      <x v="347"/>
    </i>
    <i r="1">
      <x v="354"/>
    </i>
    <i r="1">
      <x v="364"/>
    </i>
    <i r="1">
      <x v="404"/>
    </i>
    <i r="1">
      <x v="414"/>
    </i>
    <i r="1">
      <x v="415"/>
    </i>
    <i r="1">
      <x v="427"/>
    </i>
    <i r="1">
      <x v="435"/>
    </i>
    <i r="1">
      <x v="439"/>
    </i>
    <i r="1">
      <x v="441"/>
    </i>
    <i r="1">
      <x v="442"/>
    </i>
    <i r="1">
      <x v="443"/>
    </i>
    <i r="1">
      <x v="452"/>
    </i>
    <i r="1">
      <x v="463"/>
    </i>
    <i r="1">
      <x v="465"/>
    </i>
    <i r="1">
      <x v="467"/>
    </i>
    <i r="1">
      <x v="470"/>
    </i>
    <i r="1">
      <x v="471"/>
    </i>
    <i r="1">
      <x v="474"/>
    </i>
    <i>
      <x v="75"/>
    </i>
    <i r="1">
      <x v="3"/>
    </i>
    <i r="1">
      <x v="22"/>
    </i>
    <i r="1">
      <x v="86"/>
    </i>
    <i r="1">
      <x v="103"/>
    </i>
    <i r="1">
      <x v="110"/>
    </i>
    <i r="1">
      <x v="116"/>
    </i>
    <i r="1">
      <x v="124"/>
    </i>
    <i r="1">
      <x v="131"/>
    </i>
    <i r="1">
      <x v="163"/>
    </i>
    <i r="1">
      <x v="200"/>
    </i>
    <i r="1">
      <x v="202"/>
    </i>
    <i r="1">
      <x v="203"/>
    </i>
    <i r="1">
      <x v="210"/>
    </i>
    <i r="1">
      <x v="212"/>
    </i>
    <i r="1">
      <x v="218"/>
    </i>
    <i r="1">
      <x v="235"/>
    </i>
    <i r="1">
      <x v="245"/>
    </i>
    <i r="1">
      <x v="253"/>
    </i>
    <i r="1">
      <x v="265"/>
    </i>
    <i r="1">
      <x v="268"/>
    </i>
    <i r="1">
      <x v="279"/>
    </i>
    <i r="1">
      <x v="307"/>
    </i>
    <i r="1">
      <x v="311"/>
    </i>
    <i r="1">
      <x v="313"/>
    </i>
    <i r="1">
      <x v="337"/>
    </i>
    <i r="1">
      <x v="357"/>
    </i>
    <i r="1">
      <x v="363"/>
    </i>
    <i r="1">
      <x v="367"/>
    </i>
    <i r="1">
      <x v="394"/>
    </i>
    <i r="1">
      <x v="396"/>
    </i>
    <i r="1">
      <x v="404"/>
    </i>
    <i r="1">
      <x v="410"/>
    </i>
    <i r="1">
      <x v="421"/>
    </i>
    <i r="1">
      <x v="438"/>
    </i>
    <i r="1">
      <x v="443"/>
    </i>
    <i r="1">
      <x v="445"/>
    </i>
    <i r="1">
      <x v="463"/>
    </i>
    <i r="1">
      <x v="471"/>
    </i>
    <i r="1">
      <x v="475"/>
    </i>
    <i r="1">
      <x v="477"/>
    </i>
    <i>
      <x v="76"/>
    </i>
    <i r="1">
      <x v="3"/>
    </i>
    <i r="1">
      <x v="22"/>
    </i>
    <i r="1">
      <x v="86"/>
    </i>
    <i r="1">
      <x v="103"/>
    </i>
    <i r="1">
      <x v="110"/>
    </i>
    <i r="1">
      <x v="116"/>
    </i>
    <i r="1">
      <x v="124"/>
    </i>
    <i r="1">
      <x v="131"/>
    </i>
    <i r="1">
      <x v="163"/>
    </i>
    <i r="1">
      <x v="200"/>
    </i>
    <i r="1">
      <x v="202"/>
    </i>
    <i r="1">
      <x v="203"/>
    </i>
    <i r="1">
      <x v="212"/>
    </i>
    <i r="1">
      <x v="218"/>
    </i>
    <i r="1">
      <x v="235"/>
    </i>
    <i r="1">
      <x v="245"/>
    </i>
    <i r="1">
      <x v="253"/>
    </i>
    <i r="1">
      <x v="265"/>
    </i>
    <i r="1">
      <x v="268"/>
    </i>
    <i r="1">
      <x v="279"/>
    </i>
    <i r="1">
      <x v="307"/>
    </i>
    <i r="1">
      <x v="311"/>
    </i>
    <i r="1">
      <x v="313"/>
    </i>
    <i r="1">
      <x v="337"/>
    </i>
    <i r="1">
      <x v="357"/>
    </i>
    <i r="1">
      <x v="363"/>
    </i>
    <i r="1">
      <x v="367"/>
    </i>
    <i r="1">
      <x v="394"/>
    </i>
    <i r="1">
      <x v="396"/>
    </i>
    <i r="1">
      <x v="404"/>
    </i>
    <i r="1">
      <x v="410"/>
    </i>
    <i r="1">
      <x v="421"/>
    </i>
    <i r="1">
      <x v="438"/>
    </i>
    <i r="1">
      <x v="443"/>
    </i>
    <i r="1">
      <x v="445"/>
    </i>
    <i r="1">
      <x v="463"/>
    </i>
    <i r="1">
      <x v="471"/>
    </i>
    <i r="1">
      <x v="475"/>
    </i>
    <i r="1">
      <x v="477"/>
    </i>
    <i>
      <x v="77"/>
    </i>
    <i r="1">
      <x v="8"/>
    </i>
    <i r="1">
      <x v="31"/>
    </i>
    <i r="1">
      <x v="55"/>
    </i>
    <i r="1">
      <x v="58"/>
    </i>
    <i r="1">
      <x v="77"/>
    </i>
    <i r="1">
      <x v="86"/>
    </i>
    <i r="1">
      <x v="110"/>
    </i>
    <i r="1">
      <x v="122"/>
    </i>
    <i r="1">
      <x v="169"/>
    </i>
    <i r="1">
      <x v="180"/>
    </i>
    <i r="1">
      <x v="203"/>
    </i>
    <i r="1">
      <x v="206"/>
    </i>
    <i r="1">
      <x v="214"/>
    </i>
    <i r="1">
      <x v="257"/>
    </i>
    <i r="1">
      <x v="258"/>
    </i>
    <i r="1">
      <x v="276"/>
    </i>
    <i r="1">
      <x v="280"/>
    </i>
    <i r="1">
      <x v="292"/>
    </i>
    <i r="1">
      <x v="299"/>
    </i>
    <i r="1">
      <x v="317"/>
    </i>
    <i r="1">
      <x v="333"/>
    </i>
    <i r="1">
      <x v="348"/>
    </i>
    <i r="1">
      <x v="349"/>
    </i>
    <i r="1">
      <x v="365"/>
    </i>
    <i r="1">
      <x v="384"/>
    </i>
    <i r="1">
      <x v="407"/>
    </i>
    <i r="1">
      <x v="408"/>
    </i>
    <i r="1">
      <x v="438"/>
    </i>
    <i r="1">
      <x v="458"/>
    </i>
    <i>
      <x v="78"/>
    </i>
    <i r="1">
      <x v="8"/>
    </i>
    <i r="1">
      <x v="31"/>
    </i>
    <i r="1">
      <x v="55"/>
    </i>
    <i r="1">
      <x v="58"/>
    </i>
    <i r="1">
      <x v="77"/>
    </i>
    <i r="1">
      <x v="86"/>
    </i>
    <i r="1">
      <x v="110"/>
    </i>
    <i r="1">
      <x v="122"/>
    </i>
    <i r="1">
      <x v="169"/>
    </i>
    <i r="1">
      <x v="180"/>
    </i>
    <i r="1">
      <x v="203"/>
    </i>
    <i r="1">
      <x v="206"/>
    </i>
    <i r="1">
      <x v="257"/>
    </i>
    <i r="1">
      <x v="258"/>
    </i>
    <i r="1">
      <x v="276"/>
    </i>
    <i r="1">
      <x v="280"/>
    </i>
    <i r="1">
      <x v="292"/>
    </i>
    <i r="1">
      <x v="299"/>
    </i>
    <i r="1">
      <x v="317"/>
    </i>
    <i r="1">
      <x v="333"/>
    </i>
    <i r="1">
      <x v="348"/>
    </i>
    <i r="1">
      <x v="349"/>
    </i>
    <i r="1">
      <x v="365"/>
    </i>
    <i r="1">
      <x v="384"/>
    </i>
    <i r="1">
      <x v="407"/>
    </i>
    <i r="1">
      <x v="408"/>
    </i>
    <i r="1">
      <x v="438"/>
    </i>
    <i r="1">
      <x v="458"/>
    </i>
    <i>
      <x v="79"/>
    </i>
    <i r="1">
      <x v="98"/>
    </i>
    <i r="1">
      <x v="131"/>
    </i>
    <i r="1">
      <x v="268"/>
    </i>
    <i r="1">
      <x v="435"/>
    </i>
    <i r="1">
      <x v="442"/>
    </i>
    <i r="1">
      <x v="443"/>
    </i>
    <i r="1">
      <x v="470"/>
    </i>
    <i r="1">
      <x v="471"/>
    </i>
    <i>
      <x v="80"/>
    </i>
    <i r="1">
      <x v="98"/>
    </i>
    <i r="1">
      <x v="131"/>
    </i>
    <i r="1">
      <x v="268"/>
    </i>
    <i r="1">
      <x v="435"/>
    </i>
    <i r="1">
      <x v="442"/>
    </i>
    <i r="1">
      <x v="443"/>
    </i>
    <i r="1">
      <x v="470"/>
    </i>
    <i r="1">
      <x v="471"/>
    </i>
    <i>
      <x v="81"/>
    </i>
    <i r="1">
      <x v="4"/>
    </i>
    <i r="1">
      <x v="70"/>
    </i>
    <i r="1">
      <x v="72"/>
    </i>
    <i r="1">
      <x v="86"/>
    </i>
    <i r="1">
      <x v="167"/>
    </i>
    <i r="1">
      <x v="168"/>
    </i>
    <i r="1">
      <x v="189"/>
    </i>
    <i r="1">
      <x v="203"/>
    </i>
    <i r="1">
      <x v="317"/>
    </i>
    <i r="1">
      <x v="460"/>
    </i>
    <i>
      <x v="82"/>
    </i>
    <i r="1">
      <x v="4"/>
    </i>
    <i r="1">
      <x v="70"/>
    </i>
    <i r="1">
      <x v="72"/>
    </i>
    <i r="1">
      <x v="86"/>
    </i>
    <i r="1">
      <x v="167"/>
    </i>
    <i r="1">
      <x v="168"/>
    </i>
    <i r="1">
      <x v="189"/>
    </i>
    <i r="1">
      <x v="203"/>
    </i>
    <i r="1">
      <x v="317"/>
    </i>
    <i r="1">
      <x v="460"/>
    </i>
    <i>
      <x v="83"/>
    </i>
    <i r="1">
      <x v="86"/>
    </i>
    <i r="1">
      <x v="110"/>
    </i>
    <i r="1">
      <x v="203"/>
    </i>
    <i r="1">
      <x v="253"/>
    </i>
    <i r="1">
      <x v="363"/>
    </i>
    <i r="1">
      <x v="421"/>
    </i>
    <i r="1">
      <x v="438"/>
    </i>
    <i>
      <x v="84"/>
    </i>
    <i r="1">
      <x v="86"/>
    </i>
    <i r="1">
      <x v="110"/>
    </i>
    <i r="1">
      <x v="203"/>
    </i>
    <i r="1">
      <x v="253"/>
    </i>
    <i r="1">
      <x v="363"/>
    </i>
    <i r="1">
      <x v="421"/>
    </i>
    <i r="1">
      <x v="438"/>
    </i>
    <i>
      <x v="85"/>
    </i>
    <i r="1">
      <x v="54"/>
    </i>
    <i r="1">
      <x v="78"/>
    </i>
    <i r="1">
      <x v="178"/>
    </i>
    <i r="1">
      <x v="233"/>
    </i>
    <i r="1">
      <x v="271"/>
    </i>
    <i r="1">
      <x v="327"/>
    </i>
    <i>
      <x v="86"/>
    </i>
    <i r="1">
      <x v="54"/>
    </i>
    <i r="1">
      <x v="78"/>
    </i>
    <i r="1">
      <x v="178"/>
    </i>
    <i r="1">
      <x v="233"/>
    </i>
    <i r="1">
      <x v="271"/>
    </i>
    <i r="1">
      <x v="327"/>
    </i>
    <i>
      <x v="87"/>
    </i>
    <i r="1">
      <x v="3"/>
    </i>
    <i r="1">
      <x v="5"/>
    </i>
    <i r="1">
      <x v="22"/>
    </i>
    <i r="1">
      <x v="27"/>
    </i>
    <i r="1">
      <x v="44"/>
    </i>
    <i r="1">
      <x v="97"/>
    </i>
    <i r="1">
      <x v="116"/>
    </i>
    <i r="1">
      <x v="124"/>
    </i>
    <i r="1">
      <x v="163"/>
    </i>
    <i r="1">
      <x v="175"/>
    </i>
    <i r="1">
      <x v="198"/>
    </i>
    <i r="1">
      <x v="202"/>
    </i>
    <i r="1">
      <x v="218"/>
    </i>
    <i r="1">
      <x v="248"/>
    </i>
    <i r="1">
      <x v="252"/>
    </i>
    <i r="1">
      <x v="272"/>
    </i>
    <i r="1">
      <x v="279"/>
    </i>
    <i r="1">
      <x v="367"/>
    </i>
    <i r="1">
      <x v="389"/>
    </i>
    <i r="1">
      <x v="391"/>
    </i>
    <i r="1">
      <x v="421"/>
    </i>
    <i r="1">
      <x v="475"/>
    </i>
    <i r="1">
      <x v="479"/>
    </i>
    <i>
      <x v="88"/>
    </i>
    <i r="1">
      <x v="3"/>
    </i>
    <i r="1">
      <x v="5"/>
    </i>
    <i r="1">
      <x v="22"/>
    </i>
    <i r="1">
      <x v="27"/>
    </i>
    <i r="1">
      <x v="44"/>
    </i>
    <i r="1">
      <x v="97"/>
    </i>
    <i r="1">
      <x v="116"/>
    </i>
    <i r="1">
      <x v="124"/>
    </i>
    <i r="1">
      <x v="163"/>
    </i>
    <i r="1">
      <x v="175"/>
    </i>
    <i r="1">
      <x v="198"/>
    </i>
    <i r="1">
      <x v="202"/>
    </i>
    <i r="1">
      <x v="218"/>
    </i>
    <i r="1">
      <x v="248"/>
    </i>
    <i r="1">
      <x v="252"/>
    </i>
    <i r="1">
      <x v="272"/>
    </i>
    <i r="1">
      <x v="279"/>
    </i>
    <i r="1">
      <x v="355"/>
    </i>
    <i r="1">
      <x v="367"/>
    </i>
    <i r="1">
      <x v="389"/>
    </i>
    <i r="1">
      <x v="391"/>
    </i>
    <i r="1">
      <x v="421"/>
    </i>
    <i r="1">
      <x v="475"/>
    </i>
    <i r="1">
      <x v="479"/>
    </i>
    <i>
      <x v="89"/>
    </i>
    <i r="1">
      <x v="27"/>
    </i>
    <i r="1">
      <x v="97"/>
    </i>
    <i r="1">
      <x v="131"/>
    </i>
    <i r="1">
      <x v="161"/>
    </i>
    <i r="1">
      <x v="198"/>
    </i>
    <i r="1">
      <x v="212"/>
    </i>
    <i r="1">
      <x v="218"/>
    </i>
    <i r="1">
      <x v="294"/>
    </i>
    <i r="1">
      <x v="297"/>
    </i>
    <i r="1">
      <x v="311"/>
    </i>
    <i r="1">
      <x v="334"/>
    </i>
    <i r="1">
      <x v="338"/>
    </i>
    <i r="1">
      <x v="339"/>
    </i>
    <i r="1">
      <x v="342"/>
    </i>
    <i r="1">
      <x v="359"/>
    </i>
    <i r="1">
      <x v="377"/>
    </i>
    <i r="1">
      <x v="394"/>
    </i>
    <i r="1">
      <x v="450"/>
    </i>
    <i r="1">
      <x v="456"/>
    </i>
    <i>
      <x v="90"/>
    </i>
    <i r="1">
      <x v="27"/>
    </i>
    <i r="1">
      <x v="97"/>
    </i>
    <i r="1">
      <x v="131"/>
    </i>
    <i r="1">
      <x v="161"/>
    </i>
    <i r="1">
      <x v="198"/>
    </i>
    <i r="1">
      <x v="212"/>
    </i>
    <i r="1">
      <x v="218"/>
    </i>
    <i r="1">
      <x v="294"/>
    </i>
    <i r="1">
      <x v="297"/>
    </i>
    <i r="1">
      <x v="311"/>
    </i>
    <i r="1">
      <x v="334"/>
    </i>
    <i r="1">
      <x v="338"/>
    </i>
    <i r="1">
      <x v="339"/>
    </i>
    <i r="1">
      <x v="342"/>
    </i>
    <i r="1">
      <x v="355"/>
    </i>
    <i r="1">
      <x v="359"/>
    </i>
    <i r="1">
      <x v="377"/>
    </i>
    <i r="1">
      <x v="394"/>
    </i>
    <i r="1">
      <x v="450"/>
    </i>
    <i r="1">
      <x v="456"/>
    </i>
    <i t="grand">
      <x/>
    </i>
  </rowItems>
  <colItems count="1">
    <i/>
  </colItems>
  <dataFields count="1">
    <dataField name="Average of average_delay_minute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CD43F-7ACD-454E-9F48-70AACEEC541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34" firstHeaderRow="1" firstDataRow="1" firstDataCol="3"/>
  <pivotFields count="13">
    <pivotField axis="axisRow" compact="0" outline="0" showAll="0" defaultSubtotal="0">
      <items count="90">
        <item x="80"/>
        <item h="1" x="81"/>
        <item h="1" x="82"/>
        <item h="1" x="83"/>
        <item h="1" x="26"/>
        <item h="1" x="27"/>
        <item h="1" x="50"/>
        <item h="1" x="51"/>
        <item h="1" x="52"/>
        <item h="1" x="53"/>
        <item h="1" x="54"/>
        <item h="1" x="55"/>
        <item h="1" x="40"/>
        <item h="1" x="41"/>
        <item h="1" x="34"/>
        <item h="1" x="35"/>
        <item h="1" x="88"/>
        <item h="1" x="89"/>
        <item h="1" x="56"/>
        <item h="1" x="57"/>
        <item h="1" x="58"/>
        <item h="1" x="59"/>
        <item h="1" x="60"/>
        <item h="1" x="61"/>
        <item h="1" x="62"/>
        <item h="1" x="63"/>
        <item h="1" x="16"/>
        <item h="1" x="17"/>
        <item h="1" x="64"/>
        <item h="1" x="65"/>
        <item h="1" x="66"/>
        <item h="1" x="67"/>
        <item h="1" x="68"/>
        <item h="1" x="69"/>
        <item h="1" x="84"/>
        <item h="1" x="85"/>
        <item h="1" x="70"/>
        <item h="1" x="71"/>
        <item h="1" x="14"/>
        <item h="1" x="15"/>
        <item h="1" x="42"/>
        <item h="1" x="43"/>
        <item h="1" x="10"/>
        <item h="1" x="11"/>
        <item h="1" x="20"/>
        <item h="1" x="21"/>
        <item h="1" x="6"/>
        <item h="1" x="7"/>
        <item h="1" x="4"/>
        <item h="1" x="5"/>
        <item h="1" x="0"/>
        <item h="1" x="1"/>
        <item h="1" x="36"/>
        <item h="1" x="37"/>
        <item h="1" x="2"/>
        <item h="1" x="3"/>
        <item h="1" x="12"/>
        <item h="1" x="13"/>
        <item h="1" x="18"/>
        <item h="1" x="19"/>
        <item h="1" x="28"/>
        <item h="1" x="29"/>
        <item h="1" x="38"/>
        <item h="1" x="39"/>
        <item h="1" x="22"/>
        <item h="1" x="23"/>
        <item h="1" x="72"/>
        <item h="1" x="73"/>
        <item h="1" x="74"/>
        <item h="1" x="75"/>
        <item h="1" x="86"/>
        <item h="1" x="87"/>
        <item h="1" x="46"/>
        <item h="1" x="47"/>
        <item h="1" x="44"/>
        <item h="1" x="45"/>
        <item h="1" x="30"/>
        <item h="1" x="31"/>
        <item h="1" x="8"/>
        <item h="1" x="9"/>
        <item h="1" x="76"/>
        <item h="1" x="77"/>
        <item h="1" x="78"/>
        <item h="1" x="79"/>
        <item h="1" x="24"/>
        <item h="1" x="25"/>
        <item h="1" x="48"/>
        <item h="1" x="49"/>
        <item h="1" x="32"/>
        <item h="1"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0">
        <item x="422"/>
        <item x="381"/>
        <item x="214"/>
        <item x="39"/>
        <item x="330"/>
        <item x="334"/>
        <item x="383"/>
        <item x="186"/>
        <item x="360"/>
        <item x="318"/>
        <item x="444"/>
        <item x="111"/>
        <item x="158"/>
        <item x="20"/>
        <item x="433"/>
        <item x="224"/>
        <item x="460"/>
        <item x="162"/>
        <item x="61"/>
        <item x="332"/>
        <item x="351"/>
        <item x="294"/>
        <item x="321"/>
        <item x="470"/>
        <item x="63"/>
        <item x="97"/>
        <item x="2"/>
        <item x="309"/>
        <item x="305"/>
        <item x="337"/>
        <item x="173"/>
        <item x="1"/>
        <item x="438"/>
        <item x="254"/>
        <item x="261"/>
        <item x="428"/>
        <item x="44"/>
        <item x="33"/>
        <item x="50"/>
        <item x="250"/>
        <item x="432"/>
        <item x="138"/>
        <item x="391"/>
        <item x="78"/>
        <item x="70"/>
        <item x="376"/>
        <item x="365"/>
        <item x="267"/>
        <item x="427"/>
        <item x="425"/>
        <item x="419"/>
        <item x="458"/>
        <item x="286"/>
        <item x="131"/>
        <item x="183"/>
        <item x="149"/>
        <item x="161"/>
        <item x="190"/>
        <item x="84"/>
        <item x="45"/>
        <item x="417"/>
        <item x="150"/>
        <item x="231"/>
        <item x="271"/>
        <item x="143"/>
        <item x="399"/>
        <item x="410"/>
        <item x="235"/>
        <item x="462"/>
        <item x="36"/>
        <item x="48"/>
        <item x="245"/>
        <item x="359"/>
        <item x="361"/>
        <item x="118"/>
        <item x="340"/>
        <item x="188"/>
        <item x="129"/>
        <item x="226"/>
        <item x="450"/>
        <item x="123"/>
        <item x="52"/>
        <item x="268"/>
        <item x="246"/>
        <item x="96"/>
        <item x="163"/>
        <item x="322"/>
        <item x="243"/>
        <item x="239"/>
        <item x="82"/>
        <item x="339"/>
        <item x="107"/>
        <item x="372"/>
        <item x="51"/>
        <item x="13"/>
        <item x="105"/>
        <item x="0"/>
        <item x="11"/>
        <item x="396"/>
        <item x="58"/>
        <item x="71"/>
        <item x="314"/>
        <item x="115"/>
        <item x="356"/>
        <item x="9"/>
        <item x="8"/>
        <item x="219"/>
        <item x="47"/>
        <item x="256"/>
        <item x="164"/>
        <item x="227"/>
        <item x="140"/>
        <item x="98"/>
        <item x="277"/>
        <item x="255"/>
        <item x="291"/>
        <item x="386"/>
        <item x="259"/>
        <item x="406"/>
        <item x="338"/>
        <item x="421"/>
        <item x="182"/>
        <item x="394"/>
        <item x="295"/>
        <item x="137"/>
        <item x="441"/>
        <item x="281"/>
        <item x="366"/>
        <item x="95"/>
        <item x="369"/>
        <item x="19"/>
        <item x="370"/>
        <item x="387"/>
        <item x="465"/>
        <item x="335"/>
        <item x="68"/>
        <item x="311"/>
        <item x="320"/>
        <item x="110"/>
        <item x="6"/>
        <item x="449"/>
        <item x="446"/>
        <item x="382"/>
        <item x="120"/>
        <item x="275"/>
        <item x="430"/>
        <item x="276"/>
        <item x="459"/>
        <item x="388"/>
        <item x="146"/>
        <item x="273"/>
        <item x="253"/>
        <item x="390"/>
        <item x="364"/>
        <item x="151"/>
        <item x="85"/>
        <item x="139"/>
        <item x="272"/>
        <item x="216"/>
        <item x="448"/>
        <item x="193"/>
        <item x="74"/>
        <item x="215"/>
        <item x="385"/>
        <item x="325"/>
        <item x="289"/>
        <item x="38"/>
        <item x="40"/>
        <item x="179"/>
        <item x="249"/>
        <item x="317"/>
        <item x="443"/>
        <item x="426"/>
        <item x="148"/>
        <item x="328"/>
        <item x="455"/>
        <item x="393"/>
        <item x="42"/>
        <item x="53"/>
        <item x="168"/>
        <item x="323"/>
        <item x="35"/>
        <item x="88"/>
        <item x="384"/>
        <item x="46"/>
        <item x="266"/>
        <item x="242"/>
        <item x="160"/>
        <item x="244"/>
        <item x="280"/>
        <item x="420"/>
        <item x="439"/>
        <item x="344"/>
        <item x="405"/>
        <item x="400"/>
        <item x="345"/>
        <item x="263"/>
        <item x="4"/>
        <item x="315"/>
        <item x="296"/>
        <item x="423"/>
        <item x="208"/>
        <item x="166"/>
        <item x="288"/>
        <item x="447"/>
        <item x="185"/>
        <item x="475"/>
        <item x="350"/>
        <item x="413"/>
        <item x="290"/>
        <item x="237"/>
        <item x="198"/>
        <item x="469"/>
        <item x="167"/>
        <item x="474"/>
        <item x="373"/>
        <item x="89"/>
        <item x="3"/>
        <item x="435"/>
        <item x="407"/>
        <item x="103"/>
        <item x="398"/>
        <item x="401"/>
        <item x="232"/>
        <item x="437"/>
        <item x="31"/>
        <item x="247"/>
        <item x="43"/>
        <item x="248"/>
        <item x="49"/>
        <item x="429"/>
        <item x="411"/>
        <item x="132"/>
        <item x="346"/>
        <item x="21"/>
        <item x="353"/>
        <item x="221"/>
        <item x="284"/>
        <item x="102"/>
        <item x="415"/>
        <item x="258"/>
        <item x="274"/>
        <item x="128"/>
        <item x="108"/>
        <item x="28"/>
        <item x="476"/>
        <item x="389"/>
        <item x="77"/>
        <item x="392"/>
        <item x="307"/>
        <item x="312"/>
        <item x="79"/>
        <item x="292"/>
        <item x="238"/>
        <item x="135"/>
        <item x="456"/>
        <item x="172"/>
        <item x="191"/>
        <item x="354"/>
        <item x="204"/>
        <item x="205"/>
        <item x="424"/>
        <item x="159"/>
        <item x="371"/>
        <item x="297"/>
        <item x="468"/>
        <item x="343"/>
        <item x="22"/>
        <item x="379"/>
        <item x="90"/>
        <item x="130"/>
        <item x="326"/>
        <item x="23"/>
        <item x="18"/>
        <item x="473"/>
        <item x="170"/>
        <item x="269"/>
        <item x="375"/>
        <item x="213"/>
        <item x="176"/>
        <item x="368"/>
        <item x="414"/>
        <item x="119"/>
        <item x="270"/>
        <item x="104"/>
        <item x="153"/>
        <item x="152"/>
        <item x="141"/>
        <item x="14"/>
        <item x="404"/>
        <item x="408"/>
        <item x="187"/>
        <item x="93"/>
        <item x="197"/>
        <item x="347"/>
        <item x="471"/>
        <item x="194"/>
        <item x="136"/>
        <item x="180"/>
        <item x="122"/>
        <item x="341"/>
        <item x="155"/>
        <item x="434"/>
        <item x="333"/>
        <item x="127"/>
        <item x="310"/>
        <item x="303"/>
        <item x="34"/>
        <item x="464"/>
        <item x="454"/>
        <item x="196"/>
        <item x="463"/>
        <item x="301"/>
        <item x="251"/>
        <item x="87"/>
        <item x="264"/>
        <item x="169"/>
        <item x="374"/>
        <item x="56"/>
        <item x="230"/>
        <item x="73"/>
        <item x="283"/>
        <item x="285"/>
        <item x="282"/>
        <item x="41"/>
        <item x="279"/>
        <item x="133"/>
        <item x="445"/>
        <item x="367"/>
        <item x="313"/>
        <item x="66"/>
        <item x="440"/>
        <item x="184"/>
        <item x="199"/>
        <item x="72"/>
        <item x="113"/>
        <item x="299"/>
        <item x="114"/>
        <item x="200"/>
        <item x="380"/>
        <item x="55"/>
        <item x="203"/>
        <item x="402"/>
        <item x="236"/>
        <item x="466"/>
        <item x="363"/>
        <item x="316"/>
        <item x="177"/>
        <item x="174"/>
        <item x="452"/>
        <item x="377"/>
        <item x="348"/>
        <item x="431"/>
        <item x="304"/>
        <item x="10"/>
        <item x="241"/>
        <item x="298"/>
        <item x="86"/>
        <item x="202"/>
        <item x="92"/>
        <item x="349"/>
        <item x="94"/>
        <item x="206"/>
        <item x="324"/>
        <item x="178"/>
        <item x="222"/>
        <item x="212"/>
        <item x="257"/>
        <item x="65"/>
        <item x="144"/>
        <item x="80"/>
        <item x="278"/>
        <item x="342"/>
        <item x="287"/>
        <item x="134"/>
        <item x="336"/>
        <item x="195"/>
        <item x="357"/>
        <item x="126"/>
        <item x="467"/>
        <item x="220"/>
        <item x="117"/>
        <item x="262"/>
        <item x="171"/>
        <item x="378"/>
        <item x="355"/>
        <item x="156"/>
        <item x="240"/>
        <item x="329"/>
        <item x="211"/>
        <item x="331"/>
        <item x="154"/>
        <item x="436"/>
        <item x="5"/>
        <item x="64"/>
        <item x="225"/>
        <item x="442"/>
        <item x="409"/>
        <item x="403"/>
        <item x="75"/>
        <item x="457"/>
        <item x="416"/>
        <item x="91"/>
        <item x="27"/>
        <item x="145"/>
        <item x="352"/>
        <item x="189"/>
        <item x="175"/>
        <item x="83"/>
        <item x="293"/>
        <item x="260"/>
        <item x="99"/>
        <item x="142"/>
        <item x="319"/>
        <item x="25"/>
        <item x="478"/>
        <item x="147"/>
        <item x="461"/>
        <item x="81"/>
        <item x="76"/>
        <item x="207"/>
        <item x="54"/>
        <item x="234"/>
        <item x="451"/>
        <item x="358"/>
        <item x="57"/>
        <item x="306"/>
        <item x="233"/>
        <item x="418"/>
        <item x="124"/>
        <item x="67"/>
        <item x="217"/>
        <item x="412"/>
        <item x="395"/>
        <item x="12"/>
        <item x="362"/>
        <item x="69"/>
        <item x="165"/>
        <item x="112"/>
        <item x="453"/>
        <item x="24"/>
        <item x="17"/>
        <item x="29"/>
        <item x="116"/>
        <item x="300"/>
        <item x="7"/>
        <item x="477"/>
        <item x="223"/>
        <item x="106"/>
        <item x="192"/>
        <item x="265"/>
        <item x="100"/>
        <item x="479"/>
        <item x="121"/>
        <item x="62"/>
        <item x="201"/>
        <item x="472"/>
        <item x="181"/>
        <item x="397"/>
        <item x="37"/>
        <item x="125"/>
        <item x="109"/>
        <item x="302"/>
        <item x="229"/>
        <item x="308"/>
        <item x="228"/>
        <item x="101"/>
        <item x="252"/>
        <item x="30"/>
        <item x="15"/>
        <item x="26"/>
        <item x="60"/>
        <item x="59"/>
        <item x="16"/>
        <item x="209"/>
        <item x="32"/>
        <item x="210"/>
        <item x="157"/>
        <item x="327"/>
        <item x="2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2"/>
    <field x="3"/>
  </rowFields>
  <rowItems count="31">
    <i>
      <x/>
      <x/>
      <x v="259"/>
    </i>
    <i r="1">
      <x v="1"/>
      <x v="437"/>
    </i>
    <i r="1">
      <x v="2"/>
      <x v="202"/>
    </i>
    <i r="1">
      <x v="3"/>
      <x v="362"/>
    </i>
    <i r="1">
      <x v="4"/>
      <x v="252"/>
    </i>
    <i r="1">
      <x v="5"/>
      <x v="420"/>
    </i>
    <i r="1">
      <x v="6"/>
      <x v="132"/>
    </i>
    <i r="1">
      <x v="7"/>
      <x v="148"/>
    </i>
    <i r="1">
      <x v="8"/>
      <x v="201"/>
    </i>
    <i r="1">
      <x v="9"/>
      <x v="409"/>
    </i>
    <i r="1">
      <x v="10"/>
      <x v="474"/>
    </i>
    <i r="1">
      <x v="11"/>
      <x v="476"/>
    </i>
    <i r="1">
      <x v="12"/>
      <x v="246"/>
    </i>
    <i r="1">
      <x v="13"/>
      <x v="366"/>
    </i>
    <i r="1">
      <x v="14"/>
      <x v="278"/>
    </i>
    <i r="1">
      <x v="15"/>
      <x v="2"/>
    </i>
    <i r="1">
      <x v="16"/>
      <x v="162"/>
    </i>
    <i r="1">
      <x v="17"/>
      <x v="21"/>
    </i>
    <i r="1">
      <x v="18"/>
      <x v="123"/>
    </i>
    <i r="1">
      <x v="19"/>
      <x v="388"/>
    </i>
    <i r="1">
      <x v="20"/>
      <x v="174"/>
    </i>
    <i r="1">
      <x v="21"/>
      <x v="152"/>
    </i>
    <i r="1">
      <x v="22"/>
      <x v="42"/>
    </i>
    <i r="1">
      <x v="23"/>
      <x v="248"/>
    </i>
    <i r="1">
      <x v="24"/>
      <x v="176"/>
    </i>
    <i r="1">
      <x v="25"/>
      <x v="122"/>
    </i>
    <i r="1">
      <x v="26"/>
      <x v="393"/>
    </i>
    <i r="1">
      <x v="27"/>
      <x v="139"/>
    </i>
    <i r="1">
      <x v="28"/>
      <x v="445"/>
    </i>
    <i r="1">
      <x v="29"/>
      <x v="104"/>
    </i>
    <i t="grand">
      <x/>
    </i>
  </rowItems>
  <colItems count="1">
    <i/>
  </colItems>
  <dataFields count="1">
    <dataField name="Average of average_delay_minutes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A1326C3-3A04-4D5C-975D-E30166E419EB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train_number" tableColumnId="1"/>
      <queryTableField id="2" name="train_name" tableColumnId="2"/>
      <queryTableField id="3" name="station_code" tableColumnId="3"/>
      <queryTableField id="4" name="station_name" tableColumnId="4"/>
      <queryTableField id="5" name="average_delay_minutes" tableColumnId="5"/>
      <queryTableField id="6" name="pct_right_time" tableColumnId="6"/>
      <queryTableField id="7" name="pct_slight_delay" tableColumnId="7"/>
      <queryTableField id="8" name="pct_significant_delay" tableColumnId="8"/>
      <queryTableField id="9" name="pct_cancelled_unknown" tableColumnId="9"/>
      <queryTableField id="10" name="scraped_at" tableColumnId="10"/>
      <queryTableField id="11" name="source_url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A5A8D2-762F-4543-AFAE-91FCE7E81007}" autoFormatId="16" applyNumberFormats="0" applyBorderFormats="0" applyFontFormats="0" applyPatternFormats="0" applyAlignmentFormats="0" applyWidthHeightFormats="0">
  <queryTableRefresh nextId="14" unboundColumnsRight="2">
    <queryTableFields count="13">
      <queryTableField id="1" name="train_number" tableColumnId="1"/>
      <queryTableField id="2" name="train_name" tableColumnId="2"/>
      <queryTableField id="3" name="station_code" tableColumnId="3"/>
      <queryTableField id="4" name="station_name" tableColumnId="4"/>
      <queryTableField id="5" name="average_delay_minutes" tableColumnId="5"/>
      <queryTableField id="6" name="pct_right_time" tableColumnId="6"/>
      <queryTableField id="7" name="pct_slight_delay" tableColumnId="7"/>
      <queryTableField id="8" name="pct_significant_delay" tableColumnId="8"/>
      <queryTableField id="9" name="pct_cancelled_unknown" tableColumnId="9"/>
      <queryTableField id="10" name="scraped_at" tableColumnId="10"/>
      <queryTableField id="11" name="source_url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E6766D-08A7-4137-BFDA-DCC6B76C4E25}" name="etrain_delays_raw" displayName="etrain_delays_raw" ref="A1:L1831" tableType="queryTable" totalsRowShown="0">
  <autoFilter ref="A1:L1831" xr:uid="{37E6766D-08A7-4137-BFDA-DCC6B76C4E25}"/>
  <sortState xmlns:xlrd2="http://schemas.microsoft.com/office/spreadsheetml/2017/richdata2" ref="A2:K1830">
    <sortCondition ref="A2:A1830"/>
  </sortState>
  <tableColumns count="12">
    <tableColumn id="1" xr3:uid="{BCE40D60-1776-4E26-BD1A-B75CFB991F3E}" uniqueName="1" name="train_number" queryTableFieldId="1"/>
    <tableColumn id="2" xr3:uid="{E86560B3-DBE0-45E5-8539-1566D1A1E95B}" uniqueName="2" name="train_name" queryTableFieldId="2" dataDxfId="12"/>
    <tableColumn id="3" xr3:uid="{271862C0-649B-4930-A861-1738EA74DD7C}" uniqueName="3" name="station_code" queryTableFieldId="3" dataDxfId="11"/>
    <tableColumn id="4" xr3:uid="{A7012C19-3137-48AF-9494-1FB785BCCB21}" uniqueName="4" name="station_name" queryTableFieldId="4" dataDxfId="10"/>
    <tableColumn id="5" xr3:uid="{B7BB4093-C295-4352-A630-98D8086626C1}" uniqueName="5" name="average_delay_minutes" queryTableFieldId="5"/>
    <tableColumn id="6" xr3:uid="{D644435E-6008-4220-8837-86777019ADCF}" uniqueName="6" name="pct_right_time" queryTableFieldId="6"/>
    <tableColumn id="7" xr3:uid="{812DB87C-95B1-44D0-A3F1-A4E8046D2F40}" uniqueName="7" name="pct_slight_delay" queryTableFieldId="7"/>
    <tableColumn id="8" xr3:uid="{BDC58709-6F49-403D-96B2-95BF35DD8F6B}" uniqueName="8" name="pct_significant_delay" queryTableFieldId="8"/>
    <tableColumn id="9" xr3:uid="{33BEE0A0-14CA-45A4-B304-ED24821F1411}" uniqueName="9" name="pct_cancelled_unknown" queryTableFieldId="9"/>
    <tableColumn id="10" xr3:uid="{9987FCD6-0F32-4C78-9850-B552F29C3276}" uniqueName="10" name="scraped_at" queryTableFieldId="10" dataDxfId="9"/>
    <tableColumn id="11" xr3:uid="{5535BFFB-512F-464B-AA2E-9F1E6232CABD}" uniqueName="11" name="source_url" queryTableFieldId="11" dataDxfId="8"/>
    <tableColumn id="12" xr3:uid="{03B4B76A-2FBE-4BFE-81B6-DDFFC617F80E}" uniqueName="12" name="stop_order" queryTableFieldId="12" dataDxfId="7">
      <calculatedColumnFormula>COUNTIF($A$2:A2,A2)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023E11-9C33-4A38-89F8-9B35AEBA209A}" name="etrain_delays" displayName="etrain_delays" ref="A1:M1830" tableType="queryTable" totalsRowShown="0">
  <autoFilter ref="A1:M1830" xr:uid="{A3023E11-9C33-4A38-89F8-9B35AEBA209A}"/>
  <tableColumns count="13">
    <tableColumn id="1" xr3:uid="{FDEDE1DC-9C05-44CE-BF94-AD816187C0F4}" uniqueName="1" name="train_number" queryTableFieldId="1"/>
    <tableColumn id="2" xr3:uid="{16A2831B-B0A5-4DA9-9850-506EF7FDE519}" uniqueName="2" name="train_name" queryTableFieldId="2" dataDxfId="6"/>
    <tableColumn id="3" xr3:uid="{BBD08DBE-828E-4845-8600-9CD2E7889E32}" uniqueName="3" name="station_code" queryTableFieldId="3" dataDxfId="5"/>
    <tableColumn id="4" xr3:uid="{9E613871-9FCE-4AB9-B2C3-D35EB8F49F18}" uniqueName="4" name="station_name" queryTableFieldId="4" dataDxfId="4"/>
    <tableColumn id="5" xr3:uid="{90D5BEEA-BD4C-43A1-AED0-C5BA8579390F}" uniqueName="5" name="average_delay_minutes" queryTableFieldId="5"/>
    <tableColumn id="6" xr3:uid="{E6FD564E-BD76-40DA-B06C-EE0A0FA803D9}" uniqueName="6" name="pct_right_time" queryTableFieldId="6"/>
    <tableColumn id="7" xr3:uid="{1D6F9BA9-3FC2-4545-87F2-01CFDFC2DF11}" uniqueName="7" name="pct_slight_delay" queryTableFieldId="7"/>
    <tableColumn id="8" xr3:uid="{585EF327-1F42-4C62-A3C1-1C966AEDF75C}" uniqueName="8" name="pct_significant_delay" queryTableFieldId="8"/>
    <tableColumn id="9" xr3:uid="{181FBAA4-70E0-4CA4-AC7F-B791713755F3}" uniqueName="9" name="pct_cancelled_unknown" queryTableFieldId="9"/>
    <tableColumn id="10" xr3:uid="{2218EC04-FAA9-4E52-912C-F0368C17A10D}" uniqueName="10" name="scraped_at" queryTableFieldId="10" dataDxfId="3"/>
    <tableColumn id="11" xr3:uid="{6981A6E0-6BD2-4DF9-840D-F2400B36C265}" uniqueName="11" name="source_url" queryTableFieldId="11" dataDxfId="2"/>
    <tableColumn id="12" xr3:uid="{A2750E5E-86BA-464C-A7FF-445C005D736F}" uniqueName="12" name="original_order" queryTableFieldId="12" dataDxfId="1">
      <calculatedColumnFormula>ROW()-1</calculatedColumnFormula>
    </tableColumn>
    <tableColumn id="13" xr3:uid="{53B97CD8-38F7-4D18-A357-531F5882A5A2}" uniqueName="13" name="stop_order" queryTableFieldId="13" dataDxfId="0">
      <calculatedColumnFormula>COUNTIF($A$2:A2,A2)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EA09-BD3C-4FCA-B0D3-069D100A802C}">
  <dimension ref="A3:B1925"/>
  <sheetViews>
    <sheetView workbookViewId="0">
      <selection activeCell="C6" sqref="C1:C6"/>
    </sheetView>
  </sheetViews>
  <sheetFormatPr defaultRowHeight="14.4" x14ac:dyDescent="0.3"/>
  <cols>
    <col min="1" max="1" width="30.109375" bestFit="1" customWidth="1"/>
    <col min="2" max="2" width="31.109375" bestFit="1" customWidth="1"/>
  </cols>
  <sheetData>
    <row r="3" spans="1:2" x14ac:dyDescent="0.3">
      <c r="A3" s="2" t="s">
        <v>1090</v>
      </c>
      <c r="B3" t="s">
        <v>1092</v>
      </c>
    </row>
    <row r="4" spans="1:2" x14ac:dyDescent="0.3">
      <c r="A4" s="3">
        <v>0</v>
      </c>
      <c r="B4">
        <v>0</v>
      </c>
    </row>
    <row r="5" spans="1:2" x14ac:dyDescent="0.3">
      <c r="A5" s="4">
        <v>0</v>
      </c>
      <c r="B5">
        <v>0</v>
      </c>
    </row>
    <row r="6" spans="1:2" x14ac:dyDescent="0.3">
      <c r="A6" s="3">
        <v>11013</v>
      </c>
      <c r="B6">
        <v>27.833333333333332</v>
      </c>
    </row>
    <row r="7" spans="1:2" x14ac:dyDescent="0.3">
      <c r="A7" s="4" t="s">
        <v>486</v>
      </c>
      <c r="B7">
        <v>36</v>
      </c>
    </row>
    <row r="8" spans="1:2" x14ac:dyDescent="0.3">
      <c r="A8" s="4" t="s">
        <v>660</v>
      </c>
      <c r="B8">
        <v>28</v>
      </c>
    </row>
    <row r="9" spans="1:2" x14ac:dyDescent="0.3">
      <c r="A9" s="4" t="s">
        <v>904</v>
      </c>
      <c r="B9">
        <v>30</v>
      </c>
    </row>
    <row r="10" spans="1:2" x14ac:dyDescent="0.3">
      <c r="A10" s="4" t="s">
        <v>32</v>
      </c>
      <c r="B10">
        <v>0</v>
      </c>
    </row>
    <row r="11" spans="1:2" x14ac:dyDescent="0.3">
      <c r="A11" s="4" t="s">
        <v>910</v>
      </c>
      <c r="B11">
        <v>61</v>
      </c>
    </row>
    <row r="12" spans="1:2" x14ac:dyDescent="0.3">
      <c r="A12" s="4" t="s">
        <v>662</v>
      </c>
      <c r="B12">
        <v>18</v>
      </c>
    </row>
    <row r="13" spans="1:2" x14ac:dyDescent="0.3">
      <c r="A13" s="4" t="s">
        <v>896</v>
      </c>
      <c r="B13">
        <v>63</v>
      </c>
    </row>
    <row r="14" spans="1:2" x14ac:dyDescent="0.3">
      <c r="A14" s="4" t="s">
        <v>26</v>
      </c>
      <c r="B14">
        <v>26</v>
      </c>
    </row>
    <row r="15" spans="1:2" x14ac:dyDescent="0.3">
      <c r="A15" s="4" t="s">
        <v>898</v>
      </c>
      <c r="B15">
        <v>67</v>
      </c>
    </row>
    <row r="16" spans="1:2" x14ac:dyDescent="0.3">
      <c r="A16" s="4" t="s">
        <v>902</v>
      </c>
      <c r="B16">
        <v>0</v>
      </c>
    </row>
    <row r="17" spans="1:2" x14ac:dyDescent="0.3">
      <c r="A17" s="4" t="s">
        <v>488</v>
      </c>
      <c r="B17">
        <v>29</v>
      </c>
    </row>
    <row r="18" spans="1:2" x14ac:dyDescent="0.3">
      <c r="A18" s="4" t="s">
        <v>734</v>
      </c>
      <c r="B18">
        <v>0</v>
      </c>
    </row>
    <row r="19" spans="1:2" x14ac:dyDescent="0.3">
      <c r="A19" s="4" t="s">
        <v>908</v>
      </c>
      <c r="B19">
        <v>0</v>
      </c>
    </row>
    <row r="20" spans="1:2" x14ac:dyDescent="0.3">
      <c r="A20" s="4" t="s">
        <v>475</v>
      </c>
      <c r="B20">
        <v>66</v>
      </c>
    </row>
    <row r="21" spans="1:2" x14ac:dyDescent="0.3">
      <c r="A21" s="4" t="s">
        <v>387</v>
      </c>
      <c r="B21">
        <v>30</v>
      </c>
    </row>
    <row r="22" spans="1:2" x14ac:dyDescent="0.3">
      <c r="A22" s="4" t="s">
        <v>900</v>
      </c>
      <c r="B22">
        <v>29</v>
      </c>
    </row>
    <row r="23" spans="1:2" x14ac:dyDescent="0.3">
      <c r="A23" s="4" t="s">
        <v>906</v>
      </c>
      <c r="B23">
        <v>14</v>
      </c>
    </row>
    <row r="24" spans="1:2" x14ac:dyDescent="0.3">
      <c r="A24" s="4" t="s">
        <v>656</v>
      </c>
      <c r="B24">
        <v>60</v>
      </c>
    </row>
    <row r="25" spans="1:2" x14ac:dyDescent="0.3">
      <c r="A25" s="4" t="s">
        <v>466</v>
      </c>
      <c r="B25">
        <v>0</v>
      </c>
    </row>
    <row r="26" spans="1:2" x14ac:dyDescent="0.3">
      <c r="A26" s="4" t="s">
        <v>484</v>
      </c>
      <c r="B26">
        <v>31</v>
      </c>
    </row>
    <row r="27" spans="1:2" x14ac:dyDescent="0.3">
      <c r="A27" s="4" t="s">
        <v>471</v>
      </c>
      <c r="B27">
        <v>0</v>
      </c>
    </row>
    <row r="28" spans="1:2" x14ac:dyDescent="0.3">
      <c r="A28" s="4" t="s">
        <v>482</v>
      </c>
      <c r="B28">
        <v>28</v>
      </c>
    </row>
    <row r="29" spans="1:2" x14ac:dyDescent="0.3">
      <c r="A29" s="4" t="s">
        <v>736</v>
      </c>
      <c r="B29">
        <v>0</v>
      </c>
    </row>
    <row r="30" spans="1:2" x14ac:dyDescent="0.3">
      <c r="A30" s="4" t="s">
        <v>24</v>
      </c>
      <c r="B30">
        <v>0</v>
      </c>
    </row>
    <row r="31" spans="1:2" x14ac:dyDescent="0.3">
      <c r="A31" s="4" t="s">
        <v>658</v>
      </c>
      <c r="B31">
        <v>54</v>
      </c>
    </row>
    <row r="32" spans="1:2" x14ac:dyDescent="0.3">
      <c r="A32" s="4" t="s">
        <v>473</v>
      </c>
      <c r="B32">
        <v>51</v>
      </c>
    </row>
    <row r="33" spans="1:2" x14ac:dyDescent="0.3">
      <c r="A33" s="4" t="s">
        <v>385</v>
      </c>
      <c r="B33">
        <v>26</v>
      </c>
    </row>
    <row r="34" spans="1:2" x14ac:dyDescent="0.3">
      <c r="A34" s="4" t="s">
        <v>28</v>
      </c>
      <c r="B34">
        <v>31</v>
      </c>
    </row>
    <row r="35" spans="1:2" x14ac:dyDescent="0.3">
      <c r="A35" s="4" t="s">
        <v>476</v>
      </c>
      <c r="B35">
        <v>26</v>
      </c>
    </row>
    <row r="36" spans="1:2" x14ac:dyDescent="0.3">
      <c r="A36" s="4" t="s">
        <v>478</v>
      </c>
      <c r="B36">
        <v>31</v>
      </c>
    </row>
    <row r="37" spans="1:2" x14ac:dyDescent="0.3">
      <c r="A37" s="3">
        <v>11014</v>
      </c>
      <c r="B37">
        <v>25.774193548387096</v>
      </c>
    </row>
    <row r="38" spans="1:2" x14ac:dyDescent="0.3">
      <c r="A38" s="4" t="s">
        <v>486</v>
      </c>
      <c r="B38">
        <v>40</v>
      </c>
    </row>
    <row r="39" spans="1:2" x14ac:dyDescent="0.3">
      <c r="A39" s="4" t="s">
        <v>660</v>
      </c>
      <c r="B39">
        <v>19</v>
      </c>
    </row>
    <row r="40" spans="1:2" x14ac:dyDescent="0.3">
      <c r="A40" s="4" t="s">
        <v>904</v>
      </c>
      <c r="B40">
        <v>34</v>
      </c>
    </row>
    <row r="41" spans="1:2" x14ac:dyDescent="0.3">
      <c r="A41" s="4" t="s">
        <v>32</v>
      </c>
      <c r="B41">
        <v>1</v>
      </c>
    </row>
    <row r="42" spans="1:2" x14ac:dyDescent="0.3">
      <c r="A42" s="4" t="s">
        <v>654</v>
      </c>
      <c r="B42">
        <v>8</v>
      </c>
    </row>
    <row r="43" spans="1:2" x14ac:dyDescent="0.3">
      <c r="A43" s="4" t="s">
        <v>910</v>
      </c>
      <c r="B43">
        <v>23</v>
      </c>
    </row>
    <row r="44" spans="1:2" x14ac:dyDescent="0.3">
      <c r="A44" s="4" t="s">
        <v>662</v>
      </c>
      <c r="B44">
        <v>0</v>
      </c>
    </row>
    <row r="45" spans="1:2" x14ac:dyDescent="0.3">
      <c r="A45" s="4" t="s">
        <v>896</v>
      </c>
      <c r="B45">
        <v>0</v>
      </c>
    </row>
    <row r="46" spans="1:2" x14ac:dyDescent="0.3">
      <c r="A46" s="4" t="s">
        <v>26</v>
      </c>
      <c r="B46">
        <v>9</v>
      </c>
    </row>
    <row r="47" spans="1:2" x14ac:dyDescent="0.3">
      <c r="A47" s="4" t="s">
        <v>898</v>
      </c>
      <c r="B47">
        <v>20</v>
      </c>
    </row>
    <row r="48" spans="1:2" x14ac:dyDescent="0.3">
      <c r="A48" s="4" t="s">
        <v>902</v>
      </c>
      <c r="B48">
        <v>50</v>
      </c>
    </row>
    <row r="49" spans="1:2" x14ac:dyDescent="0.3">
      <c r="A49" s="4" t="s">
        <v>488</v>
      </c>
      <c r="B49">
        <v>39</v>
      </c>
    </row>
    <row r="50" spans="1:2" x14ac:dyDescent="0.3">
      <c r="A50" s="4" t="s">
        <v>734</v>
      </c>
      <c r="B50">
        <v>40</v>
      </c>
    </row>
    <row r="51" spans="1:2" x14ac:dyDescent="0.3">
      <c r="A51" s="4" t="s">
        <v>908</v>
      </c>
      <c r="B51">
        <v>31</v>
      </c>
    </row>
    <row r="52" spans="1:2" x14ac:dyDescent="0.3">
      <c r="A52" s="4" t="s">
        <v>475</v>
      </c>
      <c r="B52">
        <v>19</v>
      </c>
    </row>
    <row r="53" spans="1:2" x14ac:dyDescent="0.3">
      <c r="A53" s="4" t="s">
        <v>387</v>
      </c>
      <c r="B53">
        <v>60</v>
      </c>
    </row>
    <row r="54" spans="1:2" x14ac:dyDescent="0.3">
      <c r="A54" s="4" t="s">
        <v>900</v>
      </c>
      <c r="B54">
        <v>45</v>
      </c>
    </row>
    <row r="55" spans="1:2" x14ac:dyDescent="0.3">
      <c r="A55" s="4" t="s">
        <v>906</v>
      </c>
      <c r="B55">
        <v>36</v>
      </c>
    </row>
    <row r="56" spans="1:2" x14ac:dyDescent="0.3">
      <c r="A56" s="4" t="s">
        <v>656</v>
      </c>
      <c r="B56">
        <v>37</v>
      </c>
    </row>
    <row r="57" spans="1:2" x14ac:dyDescent="0.3">
      <c r="A57" s="4" t="s">
        <v>466</v>
      </c>
      <c r="B57">
        <v>44</v>
      </c>
    </row>
    <row r="58" spans="1:2" x14ac:dyDescent="0.3">
      <c r="A58" s="4" t="s">
        <v>484</v>
      </c>
      <c r="B58">
        <v>32</v>
      </c>
    </row>
    <row r="59" spans="1:2" x14ac:dyDescent="0.3">
      <c r="A59" s="4" t="s">
        <v>471</v>
      </c>
      <c r="B59">
        <v>20</v>
      </c>
    </row>
    <row r="60" spans="1:2" x14ac:dyDescent="0.3">
      <c r="A60" s="4" t="s">
        <v>482</v>
      </c>
      <c r="B60">
        <v>0</v>
      </c>
    </row>
    <row r="61" spans="1:2" x14ac:dyDescent="0.3">
      <c r="A61" s="4" t="s">
        <v>736</v>
      </c>
      <c r="B61">
        <v>24</v>
      </c>
    </row>
    <row r="62" spans="1:2" x14ac:dyDescent="0.3">
      <c r="A62" s="4" t="s">
        <v>24</v>
      </c>
      <c r="B62">
        <v>14</v>
      </c>
    </row>
    <row r="63" spans="1:2" x14ac:dyDescent="0.3">
      <c r="A63" s="4" t="s">
        <v>658</v>
      </c>
      <c r="B63">
        <v>14</v>
      </c>
    </row>
    <row r="64" spans="1:2" x14ac:dyDescent="0.3">
      <c r="A64" s="4" t="s">
        <v>473</v>
      </c>
      <c r="B64">
        <v>27</v>
      </c>
    </row>
    <row r="65" spans="1:2" x14ac:dyDescent="0.3">
      <c r="A65" s="4" t="s">
        <v>385</v>
      </c>
      <c r="B65">
        <v>61</v>
      </c>
    </row>
    <row r="66" spans="1:2" x14ac:dyDescent="0.3">
      <c r="A66" s="4" t="s">
        <v>28</v>
      </c>
      <c r="B66">
        <v>0</v>
      </c>
    </row>
    <row r="67" spans="1:2" x14ac:dyDescent="0.3">
      <c r="A67" s="4" t="s">
        <v>476</v>
      </c>
      <c r="B67">
        <v>13</v>
      </c>
    </row>
    <row r="68" spans="1:2" x14ac:dyDescent="0.3">
      <c r="A68" s="4" t="s">
        <v>478</v>
      </c>
      <c r="B68">
        <v>39</v>
      </c>
    </row>
    <row r="69" spans="1:2" x14ac:dyDescent="0.3">
      <c r="A69" s="3">
        <v>11027</v>
      </c>
      <c r="B69">
        <v>25.517241379310345</v>
      </c>
    </row>
    <row r="70" spans="1:2" x14ac:dyDescent="0.3">
      <c r="A70" s="4" t="s">
        <v>923</v>
      </c>
      <c r="B70">
        <v>29</v>
      </c>
    </row>
    <row r="71" spans="1:2" x14ac:dyDescent="0.3">
      <c r="A71" s="4" t="s">
        <v>943</v>
      </c>
      <c r="B71">
        <v>18</v>
      </c>
    </row>
    <row r="72" spans="1:2" x14ac:dyDescent="0.3">
      <c r="A72" s="4" t="s">
        <v>917</v>
      </c>
      <c r="B72">
        <v>18</v>
      </c>
    </row>
    <row r="73" spans="1:2" x14ac:dyDescent="0.3">
      <c r="A73" s="4" t="s">
        <v>383</v>
      </c>
      <c r="B73">
        <v>1</v>
      </c>
    </row>
    <row r="74" spans="1:2" x14ac:dyDescent="0.3">
      <c r="A74" s="4" t="s">
        <v>654</v>
      </c>
      <c r="B74">
        <v>27</v>
      </c>
    </row>
    <row r="75" spans="1:2" x14ac:dyDescent="0.3">
      <c r="A75" s="4" t="s">
        <v>935</v>
      </c>
      <c r="B75">
        <v>51</v>
      </c>
    </row>
    <row r="76" spans="1:2" x14ac:dyDescent="0.3">
      <c r="A76" s="4" t="s">
        <v>933</v>
      </c>
      <c r="B76">
        <v>44</v>
      </c>
    </row>
    <row r="77" spans="1:2" x14ac:dyDescent="0.3">
      <c r="A77" s="4" t="s">
        <v>924</v>
      </c>
      <c r="B77">
        <v>41</v>
      </c>
    </row>
    <row r="78" spans="1:2" x14ac:dyDescent="0.3">
      <c r="A78" s="4" t="s">
        <v>387</v>
      </c>
      <c r="B78">
        <v>14</v>
      </c>
    </row>
    <row r="79" spans="1:2" x14ac:dyDescent="0.3">
      <c r="A79" s="4" t="s">
        <v>949</v>
      </c>
      <c r="B79">
        <v>26</v>
      </c>
    </row>
    <row r="80" spans="1:2" x14ac:dyDescent="0.3">
      <c r="A80" s="4" t="s">
        <v>937</v>
      </c>
      <c r="B80">
        <v>55</v>
      </c>
    </row>
    <row r="81" spans="1:2" x14ac:dyDescent="0.3">
      <c r="A81" s="4" t="s">
        <v>921</v>
      </c>
      <c r="B81">
        <v>31</v>
      </c>
    </row>
    <row r="82" spans="1:2" x14ac:dyDescent="0.3">
      <c r="A82" s="4" t="s">
        <v>925</v>
      </c>
      <c r="B82">
        <v>44</v>
      </c>
    </row>
    <row r="83" spans="1:2" x14ac:dyDescent="0.3">
      <c r="A83" s="4" t="s">
        <v>945</v>
      </c>
      <c r="B83">
        <v>19</v>
      </c>
    </row>
    <row r="84" spans="1:2" x14ac:dyDescent="0.3">
      <c r="A84" s="4" t="s">
        <v>953</v>
      </c>
      <c r="B84">
        <v>38</v>
      </c>
    </row>
    <row r="85" spans="1:2" x14ac:dyDescent="0.3">
      <c r="A85" s="4" t="s">
        <v>656</v>
      </c>
      <c r="B85">
        <v>46</v>
      </c>
    </row>
    <row r="86" spans="1:2" x14ac:dyDescent="0.3">
      <c r="A86" s="4" t="s">
        <v>469</v>
      </c>
      <c r="B86">
        <v>17</v>
      </c>
    </row>
    <row r="87" spans="1:2" x14ac:dyDescent="0.3">
      <c r="A87" s="4" t="s">
        <v>951</v>
      </c>
      <c r="B87">
        <v>29</v>
      </c>
    </row>
    <row r="88" spans="1:2" x14ac:dyDescent="0.3">
      <c r="A88" s="4" t="s">
        <v>931</v>
      </c>
      <c r="B88">
        <v>34</v>
      </c>
    </row>
    <row r="89" spans="1:2" x14ac:dyDescent="0.3">
      <c r="A89" s="4" t="s">
        <v>939</v>
      </c>
      <c r="B89">
        <v>12</v>
      </c>
    </row>
    <row r="90" spans="1:2" x14ac:dyDescent="0.3">
      <c r="A90" s="4" t="s">
        <v>927</v>
      </c>
      <c r="B90">
        <v>0</v>
      </c>
    </row>
    <row r="91" spans="1:2" x14ac:dyDescent="0.3">
      <c r="A91" s="4" t="s">
        <v>471</v>
      </c>
      <c r="B91">
        <v>21</v>
      </c>
    </row>
    <row r="92" spans="1:2" x14ac:dyDescent="0.3">
      <c r="A92" s="4" t="s">
        <v>941</v>
      </c>
      <c r="B92">
        <v>16</v>
      </c>
    </row>
    <row r="93" spans="1:2" x14ac:dyDescent="0.3">
      <c r="A93" s="4" t="s">
        <v>929</v>
      </c>
      <c r="B93">
        <v>35</v>
      </c>
    </row>
    <row r="94" spans="1:2" x14ac:dyDescent="0.3">
      <c r="A94" s="4" t="s">
        <v>955</v>
      </c>
      <c r="B94">
        <v>2</v>
      </c>
    </row>
    <row r="95" spans="1:2" x14ac:dyDescent="0.3">
      <c r="A95" s="4" t="s">
        <v>947</v>
      </c>
      <c r="B95">
        <v>21</v>
      </c>
    </row>
    <row r="96" spans="1:2" x14ac:dyDescent="0.3">
      <c r="A96" s="4" t="s">
        <v>915</v>
      </c>
      <c r="B96">
        <v>20</v>
      </c>
    </row>
    <row r="97" spans="1:2" x14ac:dyDescent="0.3">
      <c r="A97" s="4" t="s">
        <v>385</v>
      </c>
      <c r="B97">
        <v>3</v>
      </c>
    </row>
    <row r="98" spans="1:2" x14ac:dyDescent="0.3">
      <c r="A98" s="4" t="s">
        <v>919</v>
      </c>
      <c r="B98">
        <v>28</v>
      </c>
    </row>
    <row r="99" spans="1:2" x14ac:dyDescent="0.3">
      <c r="A99" s="3">
        <v>11028</v>
      </c>
      <c r="B99">
        <v>14.03448275862069</v>
      </c>
    </row>
    <row r="100" spans="1:2" x14ac:dyDescent="0.3">
      <c r="A100" s="4" t="s">
        <v>923</v>
      </c>
      <c r="B100">
        <v>13</v>
      </c>
    </row>
    <row r="101" spans="1:2" x14ac:dyDescent="0.3">
      <c r="A101" s="4" t="s">
        <v>943</v>
      </c>
      <c r="B101">
        <v>7</v>
      </c>
    </row>
    <row r="102" spans="1:2" x14ac:dyDescent="0.3">
      <c r="A102" s="4" t="s">
        <v>917</v>
      </c>
      <c r="B102">
        <v>0</v>
      </c>
    </row>
    <row r="103" spans="1:2" x14ac:dyDescent="0.3">
      <c r="A103" s="4" t="s">
        <v>383</v>
      </c>
      <c r="B103">
        <v>15</v>
      </c>
    </row>
    <row r="104" spans="1:2" x14ac:dyDescent="0.3">
      <c r="A104" s="4" t="s">
        <v>654</v>
      </c>
      <c r="B104">
        <v>6</v>
      </c>
    </row>
    <row r="105" spans="1:2" x14ac:dyDescent="0.3">
      <c r="A105" s="4" t="s">
        <v>935</v>
      </c>
      <c r="B105">
        <v>0</v>
      </c>
    </row>
    <row r="106" spans="1:2" x14ac:dyDescent="0.3">
      <c r="A106" s="4" t="s">
        <v>933</v>
      </c>
      <c r="B106">
        <v>20</v>
      </c>
    </row>
    <row r="107" spans="1:2" x14ac:dyDescent="0.3">
      <c r="A107" s="4" t="s">
        <v>924</v>
      </c>
      <c r="B107">
        <v>30</v>
      </c>
    </row>
    <row r="108" spans="1:2" x14ac:dyDescent="0.3">
      <c r="A108" s="4" t="s">
        <v>387</v>
      </c>
      <c r="B108">
        <v>29</v>
      </c>
    </row>
    <row r="109" spans="1:2" x14ac:dyDescent="0.3">
      <c r="A109" s="4" t="s">
        <v>949</v>
      </c>
      <c r="B109">
        <v>19</v>
      </c>
    </row>
    <row r="110" spans="1:2" x14ac:dyDescent="0.3">
      <c r="A110" s="4" t="s">
        <v>937</v>
      </c>
      <c r="B110">
        <v>8</v>
      </c>
    </row>
    <row r="111" spans="1:2" x14ac:dyDescent="0.3">
      <c r="A111" s="4" t="s">
        <v>921</v>
      </c>
      <c r="B111">
        <v>10</v>
      </c>
    </row>
    <row r="112" spans="1:2" x14ac:dyDescent="0.3">
      <c r="A112" s="4" t="s">
        <v>925</v>
      </c>
      <c r="B112">
        <v>26</v>
      </c>
    </row>
    <row r="113" spans="1:2" x14ac:dyDescent="0.3">
      <c r="A113" s="4" t="s">
        <v>945</v>
      </c>
      <c r="B113">
        <v>8</v>
      </c>
    </row>
    <row r="114" spans="1:2" x14ac:dyDescent="0.3">
      <c r="A114" s="4" t="s">
        <v>953</v>
      </c>
      <c r="B114">
        <v>13</v>
      </c>
    </row>
    <row r="115" spans="1:2" x14ac:dyDescent="0.3">
      <c r="A115" s="4" t="s">
        <v>656</v>
      </c>
      <c r="B115">
        <v>33</v>
      </c>
    </row>
    <row r="116" spans="1:2" x14ac:dyDescent="0.3">
      <c r="A116" s="4" t="s">
        <v>469</v>
      </c>
      <c r="B116">
        <v>10</v>
      </c>
    </row>
    <row r="117" spans="1:2" x14ac:dyDescent="0.3">
      <c r="A117" s="4" t="s">
        <v>951</v>
      </c>
      <c r="B117">
        <v>21</v>
      </c>
    </row>
    <row r="118" spans="1:2" x14ac:dyDescent="0.3">
      <c r="A118" s="4" t="s">
        <v>931</v>
      </c>
      <c r="B118">
        <v>0</v>
      </c>
    </row>
    <row r="119" spans="1:2" x14ac:dyDescent="0.3">
      <c r="A119" s="4" t="s">
        <v>939</v>
      </c>
      <c r="B119">
        <v>0</v>
      </c>
    </row>
    <row r="120" spans="1:2" x14ac:dyDescent="0.3">
      <c r="A120" s="4" t="s">
        <v>927</v>
      </c>
      <c r="B120">
        <v>5</v>
      </c>
    </row>
    <row r="121" spans="1:2" x14ac:dyDescent="0.3">
      <c r="A121" s="4" t="s">
        <v>471</v>
      </c>
      <c r="B121">
        <v>18</v>
      </c>
    </row>
    <row r="122" spans="1:2" x14ac:dyDescent="0.3">
      <c r="A122" s="4" t="s">
        <v>941</v>
      </c>
      <c r="B122">
        <v>6</v>
      </c>
    </row>
    <row r="123" spans="1:2" x14ac:dyDescent="0.3">
      <c r="A123" s="4" t="s">
        <v>929</v>
      </c>
      <c r="B123">
        <v>26</v>
      </c>
    </row>
    <row r="124" spans="1:2" x14ac:dyDescent="0.3">
      <c r="A124" s="4" t="s">
        <v>955</v>
      </c>
      <c r="B124">
        <v>0</v>
      </c>
    </row>
    <row r="125" spans="1:2" x14ac:dyDescent="0.3">
      <c r="A125" s="4" t="s">
        <v>947</v>
      </c>
      <c r="B125">
        <v>11</v>
      </c>
    </row>
    <row r="126" spans="1:2" x14ac:dyDescent="0.3">
      <c r="A126" s="4" t="s">
        <v>915</v>
      </c>
      <c r="B126">
        <v>29</v>
      </c>
    </row>
    <row r="127" spans="1:2" x14ac:dyDescent="0.3">
      <c r="A127" s="4" t="s">
        <v>385</v>
      </c>
      <c r="B127">
        <v>29</v>
      </c>
    </row>
    <row r="128" spans="1:2" x14ac:dyDescent="0.3">
      <c r="A128" s="4" t="s">
        <v>919</v>
      </c>
      <c r="B128">
        <v>15</v>
      </c>
    </row>
    <row r="129" spans="1:2" x14ac:dyDescent="0.3">
      <c r="A129" s="3">
        <v>12001</v>
      </c>
      <c r="B129">
        <v>14.818181818181818</v>
      </c>
    </row>
    <row r="130" spans="1:2" x14ac:dyDescent="0.3">
      <c r="A130" s="4" t="s">
        <v>107</v>
      </c>
      <c r="B130">
        <v>17</v>
      </c>
    </row>
    <row r="131" spans="1:2" x14ac:dyDescent="0.3">
      <c r="A131" s="4" t="s">
        <v>101</v>
      </c>
      <c r="B131">
        <v>0</v>
      </c>
    </row>
    <row r="132" spans="1:2" x14ac:dyDescent="0.3">
      <c r="A132" s="4" t="s">
        <v>278</v>
      </c>
      <c r="B132">
        <v>6</v>
      </c>
    </row>
    <row r="133" spans="1:2" x14ac:dyDescent="0.3">
      <c r="A133" s="4" t="s">
        <v>324</v>
      </c>
      <c r="B133">
        <v>16</v>
      </c>
    </row>
    <row r="134" spans="1:2" x14ac:dyDescent="0.3">
      <c r="A134" s="4" t="s">
        <v>105</v>
      </c>
      <c r="B134">
        <v>25</v>
      </c>
    </row>
    <row r="135" spans="1:2" x14ac:dyDescent="0.3">
      <c r="A135" s="4" t="s">
        <v>320</v>
      </c>
      <c r="B135">
        <v>17</v>
      </c>
    </row>
    <row r="136" spans="1:2" x14ac:dyDescent="0.3">
      <c r="A136" s="4" t="s">
        <v>280</v>
      </c>
      <c r="B136">
        <v>22</v>
      </c>
    </row>
    <row r="137" spans="1:2" x14ac:dyDescent="0.3">
      <c r="A137" s="4" t="s">
        <v>322</v>
      </c>
      <c r="B137">
        <v>28</v>
      </c>
    </row>
    <row r="138" spans="1:2" x14ac:dyDescent="0.3">
      <c r="A138" s="4" t="s">
        <v>111</v>
      </c>
      <c r="B138">
        <v>11</v>
      </c>
    </row>
    <row r="139" spans="1:2" x14ac:dyDescent="0.3">
      <c r="A139" s="4" t="s">
        <v>317</v>
      </c>
      <c r="B139">
        <v>3</v>
      </c>
    </row>
    <row r="140" spans="1:2" x14ac:dyDescent="0.3">
      <c r="A140" s="4" t="s">
        <v>103</v>
      </c>
      <c r="B140">
        <v>18</v>
      </c>
    </row>
    <row r="141" spans="1:2" x14ac:dyDescent="0.3">
      <c r="A141" s="3">
        <v>12002</v>
      </c>
      <c r="B141">
        <v>8.7272727272727266</v>
      </c>
    </row>
    <row r="142" spans="1:2" x14ac:dyDescent="0.3">
      <c r="A142" s="4" t="s">
        <v>107</v>
      </c>
      <c r="B142">
        <v>22</v>
      </c>
    </row>
    <row r="143" spans="1:2" x14ac:dyDescent="0.3">
      <c r="A143" s="4" t="s">
        <v>101</v>
      </c>
      <c r="B143">
        <v>13</v>
      </c>
    </row>
    <row r="144" spans="1:2" x14ac:dyDescent="0.3">
      <c r="A144" s="4" t="s">
        <v>278</v>
      </c>
      <c r="B144">
        <v>9</v>
      </c>
    </row>
    <row r="145" spans="1:2" x14ac:dyDescent="0.3">
      <c r="A145" s="4" t="s">
        <v>324</v>
      </c>
      <c r="B145">
        <v>14</v>
      </c>
    </row>
    <row r="146" spans="1:2" x14ac:dyDescent="0.3">
      <c r="A146" s="4" t="s">
        <v>105</v>
      </c>
      <c r="B146">
        <v>0</v>
      </c>
    </row>
    <row r="147" spans="1:2" x14ac:dyDescent="0.3">
      <c r="A147" s="4" t="s">
        <v>320</v>
      </c>
      <c r="B147">
        <v>0</v>
      </c>
    </row>
    <row r="148" spans="1:2" x14ac:dyDescent="0.3">
      <c r="A148" s="4" t="s">
        <v>280</v>
      </c>
      <c r="B148">
        <v>17</v>
      </c>
    </row>
    <row r="149" spans="1:2" x14ac:dyDescent="0.3">
      <c r="A149" s="4" t="s">
        <v>322</v>
      </c>
      <c r="B149">
        <v>17</v>
      </c>
    </row>
    <row r="150" spans="1:2" x14ac:dyDescent="0.3">
      <c r="A150" s="4" t="s">
        <v>111</v>
      </c>
      <c r="B150">
        <v>1</v>
      </c>
    </row>
    <row r="151" spans="1:2" x14ac:dyDescent="0.3">
      <c r="A151" s="4" t="s">
        <v>317</v>
      </c>
      <c r="B151">
        <v>3</v>
      </c>
    </row>
    <row r="152" spans="1:2" x14ac:dyDescent="0.3">
      <c r="A152" s="4" t="s">
        <v>103</v>
      </c>
      <c r="B152">
        <v>0</v>
      </c>
    </row>
    <row r="153" spans="1:2" x14ac:dyDescent="0.3">
      <c r="A153" s="3">
        <v>12009</v>
      </c>
      <c r="B153">
        <v>8.6666666666666661</v>
      </c>
    </row>
    <row r="154" spans="1:2" x14ac:dyDescent="0.3">
      <c r="A154" s="4" t="s">
        <v>748</v>
      </c>
      <c r="B154">
        <v>0</v>
      </c>
    </row>
    <row r="155" spans="1:2" x14ac:dyDescent="0.3">
      <c r="A155" s="4" t="s">
        <v>744</v>
      </c>
      <c r="B155">
        <v>8</v>
      </c>
    </row>
    <row r="156" spans="1:2" x14ac:dyDescent="0.3">
      <c r="A156" s="4" t="s">
        <v>525</v>
      </c>
      <c r="B156">
        <v>13</v>
      </c>
    </row>
    <row r="157" spans="1:2" x14ac:dyDescent="0.3">
      <c r="A157" s="4" t="s">
        <v>291</v>
      </c>
      <c r="B157">
        <v>13</v>
      </c>
    </row>
    <row r="158" spans="1:2" x14ac:dyDescent="0.3">
      <c r="A158" s="4" t="s">
        <v>288</v>
      </c>
      <c r="B158">
        <v>1</v>
      </c>
    </row>
    <row r="159" spans="1:2" x14ac:dyDescent="0.3">
      <c r="A159" s="4" t="s">
        <v>746</v>
      </c>
      <c r="B159">
        <v>7</v>
      </c>
    </row>
    <row r="160" spans="1:2" x14ac:dyDescent="0.3">
      <c r="A160" s="4" t="s">
        <v>293</v>
      </c>
      <c r="B160">
        <v>10</v>
      </c>
    </row>
    <row r="161" spans="1:2" x14ac:dyDescent="0.3">
      <c r="A161" s="4" t="s">
        <v>295</v>
      </c>
      <c r="B161">
        <v>7</v>
      </c>
    </row>
    <row r="162" spans="1:2" x14ac:dyDescent="0.3">
      <c r="A162" s="4" t="s">
        <v>519</v>
      </c>
      <c r="B162">
        <v>19</v>
      </c>
    </row>
    <row r="163" spans="1:2" x14ac:dyDescent="0.3">
      <c r="A163" s="3">
        <v>12010</v>
      </c>
      <c r="B163">
        <v>5</v>
      </c>
    </row>
    <row r="164" spans="1:2" x14ac:dyDescent="0.3">
      <c r="A164" s="4" t="s">
        <v>748</v>
      </c>
      <c r="B164">
        <v>0</v>
      </c>
    </row>
    <row r="165" spans="1:2" x14ac:dyDescent="0.3">
      <c r="A165" s="4" t="s">
        <v>744</v>
      </c>
      <c r="B165">
        <v>5</v>
      </c>
    </row>
    <row r="166" spans="1:2" x14ac:dyDescent="0.3">
      <c r="A166" s="4" t="s">
        <v>525</v>
      </c>
      <c r="B166">
        <v>0</v>
      </c>
    </row>
    <row r="167" spans="1:2" x14ac:dyDescent="0.3">
      <c r="A167" s="4" t="s">
        <v>291</v>
      </c>
      <c r="B167">
        <v>21</v>
      </c>
    </row>
    <row r="168" spans="1:2" x14ac:dyDescent="0.3">
      <c r="A168" s="4" t="s">
        <v>288</v>
      </c>
      <c r="B168">
        <v>2</v>
      </c>
    </row>
    <row r="169" spans="1:2" x14ac:dyDescent="0.3">
      <c r="A169" s="4" t="s">
        <v>746</v>
      </c>
      <c r="B169">
        <v>9</v>
      </c>
    </row>
    <row r="170" spans="1:2" x14ac:dyDescent="0.3">
      <c r="A170" s="4" t="s">
        <v>293</v>
      </c>
      <c r="B170">
        <v>3</v>
      </c>
    </row>
    <row r="171" spans="1:2" x14ac:dyDescent="0.3">
      <c r="A171" s="4" t="s">
        <v>295</v>
      </c>
      <c r="B171">
        <v>5</v>
      </c>
    </row>
    <row r="172" spans="1:2" x14ac:dyDescent="0.3">
      <c r="A172" s="4" t="s">
        <v>519</v>
      </c>
      <c r="B172">
        <v>0</v>
      </c>
    </row>
    <row r="173" spans="1:2" x14ac:dyDescent="0.3">
      <c r="A173" s="3">
        <v>12019</v>
      </c>
      <c r="B173">
        <v>6.333333333333333</v>
      </c>
    </row>
    <row r="174" spans="1:2" x14ac:dyDescent="0.3">
      <c r="A174" s="4" t="s">
        <v>756</v>
      </c>
      <c r="B174">
        <v>16</v>
      </c>
    </row>
    <row r="175" spans="1:2" x14ac:dyDescent="0.3">
      <c r="A175" s="4" t="s">
        <v>762</v>
      </c>
      <c r="B175">
        <v>1</v>
      </c>
    </row>
    <row r="176" spans="1:2" x14ac:dyDescent="0.3">
      <c r="A176" s="4" t="s">
        <v>760</v>
      </c>
      <c r="B176">
        <v>4</v>
      </c>
    </row>
    <row r="177" spans="1:2" x14ac:dyDescent="0.3">
      <c r="A177" s="4" t="s">
        <v>758</v>
      </c>
      <c r="B177">
        <v>3</v>
      </c>
    </row>
    <row r="178" spans="1:2" x14ac:dyDescent="0.3">
      <c r="A178" s="4" t="s">
        <v>752</v>
      </c>
      <c r="B178">
        <v>12</v>
      </c>
    </row>
    <row r="179" spans="1:2" x14ac:dyDescent="0.3">
      <c r="A179" s="4" t="s">
        <v>115</v>
      </c>
      <c r="B179">
        <v>1</v>
      </c>
    </row>
    <row r="180" spans="1:2" x14ac:dyDescent="0.3">
      <c r="A180" s="4" t="s">
        <v>763</v>
      </c>
      <c r="B180">
        <v>6</v>
      </c>
    </row>
    <row r="181" spans="1:2" x14ac:dyDescent="0.3">
      <c r="A181" s="4" t="s">
        <v>765</v>
      </c>
      <c r="B181">
        <v>0</v>
      </c>
    </row>
    <row r="182" spans="1:2" x14ac:dyDescent="0.3">
      <c r="A182" s="4" t="s">
        <v>754</v>
      </c>
      <c r="B182">
        <v>14</v>
      </c>
    </row>
    <row r="183" spans="1:2" x14ac:dyDescent="0.3">
      <c r="A183" s="3">
        <v>12020</v>
      </c>
      <c r="B183">
        <v>6</v>
      </c>
    </row>
    <row r="184" spans="1:2" x14ac:dyDescent="0.3">
      <c r="A184" s="4" t="s">
        <v>756</v>
      </c>
      <c r="B184">
        <v>18</v>
      </c>
    </row>
    <row r="185" spans="1:2" x14ac:dyDescent="0.3">
      <c r="A185" s="4" t="s">
        <v>762</v>
      </c>
      <c r="B185">
        <v>0</v>
      </c>
    </row>
    <row r="186" spans="1:2" x14ac:dyDescent="0.3">
      <c r="A186" s="4" t="s">
        <v>760</v>
      </c>
      <c r="B186">
        <v>6</v>
      </c>
    </row>
    <row r="187" spans="1:2" x14ac:dyDescent="0.3">
      <c r="A187" s="4" t="s">
        <v>758</v>
      </c>
      <c r="B187">
        <v>6</v>
      </c>
    </row>
    <row r="188" spans="1:2" x14ac:dyDescent="0.3">
      <c r="A188" s="4" t="s">
        <v>752</v>
      </c>
      <c r="B188">
        <v>0</v>
      </c>
    </row>
    <row r="189" spans="1:2" x14ac:dyDescent="0.3">
      <c r="A189" s="4" t="s">
        <v>115</v>
      </c>
      <c r="B189">
        <v>7</v>
      </c>
    </row>
    <row r="190" spans="1:2" x14ac:dyDescent="0.3">
      <c r="A190" s="4" t="s">
        <v>763</v>
      </c>
      <c r="B190">
        <v>0</v>
      </c>
    </row>
    <row r="191" spans="1:2" x14ac:dyDescent="0.3">
      <c r="A191" s="4" t="s">
        <v>765</v>
      </c>
      <c r="B191">
        <v>2</v>
      </c>
    </row>
    <row r="192" spans="1:2" x14ac:dyDescent="0.3">
      <c r="A192" s="4" t="s">
        <v>754</v>
      </c>
      <c r="B192">
        <v>15</v>
      </c>
    </row>
    <row r="193" spans="1:2" x14ac:dyDescent="0.3">
      <c r="A193" s="3">
        <v>12049</v>
      </c>
      <c r="B193">
        <v>0.75</v>
      </c>
    </row>
    <row r="194" spans="1:2" x14ac:dyDescent="0.3">
      <c r="A194" s="4" t="s">
        <v>107</v>
      </c>
      <c r="B194">
        <v>1</v>
      </c>
    </row>
    <row r="195" spans="1:2" x14ac:dyDescent="0.3">
      <c r="A195" s="4" t="s">
        <v>105</v>
      </c>
      <c r="B195">
        <v>2</v>
      </c>
    </row>
    <row r="196" spans="1:2" x14ac:dyDescent="0.3">
      <c r="A196" s="4" t="s">
        <v>109</v>
      </c>
      <c r="B196">
        <v>0</v>
      </c>
    </row>
    <row r="197" spans="1:2" x14ac:dyDescent="0.3">
      <c r="A197" s="4" t="s">
        <v>103</v>
      </c>
      <c r="B197">
        <v>0</v>
      </c>
    </row>
    <row r="198" spans="1:2" x14ac:dyDescent="0.3">
      <c r="A198" s="3">
        <v>12050</v>
      </c>
      <c r="B198">
        <v>9</v>
      </c>
    </row>
    <row r="199" spans="1:2" x14ac:dyDescent="0.3">
      <c r="A199" s="4" t="s">
        <v>107</v>
      </c>
      <c r="B199">
        <v>15</v>
      </c>
    </row>
    <row r="200" spans="1:2" x14ac:dyDescent="0.3">
      <c r="A200" s="4" t="s">
        <v>105</v>
      </c>
      <c r="B200">
        <v>19</v>
      </c>
    </row>
    <row r="201" spans="1:2" x14ac:dyDescent="0.3">
      <c r="A201" s="4" t="s">
        <v>109</v>
      </c>
      <c r="B201">
        <v>0</v>
      </c>
    </row>
    <row r="202" spans="1:2" x14ac:dyDescent="0.3">
      <c r="A202" s="4" t="s">
        <v>103</v>
      </c>
      <c r="B202">
        <v>2</v>
      </c>
    </row>
    <row r="203" spans="1:2" x14ac:dyDescent="0.3">
      <c r="A203" s="3">
        <v>12137</v>
      </c>
      <c r="B203">
        <v>34.944444444444443</v>
      </c>
    </row>
    <row r="204" spans="1:2" x14ac:dyDescent="0.3">
      <c r="A204" s="4" t="s">
        <v>107</v>
      </c>
      <c r="B204">
        <v>26</v>
      </c>
    </row>
    <row r="205" spans="1:2" x14ac:dyDescent="0.3">
      <c r="A205" s="4" t="s">
        <v>574</v>
      </c>
      <c r="B205">
        <v>35</v>
      </c>
    </row>
    <row r="206" spans="1:2" x14ac:dyDescent="0.3">
      <c r="A206" s="4" t="s">
        <v>588</v>
      </c>
      <c r="B206">
        <v>61</v>
      </c>
    </row>
    <row r="207" spans="1:2" x14ac:dyDescent="0.3">
      <c r="A207" s="4" t="s">
        <v>566</v>
      </c>
      <c r="B207">
        <v>37</v>
      </c>
    </row>
    <row r="208" spans="1:2" x14ac:dyDescent="0.3">
      <c r="A208" s="4" t="s">
        <v>600</v>
      </c>
      <c r="B208">
        <v>64</v>
      </c>
    </row>
    <row r="209" spans="1:2" x14ac:dyDescent="0.3">
      <c r="A209" s="4" t="s">
        <v>607</v>
      </c>
      <c r="B209">
        <v>49</v>
      </c>
    </row>
    <row r="210" spans="1:2" x14ac:dyDescent="0.3">
      <c r="A210" s="4" t="s">
        <v>101</v>
      </c>
      <c r="B210">
        <v>26</v>
      </c>
    </row>
    <row r="211" spans="1:2" x14ac:dyDescent="0.3">
      <c r="A211" s="4" t="s">
        <v>556</v>
      </c>
      <c r="B211">
        <v>35</v>
      </c>
    </row>
    <row r="212" spans="1:2" x14ac:dyDescent="0.3">
      <c r="A212" s="4" t="s">
        <v>278</v>
      </c>
      <c r="B212">
        <v>18</v>
      </c>
    </row>
    <row r="213" spans="1:2" x14ac:dyDescent="0.3">
      <c r="A213" s="4" t="s">
        <v>602</v>
      </c>
      <c r="B213">
        <v>0</v>
      </c>
    </row>
    <row r="214" spans="1:2" x14ac:dyDescent="0.3">
      <c r="A214" s="4" t="s">
        <v>558</v>
      </c>
      <c r="B214">
        <v>35</v>
      </c>
    </row>
    <row r="215" spans="1:2" x14ac:dyDescent="0.3">
      <c r="A215" s="4" t="s">
        <v>380</v>
      </c>
      <c r="B215">
        <v>12</v>
      </c>
    </row>
    <row r="216" spans="1:2" x14ac:dyDescent="0.3">
      <c r="A216" s="4" t="s">
        <v>552</v>
      </c>
      <c r="B216">
        <v>40</v>
      </c>
    </row>
    <row r="217" spans="1:2" x14ac:dyDescent="0.3">
      <c r="A217" s="4" t="s">
        <v>578</v>
      </c>
      <c r="B217">
        <v>0</v>
      </c>
    </row>
    <row r="218" spans="1:2" x14ac:dyDescent="0.3">
      <c r="A218" s="4" t="s">
        <v>383</v>
      </c>
      <c r="B218">
        <v>17</v>
      </c>
    </row>
    <row r="219" spans="1:2" x14ac:dyDescent="0.3">
      <c r="A219" s="4" t="s">
        <v>576</v>
      </c>
      <c r="B219">
        <v>35</v>
      </c>
    </row>
    <row r="220" spans="1:2" x14ac:dyDescent="0.3">
      <c r="A220" s="4" t="s">
        <v>584</v>
      </c>
      <c r="B220">
        <v>49</v>
      </c>
    </row>
    <row r="221" spans="1:2" x14ac:dyDescent="0.3">
      <c r="A221" s="4" t="s">
        <v>324</v>
      </c>
      <c r="B221">
        <v>21</v>
      </c>
    </row>
    <row r="222" spans="1:2" x14ac:dyDescent="0.3">
      <c r="A222" s="4" t="s">
        <v>282</v>
      </c>
      <c r="B222">
        <v>26</v>
      </c>
    </row>
    <row r="223" spans="1:2" x14ac:dyDescent="0.3">
      <c r="A223" s="4" t="s">
        <v>615</v>
      </c>
      <c r="B223">
        <v>66</v>
      </c>
    </row>
    <row r="224" spans="1:2" x14ac:dyDescent="0.3">
      <c r="A224" s="4" t="s">
        <v>617</v>
      </c>
      <c r="B224">
        <v>39</v>
      </c>
    </row>
    <row r="225" spans="1:2" x14ac:dyDescent="0.3">
      <c r="A225" s="4" t="s">
        <v>611</v>
      </c>
      <c r="B225">
        <v>0</v>
      </c>
    </row>
    <row r="226" spans="1:2" x14ac:dyDescent="0.3">
      <c r="A226" s="4" t="s">
        <v>572</v>
      </c>
      <c r="B226">
        <v>42</v>
      </c>
    </row>
    <row r="227" spans="1:2" x14ac:dyDescent="0.3">
      <c r="A227" s="4" t="s">
        <v>609</v>
      </c>
      <c r="B227">
        <v>57</v>
      </c>
    </row>
    <row r="228" spans="1:2" x14ac:dyDescent="0.3">
      <c r="A228" s="4" t="s">
        <v>105</v>
      </c>
      <c r="B228">
        <v>55</v>
      </c>
    </row>
    <row r="229" spans="1:2" x14ac:dyDescent="0.3">
      <c r="A229" s="4" t="s">
        <v>109</v>
      </c>
      <c r="B229">
        <v>36</v>
      </c>
    </row>
    <row r="230" spans="1:2" x14ac:dyDescent="0.3">
      <c r="A230" s="4" t="s">
        <v>564</v>
      </c>
      <c r="B230">
        <v>28</v>
      </c>
    </row>
    <row r="231" spans="1:2" x14ac:dyDescent="0.3">
      <c r="A231" s="4" t="s">
        <v>99</v>
      </c>
      <c r="B231">
        <v>16</v>
      </c>
    </row>
    <row r="232" spans="1:2" x14ac:dyDescent="0.3">
      <c r="A232" s="4" t="s">
        <v>598</v>
      </c>
      <c r="B232">
        <v>62</v>
      </c>
    </row>
    <row r="233" spans="1:2" x14ac:dyDescent="0.3">
      <c r="A233" s="4" t="s">
        <v>554</v>
      </c>
      <c r="B233">
        <v>40</v>
      </c>
    </row>
    <row r="234" spans="1:2" x14ac:dyDescent="0.3">
      <c r="A234" s="4" t="s">
        <v>592</v>
      </c>
      <c r="B234">
        <v>64</v>
      </c>
    </row>
    <row r="235" spans="1:2" x14ac:dyDescent="0.3">
      <c r="A235" s="4" t="s">
        <v>387</v>
      </c>
      <c r="B235">
        <v>29</v>
      </c>
    </row>
    <row r="236" spans="1:2" x14ac:dyDescent="0.3">
      <c r="A236" s="4" t="s">
        <v>389</v>
      </c>
      <c r="B236">
        <v>27</v>
      </c>
    </row>
    <row r="237" spans="1:2" x14ac:dyDescent="0.3">
      <c r="A237" s="4" t="s">
        <v>560</v>
      </c>
      <c r="B237">
        <v>16</v>
      </c>
    </row>
    <row r="238" spans="1:2" x14ac:dyDescent="0.3">
      <c r="A238" s="4" t="s">
        <v>562</v>
      </c>
      <c r="B238">
        <v>20</v>
      </c>
    </row>
    <row r="239" spans="1:2" x14ac:dyDescent="0.3">
      <c r="A239" s="4" t="s">
        <v>582</v>
      </c>
      <c r="B239">
        <v>48</v>
      </c>
    </row>
    <row r="240" spans="1:2" x14ac:dyDescent="0.3">
      <c r="A240" s="4" t="s">
        <v>613</v>
      </c>
      <c r="B240">
        <v>0</v>
      </c>
    </row>
    <row r="241" spans="1:2" x14ac:dyDescent="0.3">
      <c r="A241" s="4" t="s">
        <v>320</v>
      </c>
      <c r="B241">
        <v>28</v>
      </c>
    </row>
    <row r="242" spans="1:2" x14ac:dyDescent="0.3">
      <c r="A242" s="4" t="s">
        <v>395</v>
      </c>
      <c r="B242">
        <v>33</v>
      </c>
    </row>
    <row r="243" spans="1:2" x14ac:dyDescent="0.3">
      <c r="A243" s="4" t="s">
        <v>604</v>
      </c>
      <c r="B243">
        <v>68</v>
      </c>
    </row>
    <row r="244" spans="1:2" x14ac:dyDescent="0.3">
      <c r="A244" s="4" t="s">
        <v>280</v>
      </c>
      <c r="B244">
        <v>41</v>
      </c>
    </row>
    <row r="245" spans="1:2" x14ac:dyDescent="0.3">
      <c r="A245" s="4" t="s">
        <v>605</v>
      </c>
      <c r="B245">
        <v>70</v>
      </c>
    </row>
    <row r="246" spans="1:2" x14ac:dyDescent="0.3">
      <c r="A246" s="4" t="s">
        <v>322</v>
      </c>
      <c r="B246">
        <v>56</v>
      </c>
    </row>
    <row r="247" spans="1:2" x14ac:dyDescent="0.3">
      <c r="A247" s="4" t="s">
        <v>568</v>
      </c>
      <c r="B247">
        <v>19</v>
      </c>
    </row>
    <row r="248" spans="1:2" x14ac:dyDescent="0.3">
      <c r="A248" s="4" t="s">
        <v>594</v>
      </c>
      <c r="B248">
        <v>65</v>
      </c>
    </row>
    <row r="249" spans="1:2" x14ac:dyDescent="0.3">
      <c r="A249" s="4" t="s">
        <v>393</v>
      </c>
      <c r="B249">
        <v>0</v>
      </c>
    </row>
    <row r="250" spans="1:2" x14ac:dyDescent="0.3">
      <c r="A250" s="4" t="s">
        <v>111</v>
      </c>
      <c r="B250">
        <v>43</v>
      </c>
    </row>
    <row r="251" spans="1:2" x14ac:dyDescent="0.3">
      <c r="A251" s="4" t="s">
        <v>580</v>
      </c>
      <c r="B251">
        <v>28</v>
      </c>
    </row>
    <row r="252" spans="1:2" x14ac:dyDescent="0.3">
      <c r="A252" s="4" t="s">
        <v>317</v>
      </c>
      <c r="B252">
        <v>19</v>
      </c>
    </row>
    <row r="253" spans="1:2" x14ac:dyDescent="0.3">
      <c r="A253" s="4" t="s">
        <v>590</v>
      </c>
      <c r="B253">
        <v>64</v>
      </c>
    </row>
    <row r="254" spans="1:2" x14ac:dyDescent="0.3">
      <c r="A254" s="4" t="s">
        <v>586</v>
      </c>
      <c r="B254">
        <v>55</v>
      </c>
    </row>
    <row r="255" spans="1:2" x14ac:dyDescent="0.3">
      <c r="A255" s="4" t="s">
        <v>596</v>
      </c>
      <c r="B255">
        <v>0</v>
      </c>
    </row>
    <row r="256" spans="1:2" x14ac:dyDescent="0.3">
      <c r="A256" s="4" t="s">
        <v>103</v>
      </c>
      <c r="B256">
        <v>30</v>
      </c>
    </row>
    <row r="257" spans="1:2" x14ac:dyDescent="0.3">
      <c r="A257" s="4" t="s">
        <v>570</v>
      </c>
      <c r="B257">
        <v>37</v>
      </c>
    </row>
    <row r="258" spans="1:2" x14ac:dyDescent="0.3">
      <c r="A258" s="3">
        <v>12138</v>
      </c>
      <c r="B258">
        <v>31.26923076923077</v>
      </c>
    </row>
    <row r="259" spans="1:2" x14ac:dyDescent="0.3">
      <c r="A259" s="4" t="s">
        <v>107</v>
      </c>
      <c r="B259">
        <v>48</v>
      </c>
    </row>
    <row r="260" spans="1:2" x14ac:dyDescent="0.3">
      <c r="A260" s="4" t="s">
        <v>574</v>
      </c>
      <c r="B260">
        <v>33</v>
      </c>
    </row>
    <row r="261" spans="1:2" x14ac:dyDescent="0.3">
      <c r="A261" s="4" t="s">
        <v>588</v>
      </c>
      <c r="B261">
        <v>18</v>
      </c>
    </row>
    <row r="262" spans="1:2" x14ac:dyDescent="0.3">
      <c r="A262" s="4" t="s">
        <v>566</v>
      </c>
      <c r="B262">
        <v>61</v>
      </c>
    </row>
    <row r="263" spans="1:2" x14ac:dyDescent="0.3">
      <c r="A263" s="4" t="s">
        <v>600</v>
      </c>
      <c r="B263">
        <v>18</v>
      </c>
    </row>
    <row r="264" spans="1:2" x14ac:dyDescent="0.3">
      <c r="A264" s="4" t="s">
        <v>607</v>
      </c>
      <c r="B264">
        <v>6</v>
      </c>
    </row>
    <row r="265" spans="1:2" x14ac:dyDescent="0.3">
      <c r="A265" s="4" t="s">
        <v>101</v>
      </c>
      <c r="B265">
        <v>0</v>
      </c>
    </row>
    <row r="266" spans="1:2" x14ac:dyDescent="0.3">
      <c r="A266" s="4" t="s">
        <v>556</v>
      </c>
      <c r="B266">
        <v>52</v>
      </c>
    </row>
    <row r="267" spans="1:2" x14ac:dyDescent="0.3">
      <c r="A267" s="4" t="s">
        <v>278</v>
      </c>
      <c r="B267">
        <v>34</v>
      </c>
    </row>
    <row r="268" spans="1:2" x14ac:dyDescent="0.3">
      <c r="A268" s="4" t="s">
        <v>602</v>
      </c>
      <c r="B268">
        <v>16</v>
      </c>
    </row>
    <row r="269" spans="1:2" x14ac:dyDescent="0.3">
      <c r="A269" s="4" t="s">
        <v>558</v>
      </c>
      <c r="B269">
        <v>0</v>
      </c>
    </row>
    <row r="270" spans="1:2" x14ac:dyDescent="0.3">
      <c r="A270" s="4" t="s">
        <v>380</v>
      </c>
      <c r="B270">
        <v>36</v>
      </c>
    </row>
    <row r="271" spans="1:2" x14ac:dyDescent="0.3">
      <c r="A271" s="4" t="s">
        <v>552</v>
      </c>
      <c r="B271">
        <v>57</v>
      </c>
    </row>
    <row r="272" spans="1:2" x14ac:dyDescent="0.3">
      <c r="A272" s="4" t="s">
        <v>578</v>
      </c>
      <c r="B272">
        <v>37</v>
      </c>
    </row>
    <row r="273" spans="1:2" x14ac:dyDescent="0.3">
      <c r="A273" s="4" t="s">
        <v>383</v>
      </c>
      <c r="B273">
        <v>51</v>
      </c>
    </row>
    <row r="274" spans="1:2" x14ac:dyDescent="0.3">
      <c r="A274" s="4" t="s">
        <v>576</v>
      </c>
      <c r="B274">
        <v>48</v>
      </c>
    </row>
    <row r="275" spans="1:2" x14ac:dyDescent="0.3">
      <c r="A275" s="4" t="s">
        <v>584</v>
      </c>
      <c r="B275">
        <v>17</v>
      </c>
    </row>
    <row r="276" spans="1:2" x14ac:dyDescent="0.3">
      <c r="A276" s="4" t="s">
        <v>324</v>
      </c>
      <c r="B276">
        <v>27</v>
      </c>
    </row>
    <row r="277" spans="1:2" x14ac:dyDescent="0.3">
      <c r="A277" s="4" t="s">
        <v>282</v>
      </c>
      <c r="B277">
        <v>25</v>
      </c>
    </row>
    <row r="278" spans="1:2" x14ac:dyDescent="0.3">
      <c r="A278" s="4" t="s">
        <v>615</v>
      </c>
      <c r="B278">
        <v>12</v>
      </c>
    </row>
    <row r="279" spans="1:2" x14ac:dyDescent="0.3">
      <c r="A279" s="4" t="s">
        <v>617</v>
      </c>
      <c r="B279">
        <v>0</v>
      </c>
    </row>
    <row r="280" spans="1:2" x14ac:dyDescent="0.3">
      <c r="A280" s="4" t="s">
        <v>611</v>
      </c>
      <c r="B280">
        <v>14</v>
      </c>
    </row>
    <row r="281" spans="1:2" x14ac:dyDescent="0.3">
      <c r="A281" s="4" t="s">
        <v>572</v>
      </c>
      <c r="B281">
        <v>43</v>
      </c>
    </row>
    <row r="282" spans="1:2" x14ac:dyDescent="0.3">
      <c r="A282" s="4" t="s">
        <v>609</v>
      </c>
      <c r="B282">
        <v>13</v>
      </c>
    </row>
    <row r="283" spans="1:2" x14ac:dyDescent="0.3">
      <c r="A283" s="4" t="s">
        <v>105</v>
      </c>
      <c r="B283">
        <v>0</v>
      </c>
    </row>
    <row r="284" spans="1:2" x14ac:dyDescent="0.3">
      <c r="A284" s="4" t="s">
        <v>564</v>
      </c>
      <c r="B284">
        <v>70</v>
      </c>
    </row>
    <row r="285" spans="1:2" x14ac:dyDescent="0.3">
      <c r="A285" s="4" t="s">
        <v>99</v>
      </c>
      <c r="B285">
        <v>50</v>
      </c>
    </row>
    <row r="286" spans="1:2" x14ac:dyDescent="0.3">
      <c r="A286" s="4" t="s">
        <v>598</v>
      </c>
      <c r="B286">
        <v>15</v>
      </c>
    </row>
    <row r="287" spans="1:2" x14ac:dyDescent="0.3">
      <c r="A287" s="4" t="s">
        <v>554</v>
      </c>
      <c r="B287">
        <v>49</v>
      </c>
    </row>
    <row r="288" spans="1:2" x14ac:dyDescent="0.3">
      <c r="A288" s="4" t="s">
        <v>592</v>
      </c>
      <c r="B288">
        <v>0</v>
      </c>
    </row>
    <row r="289" spans="1:2" x14ac:dyDescent="0.3">
      <c r="A289" s="4" t="s">
        <v>387</v>
      </c>
      <c r="B289">
        <v>47</v>
      </c>
    </row>
    <row r="290" spans="1:2" x14ac:dyDescent="0.3">
      <c r="A290" s="4" t="s">
        <v>560</v>
      </c>
      <c r="B290">
        <v>39</v>
      </c>
    </row>
    <row r="291" spans="1:2" x14ac:dyDescent="0.3">
      <c r="A291" s="4" t="s">
        <v>562</v>
      </c>
      <c r="B291">
        <v>75</v>
      </c>
    </row>
    <row r="292" spans="1:2" x14ac:dyDescent="0.3">
      <c r="A292" s="4" t="s">
        <v>582</v>
      </c>
      <c r="B292">
        <v>29</v>
      </c>
    </row>
    <row r="293" spans="1:2" x14ac:dyDescent="0.3">
      <c r="A293" s="4" t="s">
        <v>613</v>
      </c>
      <c r="B293">
        <v>16</v>
      </c>
    </row>
    <row r="294" spans="1:2" x14ac:dyDescent="0.3">
      <c r="A294" s="4" t="s">
        <v>320</v>
      </c>
      <c r="B294">
        <v>43</v>
      </c>
    </row>
    <row r="295" spans="1:2" x14ac:dyDescent="0.3">
      <c r="A295" s="4" t="s">
        <v>395</v>
      </c>
      <c r="B295">
        <v>65</v>
      </c>
    </row>
    <row r="296" spans="1:2" x14ac:dyDescent="0.3">
      <c r="A296" s="4" t="s">
        <v>604</v>
      </c>
      <c r="B296">
        <v>15</v>
      </c>
    </row>
    <row r="297" spans="1:2" x14ac:dyDescent="0.3">
      <c r="A297" s="4" t="s">
        <v>280</v>
      </c>
      <c r="B297">
        <v>42</v>
      </c>
    </row>
    <row r="298" spans="1:2" x14ac:dyDescent="0.3">
      <c r="A298" s="4" t="s">
        <v>605</v>
      </c>
      <c r="B298">
        <v>13</v>
      </c>
    </row>
    <row r="299" spans="1:2" x14ac:dyDescent="0.3">
      <c r="A299" s="4" t="s">
        <v>322</v>
      </c>
      <c r="B299">
        <v>23</v>
      </c>
    </row>
    <row r="300" spans="1:2" x14ac:dyDescent="0.3">
      <c r="A300" s="4" t="s">
        <v>568</v>
      </c>
      <c r="B300">
        <v>49</v>
      </c>
    </row>
    <row r="301" spans="1:2" x14ac:dyDescent="0.3">
      <c r="A301" s="4" t="s">
        <v>594</v>
      </c>
      <c r="B301">
        <v>21</v>
      </c>
    </row>
    <row r="302" spans="1:2" x14ac:dyDescent="0.3">
      <c r="A302" s="4" t="s">
        <v>393</v>
      </c>
      <c r="B302">
        <v>62</v>
      </c>
    </row>
    <row r="303" spans="1:2" x14ac:dyDescent="0.3">
      <c r="A303" s="4" t="s">
        <v>111</v>
      </c>
      <c r="B303">
        <v>15</v>
      </c>
    </row>
    <row r="304" spans="1:2" x14ac:dyDescent="0.3">
      <c r="A304" s="4" t="s">
        <v>580</v>
      </c>
      <c r="B304">
        <v>54</v>
      </c>
    </row>
    <row r="305" spans="1:2" x14ac:dyDescent="0.3">
      <c r="A305" s="4" t="s">
        <v>317</v>
      </c>
      <c r="B305">
        <v>46</v>
      </c>
    </row>
    <row r="306" spans="1:2" x14ac:dyDescent="0.3">
      <c r="A306" s="4" t="s">
        <v>590</v>
      </c>
      <c r="B306">
        <v>15</v>
      </c>
    </row>
    <row r="307" spans="1:2" x14ac:dyDescent="0.3">
      <c r="A307" s="4" t="s">
        <v>586</v>
      </c>
      <c r="B307">
        <v>14</v>
      </c>
    </row>
    <row r="308" spans="1:2" x14ac:dyDescent="0.3">
      <c r="A308" s="4" t="s">
        <v>596</v>
      </c>
      <c r="B308">
        <v>15</v>
      </c>
    </row>
    <row r="309" spans="1:2" x14ac:dyDescent="0.3">
      <c r="A309" s="4" t="s">
        <v>103</v>
      </c>
      <c r="B309">
        <v>27</v>
      </c>
    </row>
    <row r="310" spans="1:2" x14ac:dyDescent="0.3">
      <c r="A310" s="4" t="s">
        <v>570</v>
      </c>
      <c r="B310">
        <v>51</v>
      </c>
    </row>
    <row r="311" spans="1:2" x14ac:dyDescent="0.3">
      <c r="A311" s="3">
        <v>12163</v>
      </c>
      <c r="B311">
        <v>23.153846153846153</v>
      </c>
    </row>
    <row r="312" spans="1:2" x14ac:dyDescent="0.3">
      <c r="A312" s="4" t="s">
        <v>486</v>
      </c>
      <c r="B312">
        <v>27</v>
      </c>
    </row>
    <row r="313" spans="1:2" x14ac:dyDescent="0.3">
      <c r="A313" s="4" t="s">
        <v>18</v>
      </c>
      <c r="B313">
        <v>33</v>
      </c>
    </row>
    <row r="314" spans="1:2" x14ac:dyDescent="0.3">
      <c r="A314" s="4" t="s">
        <v>13</v>
      </c>
      <c r="B314">
        <v>6</v>
      </c>
    </row>
    <row r="315" spans="1:2" x14ac:dyDescent="0.3">
      <c r="A315" s="4" t="s">
        <v>496</v>
      </c>
      <c r="B315">
        <v>22</v>
      </c>
    </row>
    <row r="316" spans="1:2" x14ac:dyDescent="0.3">
      <c r="A316" s="4" t="s">
        <v>490</v>
      </c>
      <c r="B316">
        <v>25</v>
      </c>
    </row>
    <row r="317" spans="1:2" x14ac:dyDescent="0.3">
      <c r="A317" s="4" t="s">
        <v>488</v>
      </c>
      <c r="B317">
        <v>24</v>
      </c>
    </row>
    <row r="318" spans="1:2" x14ac:dyDescent="0.3">
      <c r="A318" s="4" t="s">
        <v>475</v>
      </c>
      <c r="B318">
        <v>0</v>
      </c>
    </row>
    <row r="319" spans="1:2" x14ac:dyDescent="0.3">
      <c r="A319" s="4" t="s">
        <v>387</v>
      </c>
      <c r="B319">
        <v>24</v>
      </c>
    </row>
    <row r="320" spans="1:2" x14ac:dyDescent="0.3">
      <c r="A320" s="4" t="s">
        <v>500</v>
      </c>
      <c r="B320">
        <v>45</v>
      </c>
    </row>
    <row r="321" spans="1:2" x14ac:dyDescent="0.3">
      <c r="A321" s="4" t="s">
        <v>466</v>
      </c>
      <c r="B321">
        <v>12</v>
      </c>
    </row>
    <row r="322" spans="1:2" x14ac:dyDescent="0.3">
      <c r="A322" s="4" t="s">
        <v>469</v>
      </c>
      <c r="B322">
        <v>35</v>
      </c>
    </row>
    <row r="323" spans="1:2" x14ac:dyDescent="0.3">
      <c r="A323" s="4" t="s">
        <v>484</v>
      </c>
      <c r="B323">
        <v>30</v>
      </c>
    </row>
    <row r="324" spans="1:2" x14ac:dyDescent="0.3">
      <c r="A324" s="4" t="s">
        <v>35</v>
      </c>
      <c r="B324">
        <v>44</v>
      </c>
    </row>
    <row r="325" spans="1:2" x14ac:dyDescent="0.3">
      <c r="A325" s="4" t="s">
        <v>471</v>
      </c>
      <c r="B325">
        <v>38</v>
      </c>
    </row>
    <row r="326" spans="1:2" x14ac:dyDescent="0.3">
      <c r="A326" s="4" t="s">
        <v>502</v>
      </c>
      <c r="B326">
        <v>19</v>
      </c>
    </row>
    <row r="327" spans="1:2" x14ac:dyDescent="0.3">
      <c r="A327" s="4" t="s">
        <v>482</v>
      </c>
      <c r="B327">
        <v>0</v>
      </c>
    </row>
    <row r="328" spans="1:2" x14ac:dyDescent="0.3">
      <c r="A328" s="4" t="s">
        <v>498</v>
      </c>
      <c r="B328">
        <v>28</v>
      </c>
    </row>
    <row r="329" spans="1:2" x14ac:dyDescent="0.3">
      <c r="A329" s="4" t="s">
        <v>276</v>
      </c>
      <c r="B329">
        <v>18</v>
      </c>
    </row>
    <row r="330" spans="1:2" x14ac:dyDescent="0.3">
      <c r="A330" s="4" t="s">
        <v>480</v>
      </c>
      <c r="B330">
        <v>24</v>
      </c>
    </row>
    <row r="331" spans="1:2" x14ac:dyDescent="0.3">
      <c r="A331" s="4" t="s">
        <v>473</v>
      </c>
      <c r="B331">
        <v>31</v>
      </c>
    </row>
    <row r="332" spans="1:2" x14ac:dyDescent="0.3">
      <c r="A332" s="4" t="s">
        <v>492</v>
      </c>
      <c r="B332">
        <v>23</v>
      </c>
    </row>
    <row r="333" spans="1:2" x14ac:dyDescent="0.3">
      <c r="A333" s="4" t="s">
        <v>385</v>
      </c>
      <c r="B333">
        <v>11</v>
      </c>
    </row>
    <row r="334" spans="1:2" x14ac:dyDescent="0.3">
      <c r="A334" s="4" t="s">
        <v>504</v>
      </c>
      <c r="B334">
        <v>18</v>
      </c>
    </row>
    <row r="335" spans="1:2" x14ac:dyDescent="0.3">
      <c r="A335" s="4" t="s">
        <v>476</v>
      </c>
      <c r="B335">
        <v>18</v>
      </c>
    </row>
    <row r="336" spans="1:2" x14ac:dyDescent="0.3">
      <c r="A336" s="4" t="s">
        <v>478</v>
      </c>
      <c r="B336">
        <v>23</v>
      </c>
    </row>
    <row r="337" spans="1:2" x14ac:dyDescent="0.3">
      <c r="A337" s="4" t="s">
        <v>494</v>
      </c>
      <c r="B337">
        <v>24</v>
      </c>
    </row>
    <row r="338" spans="1:2" x14ac:dyDescent="0.3">
      <c r="A338" s="3">
        <v>12164</v>
      </c>
      <c r="B338">
        <v>22.36</v>
      </c>
    </row>
    <row r="339" spans="1:2" x14ac:dyDescent="0.3">
      <c r="A339" s="4" t="s">
        <v>486</v>
      </c>
      <c r="B339">
        <v>39</v>
      </c>
    </row>
    <row r="340" spans="1:2" x14ac:dyDescent="0.3">
      <c r="A340" s="4" t="s">
        <v>18</v>
      </c>
      <c r="B340">
        <v>13</v>
      </c>
    </row>
    <row r="341" spans="1:2" x14ac:dyDescent="0.3">
      <c r="A341" s="4" t="s">
        <v>13</v>
      </c>
      <c r="B341">
        <v>1</v>
      </c>
    </row>
    <row r="342" spans="1:2" x14ac:dyDescent="0.3">
      <c r="A342" s="4" t="s">
        <v>496</v>
      </c>
      <c r="B342">
        <v>0</v>
      </c>
    </row>
    <row r="343" spans="1:2" x14ac:dyDescent="0.3">
      <c r="A343" s="4" t="s">
        <v>490</v>
      </c>
      <c r="B343">
        <v>27</v>
      </c>
    </row>
    <row r="344" spans="1:2" x14ac:dyDescent="0.3">
      <c r="A344" s="4" t="s">
        <v>488</v>
      </c>
      <c r="B344">
        <v>40</v>
      </c>
    </row>
    <row r="345" spans="1:2" x14ac:dyDescent="0.3">
      <c r="A345" s="4" t="s">
        <v>475</v>
      </c>
      <c r="B345">
        <v>6</v>
      </c>
    </row>
    <row r="346" spans="1:2" x14ac:dyDescent="0.3">
      <c r="A346" s="4" t="s">
        <v>387</v>
      </c>
      <c r="B346">
        <v>51</v>
      </c>
    </row>
    <row r="347" spans="1:2" x14ac:dyDescent="0.3">
      <c r="A347" s="4" t="s">
        <v>500</v>
      </c>
      <c r="B347">
        <v>26</v>
      </c>
    </row>
    <row r="348" spans="1:2" x14ac:dyDescent="0.3">
      <c r="A348" s="4" t="s">
        <v>466</v>
      </c>
      <c r="B348">
        <v>9</v>
      </c>
    </row>
    <row r="349" spans="1:2" x14ac:dyDescent="0.3">
      <c r="A349" s="4" t="s">
        <v>469</v>
      </c>
      <c r="B349">
        <v>34</v>
      </c>
    </row>
    <row r="350" spans="1:2" x14ac:dyDescent="0.3">
      <c r="A350" s="4" t="s">
        <v>484</v>
      </c>
      <c r="B350">
        <v>0</v>
      </c>
    </row>
    <row r="351" spans="1:2" x14ac:dyDescent="0.3">
      <c r="A351" s="4" t="s">
        <v>471</v>
      </c>
      <c r="B351">
        <v>0</v>
      </c>
    </row>
    <row r="352" spans="1:2" x14ac:dyDescent="0.3">
      <c r="A352" s="4" t="s">
        <v>502</v>
      </c>
      <c r="B352">
        <v>19</v>
      </c>
    </row>
    <row r="353" spans="1:2" x14ac:dyDescent="0.3">
      <c r="A353" s="4" t="s">
        <v>482</v>
      </c>
      <c r="B353">
        <v>31</v>
      </c>
    </row>
    <row r="354" spans="1:2" x14ac:dyDescent="0.3">
      <c r="A354" s="4" t="s">
        <v>498</v>
      </c>
      <c r="B354">
        <v>34</v>
      </c>
    </row>
    <row r="355" spans="1:2" x14ac:dyDescent="0.3">
      <c r="A355" s="4" t="s">
        <v>276</v>
      </c>
      <c r="B355">
        <v>23</v>
      </c>
    </row>
    <row r="356" spans="1:2" x14ac:dyDescent="0.3">
      <c r="A356" s="4" t="s">
        <v>480</v>
      </c>
      <c r="B356">
        <v>25</v>
      </c>
    </row>
    <row r="357" spans="1:2" x14ac:dyDescent="0.3">
      <c r="A357" s="4" t="s">
        <v>473</v>
      </c>
      <c r="B357">
        <v>20</v>
      </c>
    </row>
    <row r="358" spans="1:2" x14ac:dyDescent="0.3">
      <c r="A358" s="4" t="s">
        <v>492</v>
      </c>
      <c r="B358">
        <v>30</v>
      </c>
    </row>
    <row r="359" spans="1:2" x14ac:dyDescent="0.3">
      <c r="A359" s="4" t="s">
        <v>385</v>
      </c>
      <c r="B359">
        <v>54</v>
      </c>
    </row>
    <row r="360" spans="1:2" x14ac:dyDescent="0.3">
      <c r="A360" s="4" t="s">
        <v>504</v>
      </c>
      <c r="B360">
        <v>12</v>
      </c>
    </row>
    <row r="361" spans="1:2" x14ac:dyDescent="0.3">
      <c r="A361" s="4" t="s">
        <v>476</v>
      </c>
      <c r="B361">
        <v>8</v>
      </c>
    </row>
    <row r="362" spans="1:2" x14ac:dyDescent="0.3">
      <c r="A362" s="4" t="s">
        <v>478</v>
      </c>
      <c r="B362">
        <v>25</v>
      </c>
    </row>
    <row r="363" spans="1:2" x14ac:dyDescent="0.3">
      <c r="A363" s="4" t="s">
        <v>494</v>
      </c>
      <c r="B363">
        <v>32</v>
      </c>
    </row>
    <row r="364" spans="1:2" x14ac:dyDescent="0.3">
      <c r="A364" s="3">
        <v>12201</v>
      </c>
      <c r="B364">
        <v>19.541666666666668</v>
      </c>
    </row>
    <row r="365" spans="1:2" x14ac:dyDescent="0.3">
      <c r="A365" s="4" t="s">
        <v>1070</v>
      </c>
      <c r="B365">
        <v>53</v>
      </c>
    </row>
    <row r="366" spans="1:2" x14ac:dyDescent="0.3">
      <c r="A366" s="4" t="s">
        <v>256</v>
      </c>
      <c r="B366">
        <v>20</v>
      </c>
    </row>
    <row r="367" spans="1:2" x14ac:dyDescent="0.3">
      <c r="A367" s="4" t="s">
        <v>252</v>
      </c>
      <c r="B367">
        <v>0</v>
      </c>
    </row>
    <row r="368" spans="1:2" x14ac:dyDescent="0.3">
      <c r="A368" s="4" t="s">
        <v>262</v>
      </c>
      <c r="B368">
        <v>0</v>
      </c>
    </row>
    <row r="369" spans="1:2" x14ac:dyDescent="0.3">
      <c r="A369" s="4" t="s">
        <v>1080</v>
      </c>
      <c r="B369">
        <v>26</v>
      </c>
    </row>
    <row r="370" spans="1:2" x14ac:dyDescent="0.3">
      <c r="A370" s="4" t="s">
        <v>1068</v>
      </c>
      <c r="B370">
        <v>51</v>
      </c>
    </row>
    <row r="371" spans="1:2" x14ac:dyDescent="0.3">
      <c r="A371" s="4" t="s">
        <v>1078</v>
      </c>
      <c r="B371">
        <v>23</v>
      </c>
    </row>
    <row r="372" spans="1:2" x14ac:dyDescent="0.3">
      <c r="A372" s="4" t="s">
        <v>248</v>
      </c>
      <c r="B372">
        <v>22</v>
      </c>
    </row>
    <row r="373" spans="1:2" x14ac:dyDescent="0.3">
      <c r="A373" s="4" t="s">
        <v>246</v>
      </c>
      <c r="B373">
        <v>0</v>
      </c>
    </row>
    <row r="374" spans="1:2" x14ac:dyDescent="0.3">
      <c r="A374" s="4" t="s">
        <v>258</v>
      </c>
      <c r="B374">
        <v>20</v>
      </c>
    </row>
    <row r="375" spans="1:2" x14ac:dyDescent="0.3">
      <c r="A375" s="4" t="s">
        <v>1082</v>
      </c>
      <c r="B375">
        <v>18</v>
      </c>
    </row>
    <row r="376" spans="1:2" x14ac:dyDescent="0.3">
      <c r="A376" s="4" t="s">
        <v>466</v>
      </c>
      <c r="B376">
        <v>4</v>
      </c>
    </row>
    <row r="377" spans="1:2" x14ac:dyDescent="0.3">
      <c r="A377" s="4" t="s">
        <v>1066</v>
      </c>
      <c r="B377">
        <v>41</v>
      </c>
    </row>
    <row r="378" spans="1:2" x14ac:dyDescent="0.3">
      <c r="A378" s="4" t="s">
        <v>1076</v>
      </c>
      <c r="B378">
        <v>0</v>
      </c>
    </row>
    <row r="379" spans="1:2" x14ac:dyDescent="0.3">
      <c r="A379" s="4" t="s">
        <v>1072</v>
      </c>
      <c r="B379">
        <v>20</v>
      </c>
    </row>
    <row r="380" spans="1:2" x14ac:dyDescent="0.3">
      <c r="A380" s="4" t="s">
        <v>1062</v>
      </c>
      <c r="B380">
        <v>13</v>
      </c>
    </row>
    <row r="381" spans="1:2" x14ac:dyDescent="0.3">
      <c r="A381" s="4" t="s">
        <v>1064</v>
      </c>
      <c r="B381">
        <v>58</v>
      </c>
    </row>
    <row r="382" spans="1:2" x14ac:dyDescent="0.3">
      <c r="A382" s="4" t="s">
        <v>1086</v>
      </c>
      <c r="B382">
        <v>21</v>
      </c>
    </row>
    <row r="383" spans="1:2" x14ac:dyDescent="0.3">
      <c r="A383" s="4" t="s">
        <v>385</v>
      </c>
      <c r="B383">
        <v>11</v>
      </c>
    </row>
    <row r="384" spans="1:2" x14ac:dyDescent="0.3">
      <c r="A384" s="4" t="s">
        <v>266</v>
      </c>
      <c r="B384">
        <v>21</v>
      </c>
    </row>
    <row r="385" spans="1:2" x14ac:dyDescent="0.3">
      <c r="A385" s="4" t="s">
        <v>1084</v>
      </c>
      <c r="B385">
        <v>23</v>
      </c>
    </row>
    <row r="386" spans="1:2" x14ac:dyDescent="0.3">
      <c r="A386" s="4" t="s">
        <v>254</v>
      </c>
      <c r="B386">
        <v>0</v>
      </c>
    </row>
    <row r="387" spans="1:2" x14ac:dyDescent="0.3">
      <c r="A387" s="4" t="s">
        <v>1088</v>
      </c>
      <c r="B387">
        <v>0</v>
      </c>
    </row>
    <row r="388" spans="1:2" x14ac:dyDescent="0.3">
      <c r="A388" s="4" t="s">
        <v>1074</v>
      </c>
      <c r="B388">
        <v>24</v>
      </c>
    </row>
    <row r="389" spans="1:2" x14ac:dyDescent="0.3">
      <c r="A389" s="3">
        <v>12202</v>
      </c>
      <c r="B389">
        <v>27.208333333333332</v>
      </c>
    </row>
    <row r="390" spans="1:2" x14ac:dyDescent="0.3">
      <c r="A390" s="4" t="s">
        <v>1070</v>
      </c>
      <c r="B390">
        <v>45</v>
      </c>
    </row>
    <row r="391" spans="1:2" x14ac:dyDescent="0.3">
      <c r="A391" s="4" t="s">
        <v>256</v>
      </c>
      <c r="B391">
        <v>15</v>
      </c>
    </row>
    <row r="392" spans="1:2" x14ac:dyDescent="0.3">
      <c r="A392" s="4" t="s">
        <v>252</v>
      </c>
      <c r="B392">
        <v>14</v>
      </c>
    </row>
    <row r="393" spans="1:2" x14ac:dyDescent="0.3">
      <c r="A393" s="4" t="s">
        <v>262</v>
      </c>
      <c r="B393">
        <v>11</v>
      </c>
    </row>
    <row r="394" spans="1:2" x14ac:dyDescent="0.3">
      <c r="A394" s="4" t="s">
        <v>1080</v>
      </c>
      <c r="B394">
        <v>50</v>
      </c>
    </row>
    <row r="395" spans="1:2" x14ac:dyDescent="0.3">
      <c r="A395" s="4" t="s">
        <v>1068</v>
      </c>
      <c r="B395">
        <v>48</v>
      </c>
    </row>
    <row r="396" spans="1:2" x14ac:dyDescent="0.3">
      <c r="A396" s="4" t="s">
        <v>1078</v>
      </c>
      <c r="B396">
        <v>55</v>
      </c>
    </row>
    <row r="397" spans="1:2" x14ac:dyDescent="0.3">
      <c r="A397" s="4" t="s">
        <v>248</v>
      </c>
      <c r="B397">
        <v>12</v>
      </c>
    </row>
    <row r="398" spans="1:2" x14ac:dyDescent="0.3">
      <c r="A398" s="4" t="s">
        <v>246</v>
      </c>
      <c r="B398">
        <v>8</v>
      </c>
    </row>
    <row r="399" spans="1:2" x14ac:dyDescent="0.3">
      <c r="A399" s="4" t="s">
        <v>258</v>
      </c>
      <c r="B399">
        <v>18</v>
      </c>
    </row>
    <row r="400" spans="1:2" x14ac:dyDescent="0.3">
      <c r="A400" s="4" t="s">
        <v>1082</v>
      </c>
      <c r="B400">
        <v>25</v>
      </c>
    </row>
    <row r="401" spans="1:2" x14ac:dyDescent="0.3">
      <c r="A401" s="4" t="s">
        <v>466</v>
      </c>
      <c r="B401">
        <v>17</v>
      </c>
    </row>
    <row r="402" spans="1:2" x14ac:dyDescent="0.3">
      <c r="A402" s="4" t="s">
        <v>1066</v>
      </c>
      <c r="B402">
        <v>35</v>
      </c>
    </row>
    <row r="403" spans="1:2" x14ac:dyDescent="0.3">
      <c r="A403" s="4" t="s">
        <v>1076</v>
      </c>
      <c r="B403">
        <v>34</v>
      </c>
    </row>
    <row r="404" spans="1:2" x14ac:dyDescent="0.3">
      <c r="A404" s="4" t="s">
        <v>1072</v>
      </c>
      <c r="B404">
        <v>0</v>
      </c>
    </row>
    <row r="405" spans="1:2" x14ac:dyDescent="0.3">
      <c r="A405" s="4" t="s">
        <v>1062</v>
      </c>
      <c r="B405">
        <v>41</v>
      </c>
    </row>
    <row r="406" spans="1:2" x14ac:dyDescent="0.3">
      <c r="A406" s="4" t="s">
        <v>1064</v>
      </c>
      <c r="B406">
        <v>66</v>
      </c>
    </row>
    <row r="407" spans="1:2" x14ac:dyDescent="0.3">
      <c r="A407" s="4" t="s">
        <v>1086</v>
      </c>
      <c r="B407">
        <v>13</v>
      </c>
    </row>
    <row r="408" spans="1:2" x14ac:dyDescent="0.3">
      <c r="A408" s="4" t="s">
        <v>385</v>
      </c>
      <c r="B408">
        <v>45</v>
      </c>
    </row>
    <row r="409" spans="1:2" x14ac:dyDescent="0.3">
      <c r="A409" s="4" t="s">
        <v>266</v>
      </c>
      <c r="B409">
        <v>20</v>
      </c>
    </row>
    <row r="410" spans="1:2" x14ac:dyDescent="0.3">
      <c r="A410" s="4" t="s">
        <v>1084</v>
      </c>
      <c r="B410">
        <v>22</v>
      </c>
    </row>
    <row r="411" spans="1:2" x14ac:dyDescent="0.3">
      <c r="A411" s="4" t="s">
        <v>254</v>
      </c>
      <c r="B411">
        <v>14</v>
      </c>
    </row>
    <row r="412" spans="1:2" x14ac:dyDescent="0.3">
      <c r="A412" s="4" t="s">
        <v>1088</v>
      </c>
      <c r="B412">
        <v>1</v>
      </c>
    </row>
    <row r="413" spans="1:2" x14ac:dyDescent="0.3">
      <c r="A413" s="4" t="s">
        <v>1074</v>
      </c>
      <c r="B413">
        <v>44</v>
      </c>
    </row>
    <row r="414" spans="1:2" x14ac:dyDescent="0.3">
      <c r="A414" s="3">
        <v>12235</v>
      </c>
      <c r="B414">
        <v>15.25</v>
      </c>
    </row>
    <row r="415" spans="1:2" x14ac:dyDescent="0.3">
      <c r="A415" s="4" t="s">
        <v>789</v>
      </c>
      <c r="B415">
        <v>0</v>
      </c>
    </row>
    <row r="416" spans="1:2" x14ac:dyDescent="0.3">
      <c r="A416" s="4" t="s">
        <v>230</v>
      </c>
      <c r="B416">
        <v>38</v>
      </c>
    </row>
    <row r="417" spans="1:2" x14ac:dyDescent="0.3">
      <c r="A417" s="4" t="s">
        <v>229</v>
      </c>
      <c r="B417">
        <v>51</v>
      </c>
    </row>
    <row r="418" spans="1:2" x14ac:dyDescent="0.3">
      <c r="A418" s="4" t="s">
        <v>775</v>
      </c>
      <c r="B418">
        <v>12</v>
      </c>
    </row>
    <row r="419" spans="1:2" x14ac:dyDescent="0.3">
      <c r="A419" s="4" t="s">
        <v>777</v>
      </c>
      <c r="B419">
        <v>3</v>
      </c>
    </row>
    <row r="420" spans="1:2" x14ac:dyDescent="0.3">
      <c r="A420" s="4" t="s">
        <v>787</v>
      </c>
      <c r="B420">
        <v>13</v>
      </c>
    </row>
    <row r="421" spans="1:2" x14ac:dyDescent="0.3">
      <c r="A421" s="4" t="s">
        <v>779</v>
      </c>
      <c r="B421">
        <v>0</v>
      </c>
    </row>
    <row r="422" spans="1:2" x14ac:dyDescent="0.3">
      <c r="A422" s="4" t="s">
        <v>772</v>
      </c>
      <c r="B422">
        <v>6</v>
      </c>
    </row>
    <row r="423" spans="1:2" x14ac:dyDescent="0.3">
      <c r="A423" s="4" t="s">
        <v>781</v>
      </c>
      <c r="B423">
        <v>35</v>
      </c>
    </row>
    <row r="424" spans="1:2" x14ac:dyDescent="0.3">
      <c r="A424" s="4" t="s">
        <v>783</v>
      </c>
      <c r="B424">
        <v>18</v>
      </c>
    </row>
    <row r="425" spans="1:2" x14ac:dyDescent="0.3">
      <c r="A425" s="4" t="s">
        <v>785</v>
      </c>
      <c r="B425">
        <v>6</v>
      </c>
    </row>
    <row r="426" spans="1:2" x14ac:dyDescent="0.3">
      <c r="A426" s="4" t="s">
        <v>225</v>
      </c>
      <c r="B426">
        <v>1</v>
      </c>
    </row>
    <row r="427" spans="1:2" x14ac:dyDescent="0.3">
      <c r="A427" s="3">
        <v>12236</v>
      </c>
      <c r="B427">
        <v>86.333333333333329</v>
      </c>
    </row>
    <row r="428" spans="1:2" x14ac:dyDescent="0.3">
      <c r="A428" s="4" t="s">
        <v>789</v>
      </c>
      <c r="B428">
        <v>0</v>
      </c>
    </row>
    <row r="429" spans="1:2" x14ac:dyDescent="0.3">
      <c r="A429" s="4" t="s">
        <v>230</v>
      </c>
      <c r="B429">
        <v>157</v>
      </c>
    </row>
    <row r="430" spans="1:2" x14ac:dyDescent="0.3">
      <c r="A430" s="4" t="s">
        <v>229</v>
      </c>
      <c r="B430">
        <v>152</v>
      </c>
    </row>
    <row r="431" spans="1:2" x14ac:dyDescent="0.3">
      <c r="A431" s="4" t="s">
        <v>775</v>
      </c>
      <c r="B431">
        <v>152</v>
      </c>
    </row>
    <row r="432" spans="1:2" x14ac:dyDescent="0.3">
      <c r="A432" s="4" t="s">
        <v>777</v>
      </c>
      <c r="B432">
        <v>143</v>
      </c>
    </row>
    <row r="433" spans="1:2" x14ac:dyDescent="0.3">
      <c r="A433" s="4" t="s">
        <v>787</v>
      </c>
      <c r="B433">
        <v>0</v>
      </c>
    </row>
    <row r="434" spans="1:2" x14ac:dyDescent="0.3">
      <c r="A434" s="4" t="s">
        <v>779</v>
      </c>
      <c r="B434">
        <v>0</v>
      </c>
    </row>
    <row r="435" spans="1:2" x14ac:dyDescent="0.3">
      <c r="A435" s="4" t="s">
        <v>772</v>
      </c>
      <c r="B435">
        <v>126</v>
      </c>
    </row>
    <row r="436" spans="1:2" x14ac:dyDescent="0.3">
      <c r="A436" s="4" t="s">
        <v>781</v>
      </c>
      <c r="B436">
        <v>0</v>
      </c>
    </row>
    <row r="437" spans="1:2" x14ac:dyDescent="0.3">
      <c r="A437" s="4" t="s">
        <v>783</v>
      </c>
      <c r="B437">
        <v>0</v>
      </c>
    </row>
    <row r="438" spans="1:2" x14ac:dyDescent="0.3">
      <c r="A438" s="4" t="s">
        <v>785</v>
      </c>
      <c r="B438">
        <v>159</v>
      </c>
    </row>
    <row r="439" spans="1:2" x14ac:dyDescent="0.3">
      <c r="A439" s="4" t="s">
        <v>225</v>
      </c>
      <c r="B439">
        <v>147</v>
      </c>
    </row>
    <row r="440" spans="1:2" x14ac:dyDescent="0.3">
      <c r="A440" s="3">
        <v>12245</v>
      </c>
      <c r="B440">
        <v>65.166666666666671</v>
      </c>
    </row>
    <row r="441" spans="1:2" x14ac:dyDescent="0.3">
      <c r="A441" s="4" t="s">
        <v>128</v>
      </c>
      <c r="B441">
        <v>111</v>
      </c>
    </row>
    <row r="442" spans="1:2" x14ac:dyDescent="0.3">
      <c r="A442" s="4" t="s">
        <v>115</v>
      </c>
      <c r="B442">
        <v>13</v>
      </c>
    </row>
    <row r="443" spans="1:2" x14ac:dyDescent="0.3">
      <c r="A443" s="4" t="s">
        <v>276</v>
      </c>
      <c r="B443">
        <v>97</v>
      </c>
    </row>
    <row r="444" spans="1:2" x14ac:dyDescent="0.3">
      <c r="A444" s="4" t="s">
        <v>188</v>
      </c>
      <c r="B444">
        <v>77</v>
      </c>
    </row>
    <row r="445" spans="1:2" x14ac:dyDescent="0.3">
      <c r="A445" s="4" t="s">
        <v>89</v>
      </c>
      <c r="B445">
        <v>0</v>
      </c>
    </row>
    <row r="446" spans="1:2" x14ac:dyDescent="0.3">
      <c r="A446" s="4" t="s">
        <v>150</v>
      </c>
      <c r="B446">
        <v>93</v>
      </c>
    </row>
    <row r="447" spans="1:2" x14ac:dyDescent="0.3">
      <c r="A447" s="3">
        <v>12246</v>
      </c>
      <c r="B447">
        <v>15.166666666666666</v>
      </c>
    </row>
    <row r="448" spans="1:2" x14ac:dyDescent="0.3">
      <c r="A448" s="4" t="s">
        <v>128</v>
      </c>
      <c r="B448">
        <v>41</v>
      </c>
    </row>
    <row r="449" spans="1:2" x14ac:dyDescent="0.3">
      <c r="A449" s="4" t="s">
        <v>115</v>
      </c>
      <c r="B449">
        <v>0</v>
      </c>
    </row>
    <row r="450" spans="1:2" x14ac:dyDescent="0.3">
      <c r="A450" s="4" t="s">
        <v>276</v>
      </c>
      <c r="B450">
        <v>13</v>
      </c>
    </row>
    <row r="451" spans="1:2" x14ac:dyDescent="0.3">
      <c r="A451" s="4" t="s">
        <v>188</v>
      </c>
      <c r="B451">
        <v>0</v>
      </c>
    </row>
    <row r="452" spans="1:2" x14ac:dyDescent="0.3">
      <c r="A452" s="4" t="s">
        <v>89</v>
      </c>
      <c r="B452">
        <v>22</v>
      </c>
    </row>
    <row r="453" spans="1:2" x14ac:dyDescent="0.3">
      <c r="A453" s="4" t="s">
        <v>150</v>
      </c>
      <c r="B453">
        <v>15</v>
      </c>
    </row>
    <row r="454" spans="1:2" x14ac:dyDescent="0.3">
      <c r="A454" s="3">
        <v>12259</v>
      </c>
      <c r="B454">
        <v>16.75</v>
      </c>
    </row>
    <row r="455" spans="1:2" x14ac:dyDescent="0.3">
      <c r="A455" s="4" t="s">
        <v>810</v>
      </c>
      <c r="B455">
        <v>7</v>
      </c>
    </row>
    <row r="456" spans="1:2" x14ac:dyDescent="0.3">
      <c r="A456" s="4" t="s">
        <v>804</v>
      </c>
      <c r="B456">
        <v>41</v>
      </c>
    </row>
    <row r="457" spans="1:2" x14ac:dyDescent="0.3">
      <c r="A457" s="4" t="s">
        <v>758</v>
      </c>
      <c r="B457">
        <v>4</v>
      </c>
    </row>
    <row r="458" spans="1:2" x14ac:dyDescent="0.3">
      <c r="A458" s="4" t="s">
        <v>787</v>
      </c>
      <c r="B458">
        <v>11</v>
      </c>
    </row>
    <row r="459" spans="1:2" x14ac:dyDescent="0.3">
      <c r="A459" s="4" t="s">
        <v>798</v>
      </c>
      <c r="B459">
        <v>11</v>
      </c>
    </row>
    <row r="460" spans="1:2" x14ac:dyDescent="0.3">
      <c r="A460" s="4" t="s">
        <v>800</v>
      </c>
      <c r="B460">
        <v>24</v>
      </c>
    </row>
    <row r="461" spans="1:2" x14ac:dyDescent="0.3">
      <c r="A461" s="4" t="s">
        <v>111</v>
      </c>
      <c r="B461">
        <v>14</v>
      </c>
    </row>
    <row r="462" spans="1:2" x14ac:dyDescent="0.3">
      <c r="A462" s="4" t="s">
        <v>225</v>
      </c>
      <c r="B462">
        <v>4</v>
      </c>
    </row>
    <row r="463" spans="1:2" x14ac:dyDescent="0.3">
      <c r="A463" s="4" t="s">
        <v>806</v>
      </c>
      <c r="B463">
        <v>0</v>
      </c>
    </row>
    <row r="464" spans="1:2" x14ac:dyDescent="0.3">
      <c r="A464" s="4" t="s">
        <v>802</v>
      </c>
      <c r="B464">
        <v>28</v>
      </c>
    </row>
    <row r="465" spans="1:2" x14ac:dyDescent="0.3">
      <c r="A465" s="4" t="s">
        <v>795</v>
      </c>
      <c r="B465">
        <v>0</v>
      </c>
    </row>
    <row r="466" spans="1:2" x14ac:dyDescent="0.3">
      <c r="A466" s="4" t="s">
        <v>808</v>
      </c>
      <c r="B466">
        <v>57</v>
      </c>
    </row>
    <row r="467" spans="1:2" x14ac:dyDescent="0.3">
      <c r="A467" s="3">
        <v>12260</v>
      </c>
      <c r="B467">
        <v>17.25</v>
      </c>
    </row>
    <row r="468" spans="1:2" x14ac:dyDescent="0.3">
      <c r="A468" s="4" t="s">
        <v>810</v>
      </c>
      <c r="B468">
        <v>0</v>
      </c>
    </row>
    <row r="469" spans="1:2" x14ac:dyDescent="0.3">
      <c r="A469" s="4" t="s">
        <v>804</v>
      </c>
      <c r="B469">
        <v>0</v>
      </c>
    </row>
    <row r="470" spans="1:2" x14ac:dyDescent="0.3">
      <c r="A470" s="4" t="s">
        <v>758</v>
      </c>
      <c r="B470">
        <v>33</v>
      </c>
    </row>
    <row r="471" spans="1:2" x14ac:dyDescent="0.3">
      <c r="A471" s="4" t="s">
        <v>787</v>
      </c>
      <c r="B471">
        <v>25</v>
      </c>
    </row>
    <row r="472" spans="1:2" x14ac:dyDescent="0.3">
      <c r="A472" s="4" t="s">
        <v>798</v>
      </c>
      <c r="B472">
        <v>0</v>
      </c>
    </row>
    <row r="473" spans="1:2" x14ac:dyDescent="0.3">
      <c r="A473" s="4" t="s">
        <v>800</v>
      </c>
      <c r="B473">
        <v>24</v>
      </c>
    </row>
    <row r="474" spans="1:2" x14ac:dyDescent="0.3">
      <c r="A474" s="4" t="s">
        <v>111</v>
      </c>
      <c r="B474">
        <v>8</v>
      </c>
    </row>
    <row r="475" spans="1:2" x14ac:dyDescent="0.3">
      <c r="A475" s="4" t="s">
        <v>225</v>
      </c>
      <c r="B475">
        <v>23</v>
      </c>
    </row>
    <row r="476" spans="1:2" x14ac:dyDescent="0.3">
      <c r="A476" s="4" t="s">
        <v>806</v>
      </c>
      <c r="B476">
        <v>0</v>
      </c>
    </row>
    <row r="477" spans="1:2" x14ac:dyDescent="0.3">
      <c r="A477" s="4" t="s">
        <v>802</v>
      </c>
      <c r="B477">
        <v>24</v>
      </c>
    </row>
    <row r="478" spans="1:2" x14ac:dyDescent="0.3">
      <c r="A478" s="4" t="s">
        <v>795</v>
      </c>
      <c r="B478">
        <v>55</v>
      </c>
    </row>
    <row r="479" spans="1:2" x14ac:dyDescent="0.3">
      <c r="A479" s="4" t="s">
        <v>808</v>
      </c>
      <c r="B479">
        <v>15</v>
      </c>
    </row>
    <row r="480" spans="1:2" x14ac:dyDescent="0.3">
      <c r="A480" s="3">
        <v>12261</v>
      </c>
      <c r="B480">
        <v>370.5</v>
      </c>
    </row>
    <row r="481" spans="1:2" x14ac:dyDescent="0.3">
      <c r="A481" s="4" t="s">
        <v>815</v>
      </c>
      <c r="B481">
        <v>448</v>
      </c>
    </row>
    <row r="482" spans="1:2" x14ac:dyDescent="0.3">
      <c r="A482" s="4" t="s">
        <v>556</v>
      </c>
      <c r="B482">
        <v>305</v>
      </c>
    </row>
    <row r="483" spans="1:2" x14ac:dyDescent="0.3">
      <c r="A483" s="4" t="s">
        <v>817</v>
      </c>
      <c r="B483">
        <v>298</v>
      </c>
    </row>
    <row r="484" spans="1:2" x14ac:dyDescent="0.3">
      <c r="A484" s="4" t="s">
        <v>380</v>
      </c>
      <c r="B484">
        <v>231</v>
      </c>
    </row>
    <row r="485" spans="1:2" x14ac:dyDescent="0.3">
      <c r="A485" s="4" t="s">
        <v>115</v>
      </c>
      <c r="B485">
        <v>586</v>
      </c>
    </row>
    <row r="486" spans="1:2" x14ac:dyDescent="0.3">
      <c r="A486" s="4" t="s">
        <v>387</v>
      </c>
      <c r="B486">
        <v>261</v>
      </c>
    </row>
    <row r="487" spans="1:2" x14ac:dyDescent="0.3">
      <c r="A487" s="4" t="s">
        <v>97</v>
      </c>
      <c r="B487">
        <v>305</v>
      </c>
    </row>
    <row r="488" spans="1:2" x14ac:dyDescent="0.3">
      <c r="A488" s="4" t="s">
        <v>819</v>
      </c>
      <c r="B488">
        <v>530</v>
      </c>
    </row>
    <row r="489" spans="1:2" x14ac:dyDescent="0.3">
      <c r="A489" s="3">
        <v>12262</v>
      </c>
      <c r="B489">
        <v>237.625</v>
      </c>
    </row>
    <row r="490" spans="1:2" x14ac:dyDescent="0.3">
      <c r="A490" s="4" t="s">
        <v>815</v>
      </c>
      <c r="B490">
        <v>411</v>
      </c>
    </row>
    <row r="491" spans="1:2" x14ac:dyDescent="0.3">
      <c r="A491" s="4" t="s">
        <v>556</v>
      </c>
      <c r="B491">
        <v>0</v>
      </c>
    </row>
    <row r="492" spans="1:2" x14ac:dyDescent="0.3">
      <c r="A492" s="4" t="s">
        <v>817</v>
      </c>
      <c r="B492">
        <v>301</v>
      </c>
    </row>
    <row r="493" spans="1:2" x14ac:dyDescent="0.3">
      <c r="A493" s="4" t="s">
        <v>380</v>
      </c>
      <c r="B493">
        <v>468</v>
      </c>
    </row>
    <row r="494" spans="1:2" x14ac:dyDescent="0.3">
      <c r="A494" s="4" t="s">
        <v>115</v>
      </c>
      <c r="B494">
        <v>92</v>
      </c>
    </row>
    <row r="495" spans="1:2" x14ac:dyDescent="0.3">
      <c r="A495" s="4" t="s">
        <v>387</v>
      </c>
      <c r="B495">
        <v>482</v>
      </c>
    </row>
    <row r="496" spans="1:2" x14ac:dyDescent="0.3">
      <c r="A496" s="4" t="s">
        <v>97</v>
      </c>
      <c r="B496">
        <v>0</v>
      </c>
    </row>
    <row r="497" spans="1:2" x14ac:dyDescent="0.3">
      <c r="A497" s="4" t="s">
        <v>819</v>
      </c>
      <c r="B497">
        <v>147</v>
      </c>
    </row>
    <row r="498" spans="1:2" x14ac:dyDescent="0.3">
      <c r="A498" s="3">
        <v>12295</v>
      </c>
      <c r="B498">
        <v>37.861111111111114</v>
      </c>
    </row>
    <row r="499" spans="1:2" x14ac:dyDescent="0.3">
      <c r="A499" s="4" t="s">
        <v>230</v>
      </c>
      <c r="B499">
        <v>23</v>
      </c>
    </row>
    <row r="500" spans="1:2" x14ac:dyDescent="0.3">
      <c r="A500" s="4" t="s">
        <v>18</v>
      </c>
      <c r="B500">
        <v>29</v>
      </c>
    </row>
    <row r="501" spans="1:2" x14ac:dyDescent="0.3">
      <c r="A501" s="4" t="s">
        <v>95</v>
      </c>
      <c r="B501">
        <v>32</v>
      </c>
    </row>
    <row r="502" spans="1:2" x14ac:dyDescent="0.3">
      <c r="A502" s="4" t="s">
        <v>193</v>
      </c>
      <c r="B502">
        <v>31</v>
      </c>
    </row>
    <row r="503" spans="1:2" x14ac:dyDescent="0.3">
      <c r="A503" s="4" t="s">
        <v>205</v>
      </c>
      <c r="B503">
        <v>64</v>
      </c>
    </row>
    <row r="504" spans="1:2" x14ac:dyDescent="0.3">
      <c r="A504" s="4" t="s">
        <v>229</v>
      </c>
      <c r="B504">
        <v>19</v>
      </c>
    </row>
    <row r="505" spans="1:2" x14ac:dyDescent="0.3">
      <c r="A505" s="4" t="s">
        <v>201</v>
      </c>
      <c r="B505">
        <v>35</v>
      </c>
    </row>
    <row r="506" spans="1:2" x14ac:dyDescent="0.3">
      <c r="A506" s="4" t="s">
        <v>232</v>
      </c>
      <c r="B506">
        <v>4</v>
      </c>
    </row>
    <row r="507" spans="1:2" x14ac:dyDescent="0.3">
      <c r="A507" s="4" t="s">
        <v>227</v>
      </c>
      <c r="B507">
        <v>0</v>
      </c>
    </row>
    <row r="508" spans="1:2" x14ac:dyDescent="0.3">
      <c r="A508" s="4" t="s">
        <v>207</v>
      </c>
      <c r="B508">
        <v>73</v>
      </c>
    </row>
    <row r="509" spans="1:2" x14ac:dyDescent="0.3">
      <c r="A509" s="4" t="s">
        <v>179</v>
      </c>
      <c r="B509">
        <v>46</v>
      </c>
    </row>
    <row r="510" spans="1:2" x14ac:dyDescent="0.3">
      <c r="A510" s="4" t="s">
        <v>99</v>
      </c>
      <c r="B510">
        <v>26</v>
      </c>
    </row>
    <row r="511" spans="1:2" x14ac:dyDescent="0.3">
      <c r="A511" s="4" t="s">
        <v>213</v>
      </c>
      <c r="B511">
        <v>43</v>
      </c>
    </row>
    <row r="512" spans="1:2" x14ac:dyDescent="0.3">
      <c r="A512" s="4" t="s">
        <v>22</v>
      </c>
      <c r="B512">
        <v>30</v>
      </c>
    </row>
    <row r="513" spans="1:2" x14ac:dyDescent="0.3">
      <c r="A513" s="4" t="s">
        <v>215</v>
      </c>
      <c r="B513">
        <v>60</v>
      </c>
    </row>
    <row r="514" spans="1:2" x14ac:dyDescent="0.3">
      <c r="A514" s="4" t="s">
        <v>20</v>
      </c>
      <c r="B514">
        <v>24</v>
      </c>
    </row>
    <row r="515" spans="1:2" x14ac:dyDescent="0.3">
      <c r="A515" s="4" t="s">
        <v>91</v>
      </c>
      <c r="B515">
        <v>38</v>
      </c>
    </row>
    <row r="516" spans="1:2" x14ac:dyDescent="0.3">
      <c r="A516" s="4" t="s">
        <v>191</v>
      </c>
      <c r="B516">
        <v>0</v>
      </c>
    </row>
    <row r="517" spans="1:2" x14ac:dyDescent="0.3">
      <c r="A517" s="4" t="s">
        <v>195</v>
      </c>
      <c r="B517">
        <v>30</v>
      </c>
    </row>
    <row r="518" spans="1:2" x14ac:dyDescent="0.3">
      <c r="A518" s="4" t="s">
        <v>217</v>
      </c>
      <c r="B518">
        <v>70</v>
      </c>
    </row>
    <row r="519" spans="1:2" x14ac:dyDescent="0.3">
      <c r="A519" s="4" t="s">
        <v>223</v>
      </c>
      <c r="B519">
        <v>29</v>
      </c>
    </row>
    <row r="520" spans="1:2" x14ac:dyDescent="0.3">
      <c r="A520" s="4" t="s">
        <v>97</v>
      </c>
      <c r="B520">
        <v>31</v>
      </c>
    </row>
    <row r="521" spans="1:2" x14ac:dyDescent="0.3">
      <c r="A521" s="4" t="s">
        <v>211</v>
      </c>
      <c r="B521">
        <v>54</v>
      </c>
    </row>
    <row r="522" spans="1:2" x14ac:dyDescent="0.3">
      <c r="A522" s="4" t="s">
        <v>177</v>
      </c>
      <c r="B522">
        <v>60</v>
      </c>
    </row>
    <row r="523" spans="1:2" x14ac:dyDescent="0.3">
      <c r="A523" s="4" t="s">
        <v>175</v>
      </c>
      <c r="B523">
        <v>61</v>
      </c>
    </row>
    <row r="524" spans="1:2" x14ac:dyDescent="0.3">
      <c r="A524" s="4" t="s">
        <v>35</v>
      </c>
      <c r="B524">
        <v>33</v>
      </c>
    </row>
    <row r="525" spans="1:2" x14ac:dyDescent="0.3">
      <c r="A525" s="4" t="s">
        <v>209</v>
      </c>
      <c r="B525">
        <v>0</v>
      </c>
    </row>
    <row r="526" spans="1:2" x14ac:dyDescent="0.3">
      <c r="A526" s="4" t="s">
        <v>221</v>
      </c>
      <c r="B526">
        <v>70</v>
      </c>
    </row>
    <row r="527" spans="1:2" x14ac:dyDescent="0.3">
      <c r="A527" s="4" t="s">
        <v>225</v>
      </c>
      <c r="B527">
        <v>12</v>
      </c>
    </row>
    <row r="528" spans="1:2" x14ac:dyDescent="0.3">
      <c r="A528" s="4" t="s">
        <v>197</v>
      </c>
      <c r="B528">
        <v>57</v>
      </c>
    </row>
    <row r="529" spans="1:2" x14ac:dyDescent="0.3">
      <c r="A529" s="4" t="s">
        <v>219</v>
      </c>
      <c r="B529">
        <v>62</v>
      </c>
    </row>
    <row r="530" spans="1:2" x14ac:dyDescent="0.3">
      <c r="A530" s="4" t="s">
        <v>203</v>
      </c>
      <c r="B530">
        <v>44</v>
      </c>
    </row>
    <row r="531" spans="1:2" x14ac:dyDescent="0.3">
      <c r="A531" s="4" t="s">
        <v>199</v>
      </c>
      <c r="B531">
        <v>38</v>
      </c>
    </row>
    <row r="532" spans="1:2" x14ac:dyDescent="0.3">
      <c r="A532" s="4" t="s">
        <v>188</v>
      </c>
      <c r="B532">
        <v>19</v>
      </c>
    </row>
    <row r="533" spans="1:2" x14ac:dyDescent="0.3">
      <c r="A533" s="4" t="s">
        <v>89</v>
      </c>
      <c r="B533">
        <v>54</v>
      </c>
    </row>
    <row r="534" spans="1:2" x14ac:dyDescent="0.3">
      <c r="A534" s="4" t="s">
        <v>93</v>
      </c>
      <c r="B534">
        <v>62</v>
      </c>
    </row>
    <row r="535" spans="1:2" x14ac:dyDescent="0.3">
      <c r="A535" s="3">
        <v>12296</v>
      </c>
      <c r="B535">
        <v>26.75</v>
      </c>
    </row>
    <row r="536" spans="1:2" x14ac:dyDescent="0.3">
      <c r="A536" s="4" t="s">
        <v>230</v>
      </c>
      <c r="B536">
        <v>23</v>
      </c>
    </row>
    <row r="537" spans="1:2" x14ac:dyDescent="0.3">
      <c r="A537" s="4" t="s">
        <v>18</v>
      </c>
      <c r="B537">
        <v>32</v>
      </c>
    </row>
    <row r="538" spans="1:2" x14ac:dyDescent="0.3">
      <c r="A538" s="4" t="s">
        <v>95</v>
      </c>
      <c r="B538">
        <v>10</v>
      </c>
    </row>
    <row r="539" spans="1:2" x14ac:dyDescent="0.3">
      <c r="A539" s="4" t="s">
        <v>193</v>
      </c>
      <c r="B539">
        <v>49</v>
      </c>
    </row>
    <row r="540" spans="1:2" x14ac:dyDescent="0.3">
      <c r="A540" s="4" t="s">
        <v>205</v>
      </c>
      <c r="B540">
        <v>27</v>
      </c>
    </row>
    <row r="541" spans="1:2" x14ac:dyDescent="0.3">
      <c r="A541" s="4" t="s">
        <v>229</v>
      </c>
      <c r="B541">
        <v>34</v>
      </c>
    </row>
    <row r="542" spans="1:2" x14ac:dyDescent="0.3">
      <c r="A542" s="4" t="s">
        <v>201</v>
      </c>
      <c r="B542">
        <v>0</v>
      </c>
    </row>
    <row r="543" spans="1:2" x14ac:dyDescent="0.3">
      <c r="A543" s="4" t="s">
        <v>232</v>
      </c>
      <c r="B543">
        <v>5</v>
      </c>
    </row>
    <row r="544" spans="1:2" x14ac:dyDescent="0.3">
      <c r="A544" s="4" t="s">
        <v>227</v>
      </c>
      <c r="B544">
        <v>45</v>
      </c>
    </row>
    <row r="545" spans="1:2" x14ac:dyDescent="0.3">
      <c r="A545" s="4" t="s">
        <v>207</v>
      </c>
      <c r="B545">
        <v>13</v>
      </c>
    </row>
    <row r="546" spans="1:2" x14ac:dyDescent="0.3">
      <c r="A546" s="4" t="s">
        <v>179</v>
      </c>
      <c r="B546">
        <v>14</v>
      </c>
    </row>
    <row r="547" spans="1:2" x14ac:dyDescent="0.3">
      <c r="A547" s="4" t="s">
        <v>99</v>
      </c>
      <c r="B547">
        <v>8</v>
      </c>
    </row>
    <row r="548" spans="1:2" x14ac:dyDescent="0.3">
      <c r="A548" s="4" t="s">
        <v>213</v>
      </c>
      <c r="B548">
        <v>38</v>
      </c>
    </row>
    <row r="549" spans="1:2" x14ac:dyDescent="0.3">
      <c r="A549" s="4" t="s">
        <v>22</v>
      </c>
      <c r="B549">
        <v>31</v>
      </c>
    </row>
    <row r="550" spans="1:2" x14ac:dyDescent="0.3">
      <c r="A550" s="4" t="s">
        <v>215</v>
      </c>
      <c r="B550">
        <v>47</v>
      </c>
    </row>
    <row r="551" spans="1:2" x14ac:dyDescent="0.3">
      <c r="A551" s="4" t="s">
        <v>20</v>
      </c>
      <c r="B551">
        <v>37</v>
      </c>
    </row>
    <row r="552" spans="1:2" x14ac:dyDescent="0.3">
      <c r="A552" s="4" t="s">
        <v>91</v>
      </c>
      <c r="B552">
        <v>57</v>
      </c>
    </row>
    <row r="553" spans="1:2" x14ac:dyDescent="0.3">
      <c r="A553" s="4" t="s">
        <v>191</v>
      </c>
      <c r="B553">
        <v>45</v>
      </c>
    </row>
    <row r="554" spans="1:2" x14ac:dyDescent="0.3">
      <c r="A554" s="4" t="s">
        <v>195</v>
      </c>
      <c r="B554">
        <v>46</v>
      </c>
    </row>
    <row r="555" spans="1:2" x14ac:dyDescent="0.3">
      <c r="A555" s="4" t="s">
        <v>217</v>
      </c>
      <c r="B555">
        <v>29</v>
      </c>
    </row>
    <row r="556" spans="1:2" x14ac:dyDescent="0.3">
      <c r="A556" s="4" t="s">
        <v>223</v>
      </c>
      <c r="B556">
        <v>21</v>
      </c>
    </row>
    <row r="557" spans="1:2" x14ac:dyDescent="0.3">
      <c r="A557" s="4" t="s">
        <v>97</v>
      </c>
      <c r="B557">
        <v>22</v>
      </c>
    </row>
    <row r="558" spans="1:2" x14ac:dyDescent="0.3">
      <c r="A558" s="4" t="s">
        <v>211</v>
      </c>
      <c r="B558">
        <v>0</v>
      </c>
    </row>
    <row r="559" spans="1:2" x14ac:dyDescent="0.3">
      <c r="A559" s="4" t="s">
        <v>177</v>
      </c>
      <c r="B559">
        <v>25</v>
      </c>
    </row>
    <row r="560" spans="1:2" x14ac:dyDescent="0.3">
      <c r="A560" s="4" t="s">
        <v>175</v>
      </c>
      <c r="B560">
        <v>29</v>
      </c>
    </row>
    <row r="561" spans="1:2" x14ac:dyDescent="0.3">
      <c r="A561" s="4" t="s">
        <v>35</v>
      </c>
      <c r="B561">
        <v>0</v>
      </c>
    </row>
    <row r="562" spans="1:2" x14ac:dyDescent="0.3">
      <c r="A562" s="4" t="s">
        <v>209</v>
      </c>
      <c r="B562">
        <v>0</v>
      </c>
    </row>
    <row r="563" spans="1:2" x14ac:dyDescent="0.3">
      <c r="A563" s="4" t="s">
        <v>221</v>
      </c>
      <c r="B563">
        <v>28</v>
      </c>
    </row>
    <row r="564" spans="1:2" x14ac:dyDescent="0.3">
      <c r="A564" s="4" t="s">
        <v>225</v>
      </c>
      <c r="B564">
        <v>21</v>
      </c>
    </row>
    <row r="565" spans="1:2" x14ac:dyDescent="0.3">
      <c r="A565" s="4" t="s">
        <v>197</v>
      </c>
      <c r="B565">
        <v>43</v>
      </c>
    </row>
    <row r="566" spans="1:2" x14ac:dyDescent="0.3">
      <c r="A566" s="4" t="s">
        <v>219</v>
      </c>
      <c r="B566">
        <v>20</v>
      </c>
    </row>
    <row r="567" spans="1:2" x14ac:dyDescent="0.3">
      <c r="A567" s="4" t="s">
        <v>203</v>
      </c>
      <c r="B567">
        <v>41</v>
      </c>
    </row>
    <row r="568" spans="1:2" x14ac:dyDescent="0.3">
      <c r="A568" s="4" t="s">
        <v>199</v>
      </c>
      <c r="B568">
        <v>39</v>
      </c>
    </row>
    <row r="569" spans="1:2" x14ac:dyDescent="0.3">
      <c r="A569" s="4" t="s">
        <v>188</v>
      </c>
      <c r="B569">
        <v>10</v>
      </c>
    </row>
    <row r="570" spans="1:2" x14ac:dyDescent="0.3">
      <c r="A570" s="4" t="s">
        <v>89</v>
      </c>
      <c r="B570">
        <v>23</v>
      </c>
    </row>
    <row r="571" spans="1:2" x14ac:dyDescent="0.3">
      <c r="A571" s="4" t="s">
        <v>93</v>
      </c>
      <c r="B571">
        <v>51</v>
      </c>
    </row>
    <row r="572" spans="1:2" x14ac:dyDescent="0.3">
      <c r="A572" s="3">
        <v>12301</v>
      </c>
      <c r="B572">
        <v>10.666666666666666</v>
      </c>
    </row>
    <row r="573" spans="1:2" x14ac:dyDescent="0.3">
      <c r="A573" s="4" t="s">
        <v>756</v>
      </c>
      <c r="B573">
        <v>16</v>
      </c>
    </row>
    <row r="574" spans="1:2" x14ac:dyDescent="0.3">
      <c r="A574" s="4" t="s">
        <v>758</v>
      </c>
      <c r="B574">
        <v>3</v>
      </c>
    </row>
    <row r="575" spans="1:2" x14ac:dyDescent="0.3">
      <c r="A575" s="4" t="s">
        <v>826</v>
      </c>
      <c r="B575">
        <v>0</v>
      </c>
    </row>
    <row r="576" spans="1:2" x14ac:dyDescent="0.3">
      <c r="A576" s="4" t="s">
        <v>115</v>
      </c>
      <c r="B576">
        <v>0</v>
      </c>
    </row>
    <row r="577" spans="1:2" x14ac:dyDescent="0.3">
      <c r="A577" s="4" t="s">
        <v>787</v>
      </c>
      <c r="B577">
        <v>19</v>
      </c>
    </row>
    <row r="578" spans="1:2" x14ac:dyDescent="0.3">
      <c r="A578" s="4" t="s">
        <v>111</v>
      </c>
      <c r="B578">
        <v>22</v>
      </c>
    </row>
    <row r="579" spans="1:2" x14ac:dyDescent="0.3">
      <c r="A579" s="4" t="s">
        <v>824</v>
      </c>
      <c r="B579">
        <v>6</v>
      </c>
    </row>
    <row r="580" spans="1:2" x14ac:dyDescent="0.3">
      <c r="A580" s="4" t="s">
        <v>785</v>
      </c>
      <c r="B580">
        <v>15</v>
      </c>
    </row>
    <row r="581" spans="1:2" x14ac:dyDescent="0.3">
      <c r="A581" s="4" t="s">
        <v>225</v>
      </c>
      <c r="B581">
        <v>15</v>
      </c>
    </row>
    <row r="582" spans="1:2" x14ac:dyDescent="0.3">
      <c r="A582" s="3">
        <v>12302</v>
      </c>
      <c r="B582">
        <v>23.444444444444443</v>
      </c>
    </row>
    <row r="583" spans="1:2" x14ac:dyDescent="0.3">
      <c r="A583" s="4" t="s">
        <v>756</v>
      </c>
      <c r="B583">
        <v>40</v>
      </c>
    </row>
    <row r="584" spans="1:2" x14ac:dyDescent="0.3">
      <c r="A584" s="4" t="s">
        <v>758</v>
      </c>
      <c r="B584">
        <v>20</v>
      </c>
    </row>
    <row r="585" spans="1:2" x14ac:dyDescent="0.3">
      <c r="A585" s="4" t="s">
        <v>826</v>
      </c>
      <c r="B585">
        <v>23</v>
      </c>
    </row>
    <row r="586" spans="1:2" x14ac:dyDescent="0.3">
      <c r="A586" s="4" t="s">
        <v>115</v>
      </c>
      <c r="B586">
        <v>30</v>
      </c>
    </row>
    <row r="587" spans="1:2" x14ac:dyDescent="0.3">
      <c r="A587" s="4" t="s">
        <v>787</v>
      </c>
      <c r="B587">
        <v>22</v>
      </c>
    </row>
    <row r="588" spans="1:2" x14ac:dyDescent="0.3">
      <c r="A588" s="4" t="s">
        <v>111</v>
      </c>
      <c r="B588">
        <v>0</v>
      </c>
    </row>
    <row r="589" spans="1:2" x14ac:dyDescent="0.3">
      <c r="A589" s="4" t="s">
        <v>824</v>
      </c>
      <c r="B589">
        <v>34</v>
      </c>
    </row>
    <row r="590" spans="1:2" x14ac:dyDescent="0.3">
      <c r="A590" s="4" t="s">
        <v>785</v>
      </c>
      <c r="B590">
        <v>22</v>
      </c>
    </row>
    <row r="591" spans="1:2" x14ac:dyDescent="0.3">
      <c r="A591" s="4" t="s">
        <v>225</v>
      </c>
      <c r="B591">
        <v>20</v>
      </c>
    </row>
    <row r="592" spans="1:2" x14ac:dyDescent="0.3">
      <c r="A592" s="3">
        <v>12305</v>
      </c>
      <c r="B592">
        <v>12.111111111111111</v>
      </c>
    </row>
    <row r="593" spans="1:2" x14ac:dyDescent="0.3">
      <c r="A593" s="4" t="s">
        <v>831</v>
      </c>
      <c r="B593">
        <v>19</v>
      </c>
    </row>
    <row r="594" spans="1:2" x14ac:dyDescent="0.3">
      <c r="A594" s="4" t="s">
        <v>115</v>
      </c>
      <c r="B594">
        <v>2</v>
      </c>
    </row>
    <row r="595" spans="1:2" x14ac:dyDescent="0.3">
      <c r="A595" s="4" t="s">
        <v>775</v>
      </c>
      <c r="B595">
        <v>0</v>
      </c>
    </row>
    <row r="596" spans="1:2" x14ac:dyDescent="0.3">
      <c r="A596" s="4" t="s">
        <v>787</v>
      </c>
      <c r="B596">
        <v>21</v>
      </c>
    </row>
    <row r="597" spans="1:2" x14ac:dyDescent="0.3">
      <c r="A597" s="4" t="s">
        <v>772</v>
      </c>
      <c r="B597">
        <v>26</v>
      </c>
    </row>
    <row r="598" spans="1:2" x14ac:dyDescent="0.3">
      <c r="A598" s="4" t="s">
        <v>111</v>
      </c>
      <c r="B598">
        <v>16</v>
      </c>
    </row>
    <row r="599" spans="1:2" x14ac:dyDescent="0.3">
      <c r="A599" s="4" t="s">
        <v>783</v>
      </c>
      <c r="B599">
        <v>2</v>
      </c>
    </row>
    <row r="600" spans="1:2" x14ac:dyDescent="0.3">
      <c r="A600" s="4" t="s">
        <v>785</v>
      </c>
      <c r="B600">
        <v>12</v>
      </c>
    </row>
    <row r="601" spans="1:2" x14ac:dyDescent="0.3">
      <c r="A601" s="4" t="s">
        <v>225</v>
      </c>
      <c r="B601">
        <v>11</v>
      </c>
    </row>
    <row r="602" spans="1:2" x14ac:dyDescent="0.3">
      <c r="A602" s="3">
        <v>12306</v>
      </c>
      <c r="B602">
        <v>1.4444444444444444</v>
      </c>
    </row>
    <row r="603" spans="1:2" x14ac:dyDescent="0.3">
      <c r="A603" s="4" t="s">
        <v>831</v>
      </c>
      <c r="B603">
        <v>0</v>
      </c>
    </row>
    <row r="604" spans="1:2" x14ac:dyDescent="0.3">
      <c r="A604" s="4" t="s">
        <v>115</v>
      </c>
      <c r="B604">
        <v>0</v>
      </c>
    </row>
    <row r="605" spans="1:2" x14ac:dyDescent="0.3">
      <c r="A605" s="4" t="s">
        <v>775</v>
      </c>
      <c r="B605">
        <v>1</v>
      </c>
    </row>
    <row r="606" spans="1:2" x14ac:dyDescent="0.3">
      <c r="A606" s="4" t="s">
        <v>787</v>
      </c>
      <c r="B606">
        <v>4</v>
      </c>
    </row>
    <row r="607" spans="1:2" x14ac:dyDescent="0.3">
      <c r="A607" s="4" t="s">
        <v>772</v>
      </c>
      <c r="B607">
        <v>2</v>
      </c>
    </row>
    <row r="608" spans="1:2" x14ac:dyDescent="0.3">
      <c r="A608" s="4" t="s">
        <v>111</v>
      </c>
      <c r="B608">
        <v>1</v>
      </c>
    </row>
    <row r="609" spans="1:2" x14ac:dyDescent="0.3">
      <c r="A609" s="4" t="s">
        <v>783</v>
      </c>
      <c r="B609">
        <v>1</v>
      </c>
    </row>
    <row r="610" spans="1:2" x14ac:dyDescent="0.3">
      <c r="A610" s="4" t="s">
        <v>785</v>
      </c>
      <c r="B610">
        <v>4</v>
      </c>
    </row>
    <row r="611" spans="1:2" x14ac:dyDescent="0.3">
      <c r="A611" s="4" t="s">
        <v>225</v>
      </c>
      <c r="B611">
        <v>0</v>
      </c>
    </row>
    <row r="612" spans="1:2" x14ac:dyDescent="0.3">
      <c r="A612" s="3">
        <v>12313</v>
      </c>
      <c r="B612">
        <v>9.125</v>
      </c>
    </row>
    <row r="613" spans="1:2" x14ac:dyDescent="0.3">
      <c r="A613" s="4" t="s">
        <v>756</v>
      </c>
      <c r="B613">
        <v>14</v>
      </c>
    </row>
    <row r="614" spans="1:2" x14ac:dyDescent="0.3">
      <c r="A614" s="4" t="s">
        <v>758</v>
      </c>
      <c r="B614">
        <v>2</v>
      </c>
    </row>
    <row r="615" spans="1:2" x14ac:dyDescent="0.3">
      <c r="A615" s="4" t="s">
        <v>752</v>
      </c>
      <c r="B615">
        <v>8</v>
      </c>
    </row>
    <row r="616" spans="1:2" x14ac:dyDescent="0.3">
      <c r="A616" s="4" t="s">
        <v>826</v>
      </c>
      <c r="B616">
        <v>9</v>
      </c>
    </row>
    <row r="617" spans="1:2" x14ac:dyDescent="0.3">
      <c r="A617" s="4" t="s">
        <v>787</v>
      </c>
      <c r="B617">
        <v>17</v>
      </c>
    </row>
    <row r="618" spans="1:2" x14ac:dyDescent="0.3">
      <c r="A618" s="4" t="s">
        <v>111</v>
      </c>
      <c r="B618">
        <v>11</v>
      </c>
    </row>
    <row r="619" spans="1:2" x14ac:dyDescent="0.3">
      <c r="A619" s="4" t="s">
        <v>225</v>
      </c>
      <c r="B619">
        <v>12</v>
      </c>
    </row>
    <row r="620" spans="1:2" x14ac:dyDescent="0.3">
      <c r="A620" s="4" t="s">
        <v>795</v>
      </c>
      <c r="B620">
        <v>0</v>
      </c>
    </row>
    <row r="621" spans="1:2" x14ac:dyDescent="0.3">
      <c r="A621" s="3">
        <v>12314</v>
      </c>
      <c r="B621">
        <v>14.375</v>
      </c>
    </row>
    <row r="622" spans="1:2" x14ac:dyDescent="0.3">
      <c r="A622" s="4" t="s">
        <v>756</v>
      </c>
      <c r="B622">
        <v>0</v>
      </c>
    </row>
    <row r="623" spans="1:2" x14ac:dyDescent="0.3">
      <c r="A623" s="4" t="s">
        <v>758</v>
      </c>
      <c r="B623">
        <v>0</v>
      </c>
    </row>
    <row r="624" spans="1:2" x14ac:dyDescent="0.3">
      <c r="A624" s="4" t="s">
        <v>752</v>
      </c>
      <c r="B624">
        <v>40</v>
      </c>
    </row>
    <row r="625" spans="1:2" x14ac:dyDescent="0.3">
      <c r="A625" s="4" t="s">
        <v>826</v>
      </c>
      <c r="B625">
        <v>24</v>
      </c>
    </row>
    <row r="626" spans="1:2" x14ac:dyDescent="0.3">
      <c r="A626" s="4" t="s">
        <v>787</v>
      </c>
      <c r="B626">
        <v>23</v>
      </c>
    </row>
    <row r="627" spans="1:2" x14ac:dyDescent="0.3">
      <c r="A627" s="4" t="s">
        <v>111</v>
      </c>
      <c r="B627">
        <v>9</v>
      </c>
    </row>
    <row r="628" spans="1:2" x14ac:dyDescent="0.3">
      <c r="A628" s="4" t="s">
        <v>225</v>
      </c>
      <c r="B628">
        <v>0</v>
      </c>
    </row>
    <row r="629" spans="1:2" x14ac:dyDescent="0.3">
      <c r="A629" s="4" t="s">
        <v>795</v>
      </c>
      <c r="B629">
        <v>19</v>
      </c>
    </row>
    <row r="630" spans="1:2" x14ac:dyDescent="0.3">
      <c r="A630" s="3">
        <v>12367</v>
      </c>
      <c r="B630">
        <v>29.833333333333332</v>
      </c>
    </row>
    <row r="631" spans="1:2" x14ac:dyDescent="0.3">
      <c r="A631" s="4" t="s">
        <v>970</v>
      </c>
      <c r="B631">
        <v>18</v>
      </c>
    </row>
    <row r="632" spans="1:2" x14ac:dyDescent="0.3">
      <c r="A632" s="4" t="s">
        <v>789</v>
      </c>
      <c r="B632">
        <v>37</v>
      </c>
    </row>
    <row r="633" spans="1:2" x14ac:dyDescent="0.3">
      <c r="A633" s="4" t="s">
        <v>230</v>
      </c>
      <c r="B633">
        <v>55</v>
      </c>
    </row>
    <row r="634" spans="1:2" x14ac:dyDescent="0.3">
      <c r="A634" s="4" t="s">
        <v>981</v>
      </c>
      <c r="B634">
        <v>41</v>
      </c>
    </row>
    <row r="635" spans="1:2" x14ac:dyDescent="0.3">
      <c r="A635" s="4" t="s">
        <v>979</v>
      </c>
      <c r="B635">
        <v>38</v>
      </c>
    </row>
    <row r="636" spans="1:2" x14ac:dyDescent="0.3">
      <c r="A636" s="4" t="s">
        <v>976</v>
      </c>
      <c r="B636">
        <v>21</v>
      </c>
    </row>
    <row r="637" spans="1:2" x14ac:dyDescent="0.3">
      <c r="A637" s="4" t="s">
        <v>964</v>
      </c>
      <c r="B637">
        <v>11</v>
      </c>
    </row>
    <row r="638" spans="1:2" x14ac:dyDescent="0.3">
      <c r="A638" s="4" t="s">
        <v>959</v>
      </c>
      <c r="B638">
        <v>8</v>
      </c>
    </row>
    <row r="639" spans="1:2" x14ac:dyDescent="0.3">
      <c r="A639" s="4" t="s">
        <v>229</v>
      </c>
      <c r="B639">
        <v>65</v>
      </c>
    </row>
    <row r="640" spans="1:2" x14ac:dyDescent="0.3">
      <c r="A640" s="4" t="s">
        <v>968</v>
      </c>
      <c r="B640">
        <v>18</v>
      </c>
    </row>
    <row r="641" spans="1:2" x14ac:dyDescent="0.3">
      <c r="A641" s="4" t="s">
        <v>985</v>
      </c>
      <c r="B641">
        <v>48</v>
      </c>
    </row>
    <row r="642" spans="1:2" x14ac:dyDescent="0.3">
      <c r="A642" s="4" t="s">
        <v>978</v>
      </c>
      <c r="B642">
        <v>24</v>
      </c>
    </row>
    <row r="643" spans="1:2" x14ac:dyDescent="0.3">
      <c r="A643" s="4" t="s">
        <v>966</v>
      </c>
      <c r="B643">
        <v>16</v>
      </c>
    </row>
    <row r="644" spans="1:2" x14ac:dyDescent="0.3">
      <c r="A644" s="4" t="s">
        <v>972</v>
      </c>
      <c r="B644">
        <v>20</v>
      </c>
    </row>
    <row r="645" spans="1:2" x14ac:dyDescent="0.3">
      <c r="A645" s="4" t="s">
        <v>787</v>
      </c>
      <c r="B645">
        <v>53</v>
      </c>
    </row>
    <row r="646" spans="1:2" x14ac:dyDescent="0.3">
      <c r="A646" s="4" t="s">
        <v>983</v>
      </c>
      <c r="B646">
        <v>0</v>
      </c>
    </row>
    <row r="647" spans="1:2" x14ac:dyDescent="0.3">
      <c r="A647" s="4" t="s">
        <v>779</v>
      </c>
      <c r="B647">
        <v>14</v>
      </c>
    </row>
    <row r="648" spans="1:2" x14ac:dyDescent="0.3">
      <c r="A648" s="4" t="s">
        <v>974</v>
      </c>
      <c r="B648">
        <v>0</v>
      </c>
    </row>
    <row r="649" spans="1:2" x14ac:dyDescent="0.3">
      <c r="A649" s="4" t="s">
        <v>781</v>
      </c>
      <c r="B649">
        <v>30</v>
      </c>
    </row>
    <row r="650" spans="1:2" x14ac:dyDescent="0.3">
      <c r="A650" s="4" t="s">
        <v>783</v>
      </c>
      <c r="B650">
        <v>38</v>
      </c>
    </row>
    <row r="651" spans="1:2" x14ac:dyDescent="0.3">
      <c r="A651" s="4" t="s">
        <v>987</v>
      </c>
      <c r="B651">
        <v>48</v>
      </c>
    </row>
    <row r="652" spans="1:2" x14ac:dyDescent="0.3">
      <c r="A652" s="4" t="s">
        <v>785</v>
      </c>
      <c r="B652">
        <v>101</v>
      </c>
    </row>
    <row r="653" spans="1:2" x14ac:dyDescent="0.3">
      <c r="A653" s="4" t="s">
        <v>225</v>
      </c>
      <c r="B653">
        <v>0</v>
      </c>
    </row>
    <row r="654" spans="1:2" x14ac:dyDescent="0.3">
      <c r="A654" s="4" t="s">
        <v>962</v>
      </c>
      <c r="B654">
        <v>12</v>
      </c>
    </row>
    <row r="655" spans="1:2" x14ac:dyDescent="0.3">
      <c r="A655" s="3">
        <v>12368</v>
      </c>
      <c r="B655">
        <v>33.782608695652172</v>
      </c>
    </row>
    <row r="656" spans="1:2" x14ac:dyDescent="0.3">
      <c r="A656" s="4" t="s">
        <v>970</v>
      </c>
      <c r="B656">
        <v>26</v>
      </c>
    </row>
    <row r="657" spans="1:2" x14ac:dyDescent="0.3">
      <c r="A657" s="4" t="s">
        <v>789</v>
      </c>
      <c r="B657">
        <v>0</v>
      </c>
    </row>
    <row r="658" spans="1:2" x14ac:dyDescent="0.3">
      <c r="A658" s="4" t="s">
        <v>230</v>
      </c>
      <c r="B658">
        <v>35</v>
      </c>
    </row>
    <row r="659" spans="1:2" x14ac:dyDescent="0.3">
      <c r="A659" s="4" t="s">
        <v>981</v>
      </c>
      <c r="B659">
        <v>0</v>
      </c>
    </row>
    <row r="660" spans="1:2" x14ac:dyDescent="0.3">
      <c r="A660" s="4" t="s">
        <v>979</v>
      </c>
      <c r="B660">
        <v>67</v>
      </c>
    </row>
    <row r="661" spans="1:2" x14ac:dyDescent="0.3">
      <c r="A661" s="4" t="s">
        <v>976</v>
      </c>
      <c r="B661">
        <v>75</v>
      </c>
    </row>
    <row r="662" spans="1:2" x14ac:dyDescent="0.3">
      <c r="A662" s="4" t="s">
        <v>964</v>
      </c>
      <c r="B662">
        <v>41</v>
      </c>
    </row>
    <row r="663" spans="1:2" x14ac:dyDescent="0.3">
      <c r="A663" s="4" t="s">
        <v>959</v>
      </c>
      <c r="B663">
        <v>10</v>
      </c>
    </row>
    <row r="664" spans="1:2" x14ac:dyDescent="0.3">
      <c r="A664" s="4" t="s">
        <v>229</v>
      </c>
      <c r="B664">
        <v>30</v>
      </c>
    </row>
    <row r="665" spans="1:2" x14ac:dyDescent="0.3">
      <c r="A665" s="4" t="s">
        <v>968</v>
      </c>
      <c r="B665">
        <v>26</v>
      </c>
    </row>
    <row r="666" spans="1:2" x14ac:dyDescent="0.3">
      <c r="A666" s="4" t="s">
        <v>985</v>
      </c>
      <c r="B666">
        <v>63</v>
      </c>
    </row>
    <row r="667" spans="1:2" x14ac:dyDescent="0.3">
      <c r="A667" s="4" t="s">
        <v>978</v>
      </c>
      <c r="B667">
        <v>0</v>
      </c>
    </row>
    <row r="668" spans="1:2" x14ac:dyDescent="0.3">
      <c r="A668" s="4" t="s">
        <v>966</v>
      </c>
      <c r="B668">
        <v>34</v>
      </c>
    </row>
    <row r="669" spans="1:2" x14ac:dyDescent="0.3">
      <c r="A669" s="4" t="s">
        <v>972</v>
      </c>
      <c r="B669">
        <v>0</v>
      </c>
    </row>
    <row r="670" spans="1:2" x14ac:dyDescent="0.3">
      <c r="A670" s="4" t="s">
        <v>787</v>
      </c>
      <c r="B670">
        <v>0</v>
      </c>
    </row>
    <row r="671" spans="1:2" x14ac:dyDescent="0.3">
      <c r="A671" s="4" t="s">
        <v>983</v>
      </c>
      <c r="B671">
        <v>64</v>
      </c>
    </row>
    <row r="672" spans="1:2" x14ac:dyDescent="0.3">
      <c r="A672" s="4" t="s">
        <v>779</v>
      </c>
      <c r="B672">
        <v>24</v>
      </c>
    </row>
    <row r="673" spans="1:2" x14ac:dyDescent="0.3">
      <c r="A673" s="4" t="s">
        <v>974</v>
      </c>
      <c r="B673">
        <v>67</v>
      </c>
    </row>
    <row r="674" spans="1:2" x14ac:dyDescent="0.3">
      <c r="A674" s="4" t="s">
        <v>781</v>
      </c>
      <c r="B674">
        <v>71</v>
      </c>
    </row>
    <row r="675" spans="1:2" x14ac:dyDescent="0.3">
      <c r="A675" s="4" t="s">
        <v>783</v>
      </c>
      <c r="B675">
        <v>54</v>
      </c>
    </row>
    <row r="676" spans="1:2" x14ac:dyDescent="0.3">
      <c r="A676" s="4" t="s">
        <v>987</v>
      </c>
      <c r="B676">
        <v>56</v>
      </c>
    </row>
    <row r="677" spans="1:2" x14ac:dyDescent="0.3">
      <c r="A677" s="4" t="s">
        <v>225</v>
      </c>
      <c r="B677">
        <v>0</v>
      </c>
    </row>
    <row r="678" spans="1:2" x14ac:dyDescent="0.3">
      <c r="A678" s="4" t="s">
        <v>962</v>
      </c>
      <c r="B678">
        <v>34</v>
      </c>
    </row>
    <row r="679" spans="1:2" x14ac:dyDescent="0.3">
      <c r="A679" s="3">
        <v>12423</v>
      </c>
      <c r="B679">
        <v>12.125</v>
      </c>
    </row>
    <row r="680" spans="1:2" x14ac:dyDescent="0.3">
      <c r="A680" s="4" t="s">
        <v>859</v>
      </c>
      <c r="B680">
        <v>0</v>
      </c>
    </row>
    <row r="681" spans="1:2" x14ac:dyDescent="0.3">
      <c r="A681" s="4" t="s">
        <v>851</v>
      </c>
      <c r="B681">
        <v>0</v>
      </c>
    </row>
    <row r="682" spans="1:2" x14ac:dyDescent="0.3">
      <c r="A682" s="4" t="s">
        <v>232</v>
      </c>
      <c r="B682">
        <v>11</v>
      </c>
    </row>
    <row r="683" spans="1:2" x14ac:dyDescent="0.3">
      <c r="A683" s="4" t="s">
        <v>838</v>
      </c>
      <c r="B683">
        <v>2</v>
      </c>
    </row>
    <row r="684" spans="1:2" x14ac:dyDescent="0.3">
      <c r="A684" s="4" t="s">
        <v>845</v>
      </c>
      <c r="B684">
        <v>22</v>
      </c>
    </row>
    <row r="685" spans="1:2" x14ac:dyDescent="0.3">
      <c r="A685" s="4" t="s">
        <v>847</v>
      </c>
      <c r="B685">
        <v>0</v>
      </c>
    </row>
    <row r="686" spans="1:2" x14ac:dyDescent="0.3">
      <c r="A686" s="4" t="s">
        <v>646</v>
      </c>
      <c r="B686">
        <v>25</v>
      </c>
    </row>
    <row r="687" spans="1:2" x14ac:dyDescent="0.3">
      <c r="A687" s="4" t="s">
        <v>787</v>
      </c>
      <c r="B687">
        <v>17</v>
      </c>
    </row>
    <row r="688" spans="1:2" x14ac:dyDescent="0.3">
      <c r="A688" s="4" t="s">
        <v>853</v>
      </c>
      <c r="B688">
        <v>5</v>
      </c>
    </row>
    <row r="689" spans="1:2" x14ac:dyDescent="0.3">
      <c r="A689" s="4" t="s">
        <v>311</v>
      </c>
      <c r="B689">
        <v>0</v>
      </c>
    </row>
    <row r="690" spans="1:2" x14ac:dyDescent="0.3">
      <c r="A690" s="4" t="s">
        <v>636</v>
      </c>
      <c r="B690">
        <v>19</v>
      </c>
    </row>
    <row r="691" spans="1:2" x14ac:dyDescent="0.3">
      <c r="A691" s="4" t="s">
        <v>849</v>
      </c>
      <c r="B691">
        <v>33</v>
      </c>
    </row>
    <row r="692" spans="1:2" x14ac:dyDescent="0.3">
      <c r="A692" s="4" t="s">
        <v>857</v>
      </c>
      <c r="B692">
        <v>15</v>
      </c>
    </row>
    <row r="693" spans="1:2" x14ac:dyDescent="0.3">
      <c r="A693" s="4" t="s">
        <v>843</v>
      </c>
      <c r="B693">
        <v>21</v>
      </c>
    </row>
    <row r="694" spans="1:2" x14ac:dyDescent="0.3">
      <c r="A694" s="4" t="s">
        <v>855</v>
      </c>
      <c r="B694">
        <v>8</v>
      </c>
    </row>
    <row r="695" spans="1:2" x14ac:dyDescent="0.3">
      <c r="A695" s="4" t="s">
        <v>638</v>
      </c>
      <c r="B695">
        <v>13</v>
      </c>
    </row>
    <row r="696" spans="1:2" x14ac:dyDescent="0.3">
      <c r="A696" s="4" t="s">
        <v>632</v>
      </c>
      <c r="B696">
        <v>30</v>
      </c>
    </row>
    <row r="697" spans="1:2" x14ac:dyDescent="0.3">
      <c r="A697" s="4" t="s">
        <v>111</v>
      </c>
      <c r="B697">
        <v>11</v>
      </c>
    </row>
    <row r="698" spans="1:2" x14ac:dyDescent="0.3">
      <c r="A698" s="4" t="s">
        <v>313</v>
      </c>
      <c r="B698">
        <v>17</v>
      </c>
    </row>
    <row r="699" spans="1:2" x14ac:dyDescent="0.3">
      <c r="A699" s="4" t="s">
        <v>841</v>
      </c>
      <c r="B699">
        <v>13</v>
      </c>
    </row>
    <row r="700" spans="1:2" x14ac:dyDescent="0.3">
      <c r="A700" s="4" t="s">
        <v>861</v>
      </c>
      <c r="B700">
        <v>7</v>
      </c>
    </row>
    <row r="701" spans="1:2" x14ac:dyDescent="0.3">
      <c r="A701" s="4" t="s">
        <v>785</v>
      </c>
      <c r="B701">
        <v>12</v>
      </c>
    </row>
    <row r="702" spans="1:2" x14ac:dyDescent="0.3">
      <c r="A702" s="4" t="s">
        <v>225</v>
      </c>
      <c r="B702">
        <v>10</v>
      </c>
    </row>
    <row r="703" spans="1:2" x14ac:dyDescent="0.3">
      <c r="A703" s="4" t="s">
        <v>642</v>
      </c>
      <c r="B703">
        <v>0</v>
      </c>
    </row>
    <row r="704" spans="1:2" x14ac:dyDescent="0.3">
      <c r="A704" s="3">
        <v>12424</v>
      </c>
      <c r="B704">
        <v>16.625</v>
      </c>
    </row>
    <row r="705" spans="1:2" x14ac:dyDescent="0.3">
      <c r="A705" s="4" t="s">
        <v>859</v>
      </c>
      <c r="B705">
        <v>7</v>
      </c>
    </row>
    <row r="706" spans="1:2" x14ac:dyDescent="0.3">
      <c r="A706" s="4" t="s">
        <v>851</v>
      </c>
      <c r="B706">
        <v>0</v>
      </c>
    </row>
    <row r="707" spans="1:2" x14ac:dyDescent="0.3">
      <c r="A707" s="4" t="s">
        <v>232</v>
      </c>
      <c r="B707">
        <v>0</v>
      </c>
    </row>
    <row r="708" spans="1:2" x14ac:dyDescent="0.3">
      <c r="A708" s="4" t="s">
        <v>838</v>
      </c>
      <c r="B708">
        <v>15</v>
      </c>
    </row>
    <row r="709" spans="1:2" x14ac:dyDescent="0.3">
      <c r="A709" s="4" t="s">
        <v>845</v>
      </c>
      <c r="B709">
        <v>0</v>
      </c>
    </row>
    <row r="710" spans="1:2" x14ac:dyDescent="0.3">
      <c r="A710" s="4" t="s">
        <v>847</v>
      </c>
      <c r="B710">
        <v>26</v>
      </c>
    </row>
    <row r="711" spans="1:2" x14ac:dyDescent="0.3">
      <c r="A711" s="4" t="s">
        <v>646</v>
      </c>
      <c r="B711">
        <v>30</v>
      </c>
    </row>
    <row r="712" spans="1:2" x14ac:dyDescent="0.3">
      <c r="A712" s="4" t="s">
        <v>787</v>
      </c>
      <c r="B712">
        <v>13</v>
      </c>
    </row>
    <row r="713" spans="1:2" x14ac:dyDescent="0.3">
      <c r="A713" s="4" t="s">
        <v>853</v>
      </c>
      <c r="B713">
        <v>15</v>
      </c>
    </row>
    <row r="714" spans="1:2" x14ac:dyDescent="0.3">
      <c r="A714" s="4" t="s">
        <v>311</v>
      </c>
      <c r="B714">
        <v>0</v>
      </c>
    </row>
    <row r="715" spans="1:2" x14ac:dyDescent="0.3">
      <c r="A715" s="4" t="s">
        <v>636</v>
      </c>
      <c r="B715">
        <v>30</v>
      </c>
    </row>
    <row r="716" spans="1:2" x14ac:dyDescent="0.3">
      <c r="A716" s="4" t="s">
        <v>849</v>
      </c>
      <c r="B716">
        <v>23</v>
      </c>
    </row>
    <row r="717" spans="1:2" x14ac:dyDescent="0.3">
      <c r="A717" s="4" t="s">
        <v>857</v>
      </c>
      <c r="B717">
        <v>17</v>
      </c>
    </row>
    <row r="718" spans="1:2" x14ac:dyDescent="0.3">
      <c r="A718" s="4" t="s">
        <v>843</v>
      </c>
      <c r="B718">
        <v>27</v>
      </c>
    </row>
    <row r="719" spans="1:2" x14ac:dyDescent="0.3">
      <c r="A719" s="4" t="s">
        <v>855</v>
      </c>
      <c r="B719">
        <v>21</v>
      </c>
    </row>
    <row r="720" spans="1:2" x14ac:dyDescent="0.3">
      <c r="A720" s="4" t="s">
        <v>638</v>
      </c>
      <c r="B720">
        <v>19</v>
      </c>
    </row>
    <row r="721" spans="1:2" x14ac:dyDescent="0.3">
      <c r="A721" s="4" t="s">
        <v>632</v>
      </c>
      <c r="B721">
        <v>15</v>
      </c>
    </row>
    <row r="722" spans="1:2" x14ac:dyDescent="0.3">
      <c r="A722" s="4" t="s">
        <v>111</v>
      </c>
      <c r="B722">
        <v>0</v>
      </c>
    </row>
    <row r="723" spans="1:2" x14ac:dyDescent="0.3">
      <c r="A723" s="4" t="s">
        <v>313</v>
      </c>
      <c r="B723">
        <v>24</v>
      </c>
    </row>
    <row r="724" spans="1:2" x14ac:dyDescent="0.3">
      <c r="A724" s="4" t="s">
        <v>841</v>
      </c>
      <c r="B724">
        <v>49</v>
      </c>
    </row>
    <row r="725" spans="1:2" x14ac:dyDescent="0.3">
      <c r="A725" s="4" t="s">
        <v>861</v>
      </c>
      <c r="B725">
        <v>9</v>
      </c>
    </row>
    <row r="726" spans="1:2" x14ac:dyDescent="0.3">
      <c r="A726" s="4" t="s">
        <v>785</v>
      </c>
      <c r="B726">
        <v>17</v>
      </c>
    </row>
    <row r="727" spans="1:2" x14ac:dyDescent="0.3">
      <c r="A727" s="4" t="s">
        <v>225</v>
      </c>
      <c r="B727">
        <v>8</v>
      </c>
    </row>
    <row r="728" spans="1:2" x14ac:dyDescent="0.3">
      <c r="A728" s="4" t="s">
        <v>642</v>
      </c>
      <c r="B728">
        <v>34</v>
      </c>
    </row>
    <row r="729" spans="1:2" x14ac:dyDescent="0.3">
      <c r="A729" s="3">
        <v>12433</v>
      </c>
      <c r="B729">
        <v>9.6999999999999993</v>
      </c>
    </row>
    <row r="730" spans="1:2" x14ac:dyDescent="0.3">
      <c r="A730" s="4" t="s">
        <v>107</v>
      </c>
      <c r="B730">
        <v>7</v>
      </c>
    </row>
    <row r="731" spans="1:2" x14ac:dyDescent="0.3">
      <c r="A731" s="4" t="s">
        <v>95</v>
      </c>
      <c r="B731">
        <v>13</v>
      </c>
    </row>
    <row r="732" spans="1:2" x14ac:dyDescent="0.3">
      <c r="A732" s="4" t="s">
        <v>101</v>
      </c>
      <c r="B732">
        <v>7</v>
      </c>
    </row>
    <row r="733" spans="1:2" x14ac:dyDescent="0.3">
      <c r="A733" s="4" t="s">
        <v>13</v>
      </c>
      <c r="B733">
        <v>2</v>
      </c>
    </row>
    <row r="734" spans="1:2" x14ac:dyDescent="0.3">
      <c r="A734" s="4" t="s">
        <v>105</v>
      </c>
      <c r="B734">
        <v>13</v>
      </c>
    </row>
    <row r="735" spans="1:2" x14ac:dyDescent="0.3">
      <c r="A735" s="4" t="s">
        <v>109</v>
      </c>
      <c r="B735">
        <v>2</v>
      </c>
    </row>
    <row r="736" spans="1:2" x14ac:dyDescent="0.3">
      <c r="A736" s="4" t="s">
        <v>97</v>
      </c>
      <c r="B736">
        <v>16</v>
      </c>
    </row>
    <row r="737" spans="1:2" x14ac:dyDescent="0.3">
      <c r="A737" s="4" t="s">
        <v>103</v>
      </c>
      <c r="B737">
        <v>5</v>
      </c>
    </row>
    <row r="738" spans="1:2" x14ac:dyDescent="0.3">
      <c r="A738" s="4" t="s">
        <v>89</v>
      </c>
      <c r="B738">
        <v>14</v>
      </c>
    </row>
    <row r="739" spans="1:2" x14ac:dyDescent="0.3">
      <c r="A739" s="4" t="s">
        <v>93</v>
      </c>
      <c r="B739">
        <v>18</v>
      </c>
    </row>
    <row r="740" spans="1:2" x14ac:dyDescent="0.3">
      <c r="A740" s="3">
        <v>12434</v>
      </c>
      <c r="B740">
        <v>5.4</v>
      </c>
    </row>
    <row r="741" spans="1:2" x14ac:dyDescent="0.3">
      <c r="A741" s="4" t="s">
        <v>107</v>
      </c>
      <c r="B741">
        <v>10</v>
      </c>
    </row>
    <row r="742" spans="1:2" x14ac:dyDescent="0.3">
      <c r="A742" s="4" t="s">
        <v>95</v>
      </c>
      <c r="B742">
        <v>1</v>
      </c>
    </row>
    <row r="743" spans="1:2" x14ac:dyDescent="0.3">
      <c r="A743" s="4" t="s">
        <v>101</v>
      </c>
      <c r="B743">
        <v>10</v>
      </c>
    </row>
    <row r="744" spans="1:2" x14ac:dyDescent="0.3">
      <c r="A744" s="4" t="s">
        <v>13</v>
      </c>
      <c r="B744">
        <v>0</v>
      </c>
    </row>
    <row r="745" spans="1:2" x14ac:dyDescent="0.3">
      <c r="A745" s="4" t="s">
        <v>105</v>
      </c>
      <c r="B745">
        <v>0</v>
      </c>
    </row>
    <row r="746" spans="1:2" x14ac:dyDescent="0.3">
      <c r="A746" s="4" t="s">
        <v>109</v>
      </c>
      <c r="B746">
        <v>0</v>
      </c>
    </row>
    <row r="747" spans="1:2" x14ac:dyDescent="0.3">
      <c r="A747" s="4" t="s">
        <v>97</v>
      </c>
      <c r="B747">
        <v>6</v>
      </c>
    </row>
    <row r="748" spans="1:2" x14ac:dyDescent="0.3">
      <c r="A748" s="4" t="s">
        <v>103</v>
      </c>
      <c r="B748">
        <v>4</v>
      </c>
    </row>
    <row r="749" spans="1:2" x14ac:dyDescent="0.3">
      <c r="A749" s="4" t="s">
        <v>89</v>
      </c>
      <c r="B749">
        <v>16</v>
      </c>
    </row>
    <row r="750" spans="1:2" x14ac:dyDescent="0.3">
      <c r="A750" s="4" t="s">
        <v>93</v>
      </c>
      <c r="B750">
        <v>7</v>
      </c>
    </row>
    <row r="751" spans="1:2" x14ac:dyDescent="0.3">
      <c r="A751" s="3">
        <v>12509</v>
      </c>
      <c r="B751">
        <v>129.21951219512195</v>
      </c>
    </row>
    <row r="752" spans="1:2" x14ac:dyDescent="0.3">
      <c r="A752" s="4" t="s">
        <v>18</v>
      </c>
      <c r="B752">
        <v>0</v>
      </c>
    </row>
    <row r="753" spans="1:2" x14ac:dyDescent="0.3">
      <c r="A753" s="4" t="s">
        <v>120</v>
      </c>
      <c r="B753">
        <v>174</v>
      </c>
    </row>
    <row r="754" spans="1:2" x14ac:dyDescent="0.3">
      <c r="A754" s="4" t="s">
        <v>132</v>
      </c>
      <c r="B754">
        <v>82</v>
      </c>
    </row>
    <row r="755" spans="1:2" x14ac:dyDescent="0.3">
      <c r="A755" s="4" t="s">
        <v>193</v>
      </c>
      <c r="B755">
        <v>23</v>
      </c>
    </row>
    <row r="756" spans="1:2" x14ac:dyDescent="0.3">
      <c r="A756" s="4" t="s">
        <v>640</v>
      </c>
      <c r="B756">
        <v>230</v>
      </c>
    </row>
    <row r="757" spans="1:2" x14ac:dyDescent="0.3">
      <c r="A757" s="4" t="s">
        <v>309</v>
      </c>
      <c r="B757">
        <v>222</v>
      </c>
    </row>
    <row r="758" spans="1:2" x14ac:dyDescent="0.3">
      <c r="A758" s="4" t="s">
        <v>122</v>
      </c>
      <c r="B758">
        <v>0</v>
      </c>
    </row>
    <row r="759" spans="1:2" x14ac:dyDescent="0.3">
      <c r="A759" s="4" t="s">
        <v>128</v>
      </c>
      <c r="B759">
        <v>79</v>
      </c>
    </row>
    <row r="760" spans="1:2" x14ac:dyDescent="0.3">
      <c r="A760" s="4" t="s">
        <v>305</v>
      </c>
      <c r="B760">
        <v>249</v>
      </c>
    </row>
    <row r="761" spans="1:2" x14ac:dyDescent="0.3">
      <c r="A761" s="4" t="s">
        <v>136</v>
      </c>
      <c r="B761">
        <v>77</v>
      </c>
    </row>
    <row r="762" spans="1:2" x14ac:dyDescent="0.3">
      <c r="A762" s="4" t="s">
        <v>126</v>
      </c>
      <c r="B762">
        <v>0</v>
      </c>
    </row>
    <row r="763" spans="1:2" x14ac:dyDescent="0.3">
      <c r="A763" s="4" t="s">
        <v>622</v>
      </c>
      <c r="B763">
        <v>240</v>
      </c>
    </row>
    <row r="764" spans="1:2" x14ac:dyDescent="0.3">
      <c r="A764" s="4" t="s">
        <v>630</v>
      </c>
      <c r="B764">
        <v>221</v>
      </c>
    </row>
    <row r="765" spans="1:2" x14ac:dyDescent="0.3">
      <c r="A765" s="4" t="s">
        <v>646</v>
      </c>
      <c r="B765">
        <v>208</v>
      </c>
    </row>
    <row r="766" spans="1:2" x14ac:dyDescent="0.3">
      <c r="A766" s="4" t="s">
        <v>124</v>
      </c>
      <c r="B766">
        <v>0</v>
      </c>
    </row>
    <row r="767" spans="1:2" x14ac:dyDescent="0.3">
      <c r="A767" s="4" t="s">
        <v>628</v>
      </c>
      <c r="B767">
        <v>219</v>
      </c>
    </row>
    <row r="768" spans="1:2" x14ac:dyDescent="0.3">
      <c r="A768" s="4" t="s">
        <v>22</v>
      </c>
      <c r="B768">
        <v>15</v>
      </c>
    </row>
    <row r="769" spans="1:2" x14ac:dyDescent="0.3">
      <c r="A769" s="4" t="s">
        <v>644</v>
      </c>
      <c r="B769">
        <v>225</v>
      </c>
    </row>
    <row r="770" spans="1:2" x14ac:dyDescent="0.3">
      <c r="A770" s="4" t="s">
        <v>20</v>
      </c>
      <c r="B770">
        <v>11</v>
      </c>
    </row>
    <row r="771" spans="1:2" x14ac:dyDescent="0.3">
      <c r="A771" s="4" t="s">
        <v>118</v>
      </c>
      <c r="B771">
        <v>205</v>
      </c>
    </row>
    <row r="772" spans="1:2" x14ac:dyDescent="0.3">
      <c r="A772" s="4" t="s">
        <v>130</v>
      </c>
      <c r="B772">
        <v>79</v>
      </c>
    </row>
    <row r="773" spans="1:2" x14ac:dyDescent="0.3">
      <c r="A773" s="4" t="s">
        <v>311</v>
      </c>
      <c r="B773">
        <v>238</v>
      </c>
    </row>
    <row r="774" spans="1:2" x14ac:dyDescent="0.3">
      <c r="A774" s="4" t="s">
        <v>636</v>
      </c>
      <c r="B774">
        <v>252</v>
      </c>
    </row>
    <row r="775" spans="1:2" x14ac:dyDescent="0.3">
      <c r="A775" s="4" t="s">
        <v>191</v>
      </c>
      <c r="B775">
        <v>23</v>
      </c>
    </row>
    <row r="776" spans="1:2" x14ac:dyDescent="0.3">
      <c r="A776" s="4" t="s">
        <v>307</v>
      </c>
      <c r="B776">
        <v>197</v>
      </c>
    </row>
    <row r="777" spans="1:2" x14ac:dyDescent="0.3">
      <c r="A777" s="4" t="s">
        <v>634</v>
      </c>
      <c r="B777">
        <v>232</v>
      </c>
    </row>
    <row r="778" spans="1:2" x14ac:dyDescent="0.3">
      <c r="A778" s="4" t="s">
        <v>638</v>
      </c>
      <c r="B778">
        <v>222</v>
      </c>
    </row>
    <row r="779" spans="1:2" x14ac:dyDescent="0.3">
      <c r="A779" s="4" t="s">
        <v>632</v>
      </c>
      <c r="B779">
        <v>225</v>
      </c>
    </row>
    <row r="780" spans="1:2" x14ac:dyDescent="0.3">
      <c r="A780" s="4" t="s">
        <v>626</v>
      </c>
      <c r="B780">
        <v>208</v>
      </c>
    </row>
    <row r="781" spans="1:2" x14ac:dyDescent="0.3">
      <c r="A781" s="4" t="s">
        <v>313</v>
      </c>
      <c r="B781">
        <v>241</v>
      </c>
    </row>
    <row r="782" spans="1:2" x14ac:dyDescent="0.3">
      <c r="A782" s="4" t="s">
        <v>175</v>
      </c>
      <c r="B782">
        <v>0</v>
      </c>
    </row>
    <row r="783" spans="1:2" x14ac:dyDescent="0.3">
      <c r="A783" s="4" t="s">
        <v>142</v>
      </c>
      <c r="B783">
        <v>65</v>
      </c>
    </row>
    <row r="784" spans="1:2" x14ac:dyDescent="0.3">
      <c r="A784" s="4" t="s">
        <v>35</v>
      </c>
      <c r="B784">
        <v>31</v>
      </c>
    </row>
    <row r="785" spans="1:2" x14ac:dyDescent="0.3">
      <c r="A785" s="4" t="s">
        <v>161</v>
      </c>
      <c r="B785">
        <v>70</v>
      </c>
    </row>
    <row r="786" spans="1:2" x14ac:dyDescent="0.3">
      <c r="A786" s="4" t="s">
        <v>624</v>
      </c>
      <c r="B786">
        <v>245</v>
      </c>
    </row>
    <row r="787" spans="1:2" x14ac:dyDescent="0.3">
      <c r="A787" s="4" t="s">
        <v>642</v>
      </c>
      <c r="B787">
        <v>248</v>
      </c>
    </row>
    <row r="788" spans="1:2" x14ac:dyDescent="0.3">
      <c r="A788" s="4" t="s">
        <v>188</v>
      </c>
      <c r="B788">
        <v>6</v>
      </c>
    </row>
    <row r="789" spans="1:2" x14ac:dyDescent="0.3">
      <c r="A789" s="4" t="s">
        <v>146</v>
      </c>
      <c r="B789">
        <v>71</v>
      </c>
    </row>
    <row r="790" spans="1:2" x14ac:dyDescent="0.3">
      <c r="A790" s="4" t="s">
        <v>89</v>
      </c>
      <c r="B790">
        <v>55</v>
      </c>
    </row>
    <row r="791" spans="1:2" x14ac:dyDescent="0.3">
      <c r="A791" s="4" t="s">
        <v>152</v>
      </c>
      <c r="B791">
        <v>48</v>
      </c>
    </row>
    <row r="792" spans="1:2" x14ac:dyDescent="0.3">
      <c r="A792" s="4" t="s">
        <v>150</v>
      </c>
      <c r="B792">
        <v>62</v>
      </c>
    </row>
    <row r="793" spans="1:2" x14ac:dyDescent="0.3">
      <c r="A793" s="3">
        <v>12510</v>
      </c>
      <c r="B793">
        <v>83.575000000000003</v>
      </c>
    </row>
    <row r="794" spans="1:2" x14ac:dyDescent="0.3">
      <c r="A794" s="4" t="s">
        <v>18</v>
      </c>
      <c r="B794">
        <v>201</v>
      </c>
    </row>
    <row r="795" spans="1:2" x14ac:dyDescent="0.3">
      <c r="A795" s="4" t="s">
        <v>120</v>
      </c>
      <c r="B795">
        <v>0</v>
      </c>
    </row>
    <row r="796" spans="1:2" x14ac:dyDescent="0.3">
      <c r="A796" s="4" t="s">
        <v>132</v>
      </c>
      <c r="B796">
        <v>126</v>
      </c>
    </row>
    <row r="797" spans="1:2" x14ac:dyDescent="0.3">
      <c r="A797" s="4" t="s">
        <v>193</v>
      </c>
      <c r="B797">
        <v>198</v>
      </c>
    </row>
    <row r="798" spans="1:2" x14ac:dyDescent="0.3">
      <c r="A798" s="4" t="s">
        <v>640</v>
      </c>
      <c r="B798">
        <v>14</v>
      </c>
    </row>
    <row r="799" spans="1:2" x14ac:dyDescent="0.3">
      <c r="A799" s="4" t="s">
        <v>309</v>
      </c>
      <c r="B799">
        <v>19</v>
      </c>
    </row>
    <row r="800" spans="1:2" x14ac:dyDescent="0.3">
      <c r="A800" s="4" t="s">
        <v>122</v>
      </c>
      <c r="B800">
        <v>97</v>
      </c>
    </row>
    <row r="801" spans="1:2" x14ac:dyDescent="0.3">
      <c r="A801" s="4" t="s">
        <v>128</v>
      </c>
      <c r="B801">
        <v>124</v>
      </c>
    </row>
    <row r="802" spans="1:2" x14ac:dyDescent="0.3">
      <c r="A802" s="4" t="s">
        <v>305</v>
      </c>
      <c r="B802">
        <v>24</v>
      </c>
    </row>
    <row r="803" spans="1:2" x14ac:dyDescent="0.3">
      <c r="A803" s="4" t="s">
        <v>136</v>
      </c>
      <c r="B803">
        <v>123</v>
      </c>
    </row>
    <row r="804" spans="1:2" x14ac:dyDescent="0.3">
      <c r="A804" s="4" t="s">
        <v>126</v>
      </c>
      <c r="B804">
        <v>131</v>
      </c>
    </row>
    <row r="805" spans="1:2" x14ac:dyDescent="0.3">
      <c r="A805" s="4" t="s">
        <v>622</v>
      </c>
      <c r="B805">
        <v>58</v>
      </c>
    </row>
    <row r="806" spans="1:2" x14ac:dyDescent="0.3">
      <c r="A806" s="4" t="s">
        <v>630</v>
      </c>
      <c r="B806">
        <v>29</v>
      </c>
    </row>
    <row r="807" spans="1:2" x14ac:dyDescent="0.3">
      <c r="A807" s="4" t="s">
        <v>646</v>
      </c>
      <c r="B807">
        <v>2</v>
      </c>
    </row>
    <row r="808" spans="1:2" x14ac:dyDescent="0.3">
      <c r="A808" s="4" t="s">
        <v>124</v>
      </c>
      <c r="B808">
        <v>97</v>
      </c>
    </row>
    <row r="809" spans="1:2" x14ac:dyDescent="0.3">
      <c r="A809" s="4" t="s">
        <v>628</v>
      </c>
      <c r="B809">
        <v>22</v>
      </c>
    </row>
    <row r="810" spans="1:2" x14ac:dyDescent="0.3">
      <c r="A810" s="4" t="s">
        <v>22</v>
      </c>
      <c r="B810">
        <v>182</v>
      </c>
    </row>
    <row r="811" spans="1:2" x14ac:dyDescent="0.3">
      <c r="A811" s="4" t="s">
        <v>644</v>
      </c>
      <c r="B811">
        <v>0</v>
      </c>
    </row>
    <row r="812" spans="1:2" x14ac:dyDescent="0.3">
      <c r="A812" s="4" t="s">
        <v>20</v>
      </c>
      <c r="B812">
        <v>187</v>
      </c>
    </row>
    <row r="813" spans="1:2" x14ac:dyDescent="0.3">
      <c r="A813" s="4" t="s">
        <v>118</v>
      </c>
      <c r="B813">
        <v>78</v>
      </c>
    </row>
    <row r="814" spans="1:2" x14ac:dyDescent="0.3">
      <c r="A814" s="4" t="s">
        <v>130</v>
      </c>
      <c r="B814">
        <v>119</v>
      </c>
    </row>
    <row r="815" spans="1:2" x14ac:dyDescent="0.3">
      <c r="A815" s="4" t="s">
        <v>311</v>
      </c>
      <c r="B815">
        <v>20</v>
      </c>
    </row>
    <row r="816" spans="1:2" x14ac:dyDescent="0.3">
      <c r="A816" s="4" t="s">
        <v>636</v>
      </c>
      <c r="B816">
        <v>7</v>
      </c>
    </row>
    <row r="817" spans="1:2" x14ac:dyDescent="0.3">
      <c r="A817" s="4" t="s">
        <v>191</v>
      </c>
      <c r="B817">
        <v>208</v>
      </c>
    </row>
    <row r="818" spans="1:2" x14ac:dyDescent="0.3">
      <c r="A818" s="4" t="s">
        <v>307</v>
      </c>
      <c r="B818">
        <v>12</v>
      </c>
    </row>
    <row r="819" spans="1:2" x14ac:dyDescent="0.3">
      <c r="A819" s="4" t="s">
        <v>634</v>
      </c>
      <c r="B819">
        <v>18</v>
      </c>
    </row>
    <row r="820" spans="1:2" x14ac:dyDescent="0.3">
      <c r="A820" s="4" t="s">
        <v>638</v>
      </c>
      <c r="B820">
        <v>3</v>
      </c>
    </row>
    <row r="821" spans="1:2" x14ac:dyDescent="0.3">
      <c r="A821" s="4" t="s">
        <v>632</v>
      </c>
      <c r="B821">
        <v>21</v>
      </c>
    </row>
    <row r="822" spans="1:2" x14ac:dyDescent="0.3">
      <c r="A822" s="4" t="s">
        <v>626</v>
      </c>
      <c r="B822">
        <v>21</v>
      </c>
    </row>
    <row r="823" spans="1:2" x14ac:dyDescent="0.3">
      <c r="A823" s="4" t="s">
        <v>313</v>
      </c>
      <c r="B823">
        <v>8</v>
      </c>
    </row>
    <row r="824" spans="1:2" x14ac:dyDescent="0.3">
      <c r="A824" s="4" t="s">
        <v>142</v>
      </c>
      <c r="B824">
        <v>110</v>
      </c>
    </row>
    <row r="825" spans="1:2" x14ac:dyDescent="0.3">
      <c r="A825" s="4" t="s">
        <v>35</v>
      </c>
      <c r="B825">
        <v>200</v>
      </c>
    </row>
    <row r="826" spans="1:2" x14ac:dyDescent="0.3">
      <c r="A826" s="4" t="s">
        <v>161</v>
      </c>
      <c r="B826">
        <v>161</v>
      </c>
    </row>
    <row r="827" spans="1:2" x14ac:dyDescent="0.3">
      <c r="A827" s="4" t="s">
        <v>624</v>
      </c>
      <c r="B827">
        <v>19</v>
      </c>
    </row>
    <row r="828" spans="1:2" x14ac:dyDescent="0.3">
      <c r="A828" s="4" t="s">
        <v>642</v>
      </c>
      <c r="B828">
        <v>8</v>
      </c>
    </row>
    <row r="829" spans="1:2" x14ac:dyDescent="0.3">
      <c r="A829" s="4" t="s">
        <v>188</v>
      </c>
      <c r="B829">
        <v>169</v>
      </c>
    </row>
    <row r="830" spans="1:2" x14ac:dyDescent="0.3">
      <c r="A830" s="4" t="s">
        <v>146</v>
      </c>
      <c r="B830">
        <v>112</v>
      </c>
    </row>
    <row r="831" spans="1:2" x14ac:dyDescent="0.3">
      <c r="A831" s="4" t="s">
        <v>89</v>
      </c>
      <c r="B831">
        <v>158</v>
      </c>
    </row>
    <row r="832" spans="1:2" x14ac:dyDescent="0.3">
      <c r="A832" s="4" t="s">
        <v>152</v>
      </c>
      <c r="B832">
        <v>133</v>
      </c>
    </row>
    <row r="833" spans="1:2" x14ac:dyDescent="0.3">
      <c r="A833" s="4" t="s">
        <v>150</v>
      </c>
      <c r="B833">
        <v>124</v>
      </c>
    </row>
    <row r="834" spans="1:2" x14ac:dyDescent="0.3">
      <c r="A834" s="3">
        <v>12621</v>
      </c>
      <c r="B834">
        <v>30.076923076923077</v>
      </c>
    </row>
    <row r="835" spans="1:2" x14ac:dyDescent="0.3">
      <c r="A835" s="4" t="s">
        <v>107</v>
      </c>
      <c r="B835">
        <v>49</v>
      </c>
    </row>
    <row r="836" spans="1:2" x14ac:dyDescent="0.3">
      <c r="A836" s="4" t="s">
        <v>95</v>
      </c>
      <c r="B836">
        <v>22</v>
      </c>
    </row>
    <row r="837" spans="1:2" x14ac:dyDescent="0.3">
      <c r="A837" s="4" t="s">
        <v>101</v>
      </c>
      <c r="B837">
        <v>0</v>
      </c>
    </row>
    <row r="838" spans="1:2" x14ac:dyDescent="0.3">
      <c r="A838" s="4" t="s">
        <v>13</v>
      </c>
      <c r="B838">
        <v>0</v>
      </c>
    </row>
    <row r="839" spans="1:2" x14ac:dyDescent="0.3">
      <c r="A839" s="4" t="s">
        <v>105</v>
      </c>
      <c r="B839">
        <v>51</v>
      </c>
    </row>
    <row r="840" spans="1:2" x14ac:dyDescent="0.3">
      <c r="A840" s="4" t="s">
        <v>109</v>
      </c>
      <c r="B840">
        <v>53</v>
      </c>
    </row>
    <row r="841" spans="1:2" x14ac:dyDescent="0.3">
      <c r="A841" s="4" t="s">
        <v>99</v>
      </c>
      <c r="B841">
        <v>29</v>
      </c>
    </row>
    <row r="842" spans="1:2" x14ac:dyDescent="0.3">
      <c r="A842" s="4" t="s">
        <v>91</v>
      </c>
      <c r="B842">
        <v>17</v>
      </c>
    </row>
    <row r="843" spans="1:2" x14ac:dyDescent="0.3">
      <c r="A843" s="4" t="s">
        <v>97</v>
      </c>
      <c r="B843">
        <v>37</v>
      </c>
    </row>
    <row r="844" spans="1:2" x14ac:dyDescent="0.3">
      <c r="A844" s="4" t="s">
        <v>111</v>
      </c>
      <c r="B844">
        <v>54</v>
      </c>
    </row>
    <row r="845" spans="1:2" x14ac:dyDescent="0.3">
      <c r="A845" s="4" t="s">
        <v>103</v>
      </c>
      <c r="B845">
        <v>34</v>
      </c>
    </row>
    <row r="846" spans="1:2" x14ac:dyDescent="0.3">
      <c r="A846" s="4" t="s">
        <v>89</v>
      </c>
      <c r="B846">
        <v>17</v>
      </c>
    </row>
    <row r="847" spans="1:2" x14ac:dyDescent="0.3">
      <c r="A847" s="4" t="s">
        <v>93</v>
      </c>
      <c r="B847">
        <v>28</v>
      </c>
    </row>
    <row r="848" spans="1:2" x14ac:dyDescent="0.3">
      <c r="A848" s="3">
        <v>12622</v>
      </c>
      <c r="B848">
        <v>44.583333333333336</v>
      </c>
    </row>
    <row r="849" spans="1:2" x14ac:dyDescent="0.3">
      <c r="A849" s="4" t="s">
        <v>107</v>
      </c>
      <c r="B849">
        <v>37</v>
      </c>
    </row>
    <row r="850" spans="1:2" x14ac:dyDescent="0.3">
      <c r="A850" s="4" t="s">
        <v>95</v>
      </c>
      <c r="B850">
        <v>46</v>
      </c>
    </row>
    <row r="851" spans="1:2" x14ac:dyDescent="0.3">
      <c r="A851" s="4" t="s">
        <v>101</v>
      </c>
      <c r="B851">
        <v>39</v>
      </c>
    </row>
    <row r="852" spans="1:2" x14ac:dyDescent="0.3">
      <c r="A852" s="4" t="s">
        <v>13</v>
      </c>
      <c r="B852">
        <v>36</v>
      </c>
    </row>
    <row r="853" spans="1:2" x14ac:dyDescent="0.3">
      <c r="A853" s="4" t="s">
        <v>105</v>
      </c>
      <c r="B853">
        <v>31</v>
      </c>
    </row>
    <row r="854" spans="1:2" x14ac:dyDescent="0.3">
      <c r="A854" s="4" t="s">
        <v>99</v>
      </c>
      <c r="B854">
        <v>35</v>
      </c>
    </row>
    <row r="855" spans="1:2" x14ac:dyDescent="0.3">
      <c r="A855" s="4" t="s">
        <v>91</v>
      </c>
      <c r="B855">
        <v>82</v>
      </c>
    </row>
    <row r="856" spans="1:2" x14ac:dyDescent="0.3">
      <c r="A856" s="4" t="s">
        <v>97</v>
      </c>
      <c r="B856">
        <v>45</v>
      </c>
    </row>
    <row r="857" spans="1:2" x14ac:dyDescent="0.3">
      <c r="A857" s="4" t="s">
        <v>111</v>
      </c>
      <c r="B857">
        <v>16</v>
      </c>
    </row>
    <row r="858" spans="1:2" x14ac:dyDescent="0.3">
      <c r="A858" s="4" t="s">
        <v>103</v>
      </c>
      <c r="B858">
        <v>37</v>
      </c>
    </row>
    <row r="859" spans="1:2" x14ac:dyDescent="0.3">
      <c r="A859" s="4" t="s">
        <v>89</v>
      </c>
      <c r="B859">
        <v>67</v>
      </c>
    </row>
    <row r="860" spans="1:2" x14ac:dyDescent="0.3">
      <c r="A860" s="4" t="s">
        <v>93</v>
      </c>
      <c r="B860">
        <v>64</v>
      </c>
    </row>
    <row r="861" spans="1:2" x14ac:dyDescent="0.3">
      <c r="A861" s="3">
        <v>12625</v>
      </c>
      <c r="B861">
        <v>26.88372093023256</v>
      </c>
    </row>
    <row r="862" spans="1:2" x14ac:dyDescent="0.3">
      <c r="A862" s="4" t="s">
        <v>107</v>
      </c>
      <c r="B862">
        <v>43</v>
      </c>
    </row>
    <row r="863" spans="1:2" x14ac:dyDescent="0.3">
      <c r="A863" s="4" t="s">
        <v>264</v>
      </c>
      <c r="B863">
        <v>27</v>
      </c>
    </row>
    <row r="864" spans="1:2" x14ac:dyDescent="0.3">
      <c r="A864" s="4" t="s">
        <v>95</v>
      </c>
      <c r="B864">
        <v>18</v>
      </c>
    </row>
    <row r="865" spans="1:2" x14ac:dyDescent="0.3">
      <c r="A865" s="4" t="s">
        <v>101</v>
      </c>
      <c r="B865">
        <v>28</v>
      </c>
    </row>
    <row r="866" spans="1:2" x14ac:dyDescent="0.3">
      <c r="A866" s="4" t="s">
        <v>278</v>
      </c>
      <c r="B866">
        <v>25</v>
      </c>
    </row>
    <row r="867" spans="1:2" x14ac:dyDescent="0.3">
      <c r="A867" s="4" t="s">
        <v>201</v>
      </c>
      <c r="B867">
        <v>19</v>
      </c>
    </row>
    <row r="868" spans="1:2" x14ac:dyDescent="0.3">
      <c r="A868" s="4" t="s">
        <v>256</v>
      </c>
      <c r="B868">
        <v>21</v>
      </c>
    </row>
    <row r="869" spans="1:2" x14ac:dyDescent="0.3">
      <c r="A869" s="4" t="s">
        <v>252</v>
      </c>
      <c r="B869">
        <v>17</v>
      </c>
    </row>
    <row r="870" spans="1:2" x14ac:dyDescent="0.3">
      <c r="A870" s="4" t="s">
        <v>272</v>
      </c>
      <c r="B870">
        <v>17</v>
      </c>
    </row>
    <row r="871" spans="1:2" x14ac:dyDescent="0.3">
      <c r="A871" s="4" t="s">
        <v>32</v>
      </c>
      <c r="B871">
        <v>17</v>
      </c>
    </row>
    <row r="872" spans="1:2" x14ac:dyDescent="0.3">
      <c r="A872" s="4" t="s">
        <v>262</v>
      </c>
      <c r="B872">
        <v>25</v>
      </c>
    </row>
    <row r="873" spans="1:2" x14ac:dyDescent="0.3">
      <c r="A873" s="4" t="s">
        <v>26</v>
      </c>
      <c r="B873">
        <v>20</v>
      </c>
    </row>
    <row r="874" spans="1:2" x14ac:dyDescent="0.3">
      <c r="A874" s="4" t="s">
        <v>282</v>
      </c>
      <c r="B874">
        <v>45</v>
      </c>
    </row>
    <row r="875" spans="1:2" x14ac:dyDescent="0.3">
      <c r="A875" s="4" t="s">
        <v>179</v>
      </c>
      <c r="B875">
        <v>19</v>
      </c>
    </row>
    <row r="876" spans="1:2" x14ac:dyDescent="0.3">
      <c r="A876" s="4" t="s">
        <v>105</v>
      </c>
      <c r="B876">
        <v>45</v>
      </c>
    </row>
    <row r="877" spans="1:2" x14ac:dyDescent="0.3">
      <c r="A877" s="4" t="s">
        <v>109</v>
      </c>
      <c r="B877">
        <v>60</v>
      </c>
    </row>
    <row r="878" spans="1:2" x14ac:dyDescent="0.3">
      <c r="A878" s="4" t="s">
        <v>99</v>
      </c>
      <c r="B878">
        <v>28</v>
      </c>
    </row>
    <row r="879" spans="1:2" x14ac:dyDescent="0.3">
      <c r="A879" s="4" t="s">
        <v>22</v>
      </c>
      <c r="B879">
        <v>12</v>
      </c>
    </row>
    <row r="880" spans="1:2" x14ac:dyDescent="0.3">
      <c r="A880" s="4" t="s">
        <v>20</v>
      </c>
      <c r="B880">
        <v>9</v>
      </c>
    </row>
    <row r="881" spans="1:2" x14ac:dyDescent="0.3">
      <c r="A881" s="4" t="s">
        <v>248</v>
      </c>
      <c r="B881">
        <v>0</v>
      </c>
    </row>
    <row r="882" spans="1:2" x14ac:dyDescent="0.3">
      <c r="A882" s="4" t="s">
        <v>246</v>
      </c>
      <c r="B882">
        <v>10</v>
      </c>
    </row>
    <row r="883" spans="1:2" x14ac:dyDescent="0.3">
      <c r="A883" s="4" t="s">
        <v>258</v>
      </c>
      <c r="B883">
        <v>0</v>
      </c>
    </row>
    <row r="884" spans="1:2" x14ac:dyDescent="0.3">
      <c r="A884" s="4" t="s">
        <v>280</v>
      </c>
      <c r="B884">
        <v>60</v>
      </c>
    </row>
    <row r="885" spans="1:2" x14ac:dyDescent="0.3">
      <c r="A885" s="4" t="s">
        <v>250</v>
      </c>
      <c r="B885">
        <v>17</v>
      </c>
    </row>
    <row r="886" spans="1:2" x14ac:dyDescent="0.3">
      <c r="A886" s="4" t="s">
        <v>97</v>
      </c>
      <c r="B886">
        <v>50</v>
      </c>
    </row>
    <row r="887" spans="1:2" x14ac:dyDescent="0.3">
      <c r="A887" s="4" t="s">
        <v>177</v>
      </c>
      <c r="B887">
        <v>27</v>
      </c>
    </row>
    <row r="888" spans="1:2" x14ac:dyDescent="0.3">
      <c r="A888" s="4" t="s">
        <v>111</v>
      </c>
      <c r="B888">
        <v>50</v>
      </c>
    </row>
    <row r="889" spans="1:2" x14ac:dyDescent="0.3">
      <c r="A889" s="4" t="s">
        <v>268</v>
      </c>
      <c r="B889">
        <v>17</v>
      </c>
    </row>
    <row r="890" spans="1:2" x14ac:dyDescent="0.3">
      <c r="A890" s="4" t="s">
        <v>270</v>
      </c>
      <c r="B890">
        <v>26</v>
      </c>
    </row>
    <row r="891" spans="1:2" x14ac:dyDescent="0.3">
      <c r="A891" s="4" t="s">
        <v>197</v>
      </c>
      <c r="B891">
        <v>48</v>
      </c>
    </row>
    <row r="892" spans="1:2" x14ac:dyDescent="0.3">
      <c r="A892" s="4" t="s">
        <v>276</v>
      </c>
      <c r="B892">
        <v>31</v>
      </c>
    </row>
    <row r="893" spans="1:2" x14ac:dyDescent="0.3">
      <c r="A893" s="4" t="s">
        <v>24</v>
      </c>
      <c r="B893">
        <v>18</v>
      </c>
    </row>
    <row r="894" spans="1:2" x14ac:dyDescent="0.3">
      <c r="A894" s="4" t="s">
        <v>203</v>
      </c>
      <c r="B894">
        <v>38</v>
      </c>
    </row>
    <row r="895" spans="1:2" x14ac:dyDescent="0.3">
      <c r="A895" s="4" t="s">
        <v>266</v>
      </c>
      <c r="B895">
        <v>30</v>
      </c>
    </row>
    <row r="896" spans="1:2" x14ac:dyDescent="0.3">
      <c r="A896" s="4" t="s">
        <v>274</v>
      </c>
      <c r="B896">
        <v>20</v>
      </c>
    </row>
    <row r="897" spans="1:2" x14ac:dyDescent="0.3">
      <c r="A897" s="4" t="s">
        <v>28</v>
      </c>
      <c r="B897">
        <v>18</v>
      </c>
    </row>
    <row r="898" spans="1:2" x14ac:dyDescent="0.3">
      <c r="A898" s="4" t="s">
        <v>254</v>
      </c>
      <c r="B898">
        <v>21</v>
      </c>
    </row>
    <row r="899" spans="1:2" x14ac:dyDescent="0.3">
      <c r="A899" s="4" t="s">
        <v>241</v>
      </c>
      <c r="B899">
        <v>7</v>
      </c>
    </row>
    <row r="900" spans="1:2" x14ac:dyDescent="0.3">
      <c r="A900" s="4" t="s">
        <v>103</v>
      </c>
      <c r="B900">
        <v>38</v>
      </c>
    </row>
    <row r="901" spans="1:2" x14ac:dyDescent="0.3">
      <c r="A901" s="4" t="s">
        <v>260</v>
      </c>
      <c r="B901">
        <v>23</v>
      </c>
    </row>
    <row r="902" spans="1:2" x14ac:dyDescent="0.3">
      <c r="A902" s="4" t="s">
        <v>244</v>
      </c>
      <c r="B902">
        <v>8</v>
      </c>
    </row>
    <row r="903" spans="1:2" x14ac:dyDescent="0.3">
      <c r="A903" s="4" t="s">
        <v>89</v>
      </c>
      <c r="B903">
        <v>20</v>
      </c>
    </row>
    <row r="904" spans="1:2" x14ac:dyDescent="0.3">
      <c r="A904" s="4" t="s">
        <v>93</v>
      </c>
      <c r="B904">
        <v>84</v>
      </c>
    </row>
    <row r="905" spans="1:2" x14ac:dyDescent="0.3">
      <c r="A905" s="3">
        <v>12626</v>
      </c>
      <c r="B905">
        <v>93.833333333333329</v>
      </c>
    </row>
    <row r="906" spans="1:2" x14ac:dyDescent="0.3">
      <c r="A906" s="4" t="s">
        <v>107</v>
      </c>
      <c r="B906">
        <v>68</v>
      </c>
    </row>
    <row r="907" spans="1:2" x14ac:dyDescent="0.3">
      <c r="A907" s="4" t="s">
        <v>264</v>
      </c>
      <c r="B907">
        <v>121</v>
      </c>
    </row>
    <row r="908" spans="1:2" x14ac:dyDescent="0.3">
      <c r="A908" s="4" t="s">
        <v>95</v>
      </c>
      <c r="B908">
        <v>0</v>
      </c>
    </row>
    <row r="909" spans="1:2" x14ac:dyDescent="0.3">
      <c r="A909" s="4" t="s">
        <v>101</v>
      </c>
      <c r="B909">
        <v>80</v>
      </c>
    </row>
    <row r="910" spans="1:2" x14ac:dyDescent="0.3">
      <c r="A910" s="4" t="s">
        <v>278</v>
      </c>
      <c r="B910">
        <v>68</v>
      </c>
    </row>
    <row r="911" spans="1:2" x14ac:dyDescent="0.3">
      <c r="A911" s="4" t="s">
        <v>201</v>
      </c>
      <c r="B911">
        <v>116</v>
      </c>
    </row>
    <row r="912" spans="1:2" x14ac:dyDescent="0.3">
      <c r="A912" s="4" t="s">
        <v>256</v>
      </c>
      <c r="B912">
        <v>113</v>
      </c>
    </row>
    <row r="913" spans="1:2" x14ac:dyDescent="0.3">
      <c r="A913" s="4" t="s">
        <v>252</v>
      </c>
      <c r="B913">
        <v>114</v>
      </c>
    </row>
    <row r="914" spans="1:2" x14ac:dyDescent="0.3">
      <c r="A914" s="4" t="s">
        <v>272</v>
      </c>
      <c r="B914">
        <v>105</v>
      </c>
    </row>
    <row r="915" spans="1:2" x14ac:dyDescent="0.3">
      <c r="A915" s="4" t="s">
        <v>32</v>
      </c>
      <c r="B915">
        <v>110</v>
      </c>
    </row>
    <row r="916" spans="1:2" x14ac:dyDescent="0.3">
      <c r="A916" s="4" t="s">
        <v>262</v>
      </c>
      <c r="B916">
        <v>116</v>
      </c>
    </row>
    <row r="917" spans="1:2" x14ac:dyDescent="0.3">
      <c r="A917" s="4" t="s">
        <v>26</v>
      </c>
      <c r="B917">
        <v>105</v>
      </c>
    </row>
    <row r="918" spans="1:2" x14ac:dyDescent="0.3">
      <c r="A918" s="4" t="s">
        <v>179</v>
      </c>
      <c r="B918">
        <v>107</v>
      </c>
    </row>
    <row r="919" spans="1:2" x14ac:dyDescent="0.3">
      <c r="A919" s="4" t="s">
        <v>105</v>
      </c>
      <c r="B919">
        <v>64</v>
      </c>
    </row>
    <row r="920" spans="1:2" x14ac:dyDescent="0.3">
      <c r="A920" s="4" t="s">
        <v>99</v>
      </c>
      <c r="B920">
        <v>76</v>
      </c>
    </row>
    <row r="921" spans="1:2" x14ac:dyDescent="0.3">
      <c r="A921" s="4" t="s">
        <v>22</v>
      </c>
      <c r="B921">
        <v>0</v>
      </c>
    </row>
    <row r="922" spans="1:2" x14ac:dyDescent="0.3">
      <c r="A922" s="4" t="s">
        <v>20</v>
      </c>
      <c r="B922">
        <v>98</v>
      </c>
    </row>
    <row r="923" spans="1:2" x14ac:dyDescent="0.3">
      <c r="A923" s="4" t="s">
        <v>248</v>
      </c>
      <c r="B923">
        <v>117</v>
      </c>
    </row>
    <row r="924" spans="1:2" x14ac:dyDescent="0.3">
      <c r="A924" s="4" t="s">
        <v>246</v>
      </c>
      <c r="B924">
        <v>123</v>
      </c>
    </row>
    <row r="925" spans="1:2" x14ac:dyDescent="0.3">
      <c r="A925" s="4" t="s">
        <v>258</v>
      </c>
      <c r="B925">
        <v>113</v>
      </c>
    </row>
    <row r="926" spans="1:2" x14ac:dyDescent="0.3">
      <c r="A926" s="4" t="s">
        <v>280</v>
      </c>
      <c r="B926">
        <v>63</v>
      </c>
    </row>
    <row r="927" spans="1:2" x14ac:dyDescent="0.3">
      <c r="A927" s="4" t="s">
        <v>250</v>
      </c>
      <c r="B927">
        <v>115</v>
      </c>
    </row>
    <row r="928" spans="1:2" x14ac:dyDescent="0.3">
      <c r="A928" s="4" t="s">
        <v>97</v>
      </c>
      <c r="B928">
        <v>88</v>
      </c>
    </row>
    <row r="929" spans="1:2" x14ac:dyDescent="0.3">
      <c r="A929" s="4" t="s">
        <v>177</v>
      </c>
      <c r="B929">
        <v>103</v>
      </c>
    </row>
    <row r="930" spans="1:2" x14ac:dyDescent="0.3">
      <c r="A930" s="4" t="s">
        <v>111</v>
      </c>
      <c r="B930">
        <v>35</v>
      </c>
    </row>
    <row r="931" spans="1:2" x14ac:dyDescent="0.3">
      <c r="A931" s="4" t="s">
        <v>268</v>
      </c>
      <c r="B931">
        <v>117</v>
      </c>
    </row>
    <row r="932" spans="1:2" x14ac:dyDescent="0.3">
      <c r="A932" s="4" t="s">
        <v>270</v>
      </c>
      <c r="B932">
        <v>108</v>
      </c>
    </row>
    <row r="933" spans="1:2" x14ac:dyDescent="0.3">
      <c r="A933" s="4" t="s">
        <v>197</v>
      </c>
      <c r="B933">
        <v>118</v>
      </c>
    </row>
    <row r="934" spans="1:2" x14ac:dyDescent="0.3">
      <c r="A934" s="4" t="s">
        <v>276</v>
      </c>
      <c r="B934">
        <v>107</v>
      </c>
    </row>
    <row r="935" spans="1:2" x14ac:dyDescent="0.3">
      <c r="A935" s="4" t="s">
        <v>24</v>
      </c>
      <c r="B935">
        <v>105</v>
      </c>
    </row>
    <row r="936" spans="1:2" x14ac:dyDescent="0.3">
      <c r="A936" s="4" t="s">
        <v>203</v>
      </c>
      <c r="B936">
        <v>103</v>
      </c>
    </row>
    <row r="937" spans="1:2" x14ac:dyDescent="0.3">
      <c r="A937" s="4" t="s">
        <v>266</v>
      </c>
      <c r="B937">
        <v>110</v>
      </c>
    </row>
    <row r="938" spans="1:2" x14ac:dyDescent="0.3">
      <c r="A938" s="4" t="s">
        <v>274</v>
      </c>
      <c r="B938">
        <v>114</v>
      </c>
    </row>
    <row r="939" spans="1:2" x14ac:dyDescent="0.3">
      <c r="A939" s="4" t="s">
        <v>28</v>
      </c>
      <c r="B939">
        <v>0</v>
      </c>
    </row>
    <row r="940" spans="1:2" x14ac:dyDescent="0.3">
      <c r="A940" s="4" t="s">
        <v>254</v>
      </c>
      <c r="B940">
        <v>113</v>
      </c>
    </row>
    <row r="941" spans="1:2" x14ac:dyDescent="0.3">
      <c r="A941" s="4" t="s">
        <v>241</v>
      </c>
      <c r="B941">
        <v>93</v>
      </c>
    </row>
    <row r="942" spans="1:2" x14ac:dyDescent="0.3">
      <c r="A942" s="4" t="s">
        <v>285</v>
      </c>
      <c r="B942">
        <v>107</v>
      </c>
    </row>
    <row r="943" spans="1:2" x14ac:dyDescent="0.3">
      <c r="A943" s="4" t="s">
        <v>103</v>
      </c>
      <c r="B943">
        <v>64</v>
      </c>
    </row>
    <row r="944" spans="1:2" x14ac:dyDescent="0.3">
      <c r="A944" s="4" t="s">
        <v>260</v>
      </c>
      <c r="B944">
        <v>112</v>
      </c>
    </row>
    <row r="945" spans="1:2" x14ac:dyDescent="0.3">
      <c r="A945" s="4" t="s">
        <v>244</v>
      </c>
      <c r="B945">
        <v>126</v>
      </c>
    </row>
    <row r="946" spans="1:2" x14ac:dyDescent="0.3">
      <c r="A946" s="4" t="s">
        <v>89</v>
      </c>
      <c r="B946">
        <v>98</v>
      </c>
    </row>
    <row r="947" spans="1:2" x14ac:dyDescent="0.3">
      <c r="A947" s="4" t="s">
        <v>93</v>
      </c>
      <c r="B947">
        <v>128</v>
      </c>
    </row>
    <row r="948" spans="1:2" x14ac:dyDescent="0.3">
      <c r="A948" s="3">
        <v>12631</v>
      </c>
      <c r="B948">
        <v>11.133333333333333</v>
      </c>
    </row>
    <row r="949" spans="1:2" x14ac:dyDescent="0.3">
      <c r="A949" s="4" t="s">
        <v>46</v>
      </c>
      <c r="B949">
        <v>7</v>
      </c>
    </row>
    <row r="950" spans="1:2" x14ac:dyDescent="0.3">
      <c r="A950" s="4" t="s">
        <v>41</v>
      </c>
      <c r="B950">
        <v>3</v>
      </c>
    </row>
    <row r="951" spans="1:2" x14ac:dyDescent="0.3">
      <c r="A951" s="4" t="s">
        <v>58</v>
      </c>
      <c r="B951">
        <v>13</v>
      </c>
    </row>
    <row r="952" spans="1:2" x14ac:dyDescent="0.3">
      <c r="A952" s="4" t="s">
        <v>79</v>
      </c>
      <c r="B952">
        <v>17</v>
      </c>
    </row>
    <row r="953" spans="1:2" x14ac:dyDescent="0.3">
      <c r="A953" s="4" t="s">
        <v>64</v>
      </c>
      <c r="B953">
        <v>13</v>
      </c>
    </row>
    <row r="954" spans="1:2" x14ac:dyDescent="0.3">
      <c r="A954" s="4" t="s">
        <v>48</v>
      </c>
      <c r="B954">
        <v>11</v>
      </c>
    </row>
    <row r="955" spans="1:2" x14ac:dyDescent="0.3">
      <c r="A955" s="4" t="s">
        <v>77</v>
      </c>
      <c r="B955">
        <v>15</v>
      </c>
    </row>
    <row r="956" spans="1:2" x14ac:dyDescent="0.3">
      <c r="A956" s="4" t="s">
        <v>73</v>
      </c>
      <c r="B956">
        <v>16</v>
      </c>
    </row>
    <row r="957" spans="1:2" x14ac:dyDescent="0.3">
      <c r="A957" s="4" t="s">
        <v>44</v>
      </c>
      <c r="B957">
        <v>6</v>
      </c>
    </row>
    <row r="958" spans="1:2" x14ac:dyDescent="0.3">
      <c r="A958" s="4" t="s">
        <v>71</v>
      </c>
      <c r="B958">
        <v>17</v>
      </c>
    </row>
    <row r="959" spans="1:2" x14ac:dyDescent="0.3">
      <c r="A959" s="4" t="s">
        <v>54</v>
      </c>
      <c r="B959">
        <v>11</v>
      </c>
    </row>
    <row r="960" spans="1:2" x14ac:dyDescent="0.3">
      <c r="A960" s="4" t="s">
        <v>81</v>
      </c>
      <c r="B960">
        <v>0</v>
      </c>
    </row>
    <row r="961" spans="1:2" x14ac:dyDescent="0.3">
      <c r="A961" s="4" t="s">
        <v>50</v>
      </c>
      <c r="B961">
        <v>10</v>
      </c>
    </row>
    <row r="962" spans="1:2" x14ac:dyDescent="0.3">
      <c r="A962" s="4" t="s">
        <v>75</v>
      </c>
      <c r="B962">
        <v>16</v>
      </c>
    </row>
    <row r="963" spans="1:2" x14ac:dyDescent="0.3">
      <c r="A963" s="4" t="s">
        <v>52</v>
      </c>
      <c r="B963">
        <v>12</v>
      </c>
    </row>
    <row r="964" spans="1:2" x14ac:dyDescent="0.3">
      <c r="A964" s="3">
        <v>12632</v>
      </c>
      <c r="B964">
        <v>12.25</v>
      </c>
    </row>
    <row r="965" spans="1:2" x14ac:dyDescent="0.3">
      <c r="A965" s="4" t="s">
        <v>46</v>
      </c>
      <c r="B965">
        <v>19</v>
      </c>
    </row>
    <row r="966" spans="1:2" x14ac:dyDescent="0.3">
      <c r="A966" s="4" t="s">
        <v>41</v>
      </c>
      <c r="B966">
        <v>0</v>
      </c>
    </row>
    <row r="967" spans="1:2" x14ac:dyDescent="0.3">
      <c r="A967" s="4" t="s">
        <v>58</v>
      </c>
      <c r="B967">
        <v>9</v>
      </c>
    </row>
    <row r="968" spans="1:2" x14ac:dyDescent="0.3">
      <c r="A968" s="4" t="s">
        <v>79</v>
      </c>
      <c r="B968">
        <v>8</v>
      </c>
    </row>
    <row r="969" spans="1:2" x14ac:dyDescent="0.3">
      <c r="A969" s="4" t="s">
        <v>64</v>
      </c>
      <c r="B969">
        <v>11</v>
      </c>
    </row>
    <row r="970" spans="1:2" x14ac:dyDescent="0.3">
      <c r="A970" s="4" t="s">
        <v>67</v>
      </c>
      <c r="B970">
        <v>9</v>
      </c>
    </row>
    <row r="971" spans="1:2" x14ac:dyDescent="0.3">
      <c r="A971" s="4" t="s">
        <v>48</v>
      </c>
      <c r="B971">
        <v>20</v>
      </c>
    </row>
    <row r="972" spans="1:2" x14ac:dyDescent="0.3">
      <c r="A972" s="4" t="s">
        <v>77</v>
      </c>
      <c r="B972">
        <v>9</v>
      </c>
    </row>
    <row r="973" spans="1:2" x14ac:dyDescent="0.3">
      <c r="A973" s="4" t="s">
        <v>73</v>
      </c>
      <c r="B973">
        <v>13</v>
      </c>
    </row>
    <row r="974" spans="1:2" x14ac:dyDescent="0.3">
      <c r="A974" s="4" t="s">
        <v>44</v>
      </c>
      <c r="B974">
        <v>24</v>
      </c>
    </row>
    <row r="975" spans="1:2" x14ac:dyDescent="0.3">
      <c r="A975" s="4" t="s">
        <v>71</v>
      </c>
      <c r="B975">
        <v>19</v>
      </c>
    </row>
    <row r="976" spans="1:2" x14ac:dyDescent="0.3">
      <c r="A976" s="4" t="s">
        <v>54</v>
      </c>
      <c r="B976">
        <v>7</v>
      </c>
    </row>
    <row r="977" spans="1:2" x14ac:dyDescent="0.3">
      <c r="A977" s="4" t="s">
        <v>81</v>
      </c>
      <c r="B977">
        <v>3</v>
      </c>
    </row>
    <row r="978" spans="1:2" x14ac:dyDescent="0.3">
      <c r="A978" s="4" t="s">
        <v>50</v>
      </c>
      <c r="B978">
        <v>16</v>
      </c>
    </row>
    <row r="979" spans="1:2" x14ac:dyDescent="0.3">
      <c r="A979" s="4" t="s">
        <v>75</v>
      </c>
      <c r="B979">
        <v>7</v>
      </c>
    </row>
    <row r="980" spans="1:2" x14ac:dyDescent="0.3">
      <c r="A980" s="4" t="s">
        <v>52</v>
      </c>
      <c r="B980">
        <v>22</v>
      </c>
    </row>
    <row r="981" spans="1:2" x14ac:dyDescent="0.3">
      <c r="A981" s="3">
        <v>12637</v>
      </c>
      <c r="B981">
        <v>8.1666666666666661</v>
      </c>
    </row>
    <row r="982" spans="1:2" x14ac:dyDescent="0.3">
      <c r="A982" s="4" t="s">
        <v>60</v>
      </c>
      <c r="B982">
        <v>19</v>
      </c>
    </row>
    <row r="983" spans="1:2" x14ac:dyDescent="0.3">
      <c r="A983" s="4" t="s">
        <v>46</v>
      </c>
      <c r="B983">
        <v>0</v>
      </c>
    </row>
    <row r="984" spans="1:2" x14ac:dyDescent="0.3">
      <c r="A984" s="4" t="s">
        <v>41</v>
      </c>
      <c r="B984">
        <v>2</v>
      </c>
    </row>
    <row r="985" spans="1:2" x14ac:dyDescent="0.3">
      <c r="A985" s="4" t="s">
        <v>58</v>
      </c>
      <c r="B985">
        <v>17</v>
      </c>
    </row>
    <row r="986" spans="1:2" x14ac:dyDescent="0.3">
      <c r="A986" s="4" t="s">
        <v>62</v>
      </c>
      <c r="B986">
        <v>21</v>
      </c>
    </row>
    <row r="987" spans="1:2" x14ac:dyDescent="0.3">
      <c r="A987" s="4" t="s">
        <v>64</v>
      </c>
      <c r="B987">
        <v>0</v>
      </c>
    </row>
    <row r="988" spans="1:2" x14ac:dyDescent="0.3">
      <c r="A988" s="4" t="s">
        <v>56</v>
      </c>
      <c r="B988">
        <v>14</v>
      </c>
    </row>
    <row r="989" spans="1:2" x14ac:dyDescent="0.3">
      <c r="A989" s="4" t="s">
        <v>48</v>
      </c>
      <c r="B989">
        <v>0</v>
      </c>
    </row>
    <row r="990" spans="1:2" x14ac:dyDescent="0.3">
      <c r="A990" s="4" t="s">
        <v>44</v>
      </c>
      <c r="B990">
        <v>4</v>
      </c>
    </row>
    <row r="991" spans="1:2" x14ac:dyDescent="0.3">
      <c r="A991" s="4" t="s">
        <v>54</v>
      </c>
      <c r="B991">
        <v>8</v>
      </c>
    </row>
    <row r="992" spans="1:2" x14ac:dyDescent="0.3">
      <c r="A992" s="4" t="s">
        <v>50</v>
      </c>
      <c r="B992">
        <v>6</v>
      </c>
    </row>
    <row r="993" spans="1:2" x14ac:dyDescent="0.3">
      <c r="A993" s="4" t="s">
        <v>52</v>
      </c>
      <c r="B993">
        <v>7</v>
      </c>
    </row>
    <row r="994" spans="1:2" x14ac:dyDescent="0.3">
      <c r="A994" s="3">
        <v>12638</v>
      </c>
      <c r="B994">
        <v>10.384615384615385</v>
      </c>
    </row>
    <row r="995" spans="1:2" x14ac:dyDescent="0.3">
      <c r="A995" s="4" t="s">
        <v>60</v>
      </c>
      <c r="B995">
        <v>10</v>
      </c>
    </row>
    <row r="996" spans="1:2" x14ac:dyDescent="0.3">
      <c r="A996" s="4" t="s">
        <v>46</v>
      </c>
      <c r="B996">
        <v>18</v>
      </c>
    </row>
    <row r="997" spans="1:2" x14ac:dyDescent="0.3">
      <c r="A997" s="4" t="s">
        <v>41</v>
      </c>
      <c r="B997">
        <v>0</v>
      </c>
    </row>
    <row r="998" spans="1:2" x14ac:dyDescent="0.3">
      <c r="A998" s="4" t="s">
        <v>58</v>
      </c>
      <c r="B998">
        <v>7</v>
      </c>
    </row>
    <row r="999" spans="1:2" x14ac:dyDescent="0.3">
      <c r="A999" s="4" t="s">
        <v>62</v>
      </c>
      <c r="B999">
        <v>6</v>
      </c>
    </row>
    <row r="1000" spans="1:2" x14ac:dyDescent="0.3">
      <c r="A1000" s="4" t="s">
        <v>64</v>
      </c>
      <c r="B1000">
        <v>1</v>
      </c>
    </row>
    <row r="1001" spans="1:2" x14ac:dyDescent="0.3">
      <c r="A1001" s="4" t="s">
        <v>67</v>
      </c>
      <c r="B1001">
        <v>7</v>
      </c>
    </row>
    <row r="1002" spans="1:2" x14ac:dyDescent="0.3">
      <c r="A1002" s="4" t="s">
        <v>56</v>
      </c>
      <c r="B1002">
        <v>8</v>
      </c>
    </row>
    <row r="1003" spans="1:2" x14ac:dyDescent="0.3">
      <c r="A1003" s="4" t="s">
        <v>48</v>
      </c>
      <c r="B1003">
        <v>16</v>
      </c>
    </row>
    <row r="1004" spans="1:2" x14ac:dyDescent="0.3">
      <c r="A1004" s="4" t="s">
        <v>44</v>
      </c>
      <c r="B1004">
        <v>23</v>
      </c>
    </row>
    <row r="1005" spans="1:2" x14ac:dyDescent="0.3">
      <c r="A1005" s="4" t="s">
        <v>54</v>
      </c>
      <c r="B1005">
        <v>6</v>
      </c>
    </row>
    <row r="1006" spans="1:2" x14ac:dyDescent="0.3">
      <c r="A1006" s="4" t="s">
        <v>50</v>
      </c>
      <c r="B1006">
        <v>12</v>
      </c>
    </row>
    <row r="1007" spans="1:2" x14ac:dyDescent="0.3">
      <c r="A1007" s="4" t="s">
        <v>52</v>
      </c>
      <c r="B1007">
        <v>21</v>
      </c>
    </row>
    <row r="1008" spans="1:2" x14ac:dyDescent="0.3">
      <c r="A1008" s="3">
        <v>12673</v>
      </c>
      <c r="B1008">
        <v>12.2</v>
      </c>
    </row>
    <row r="1009" spans="1:2" x14ac:dyDescent="0.3">
      <c r="A1009" s="4" t="s">
        <v>18</v>
      </c>
      <c r="B1009">
        <v>16</v>
      </c>
    </row>
    <row r="1010" spans="1:2" x14ac:dyDescent="0.3">
      <c r="A1010" s="4" t="s">
        <v>16</v>
      </c>
      <c r="B1010">
        <v>0</v>
      </c>
    </row>
    <row r="1011" spans="1:2" x14ac:dyDescent="0.3">
      <c r="A1011" s="4" t="s">
        <v>13</v>
      </c>
      <c r="B1011">
        <v>2</v>
      </c>
    </row>
    <row r="1012" spans="1:2" x14ac:dyDescent="0.3">
      <c r="A1012" s="4" t="s">
        <v>32</v>
      </c>
      <c r="B1012">
        <v>0</v>
      </c>
    </row>
    <row r="1013" spans="1:2" x14ac:dyDescent="0.3">
      <c r="A1013" s="4" t="s">
        <v>30</v>
      </c>
      <c r="B1013">
        <v>13</v>
      </c>
    </row>
    <row r="1014" spans="1:2" x14ac:dyDescent="0.3">
      <c r="A1014" s="4" t="s">
        <v>26</v>
      </c>
      <c r="B1014">
        <v>25</v>
      </c>
    </row>
    <row r="1015" spans="1:2" x14ac:dyDescent="0.3">
      <c r="A1015" s="4" t="s">
        <v>22</v>
      </c>
      <c r="B1015">
        <v>0</v>
      </c>
    </row>
    <row r="1016" spans="1:2" x14ac:dyDescent="0.3">
      <c r="A1016" s="4" t="s">
        <v>20</v>
      </c>
      <c r="B1016">
        <v>17</v>
      </c>
    </row>
    <row r="1017" spans="1:2" x14ac:dyDescent="0.3">
      <c r="A1017" s="4" t="s">
        <v>24</v>
      </c>
      <c r="B1017">
        <v>25</v>
      </c>
    </row>
    <row r="1018" spans="1:2" x14ac:dyDescent="0.3">
      <c r="A1018" s="4" t="s">
        <v>28</v>
      </c>
      <c r="B1018">
        <v>24</v>
      </c>
    </row>
    <row r="1019" spans="1:2" x14ac:dyDescent="0.3">
      <c r="A1019" s="3">
        <v>12674</v>
      </c>
      <c r="B1019">
        <v>14.555555555555555</v>
      </c>
    </row>
    <row r="1020" spans="1:2" x14ac:dyDescent="0.3">
      <c r="A1020" s="4" t="s">
        <v>18</v>
      </c>
      <c r="B1020">
        <v>28</v>
      </c>
    </row>
    <row r="1021" spans="1:2" x14ac:dyDescent="0.3">
      <c r="A1021" s="4" t="s">
        <v>13</v>
      </c>
      <c r="B1021">
        <v>0</v>
      </c>
    </row>
    <row r="1022" spans="1:2" x14ac:dyDescent="0.3">
      <c r="A1022" s="4" t="s">
        <v>32</v>
      </c>
      <c r="B1022">
        <v>5</v>
      </c>
    </row>
    <row r="1023" spans="1:2" x14ac:dyDescent="0.3">
      <c r="A1023" s="4" t="s">
        <v>26</v>
      </c>
      <c r="B1023">
        <v>21</v>
      </c>
    </row>
    <row r="1024" spans="1:2" x14ac:dyDescent="0.3">
      <c r="A1024" s="4" t="s">
        <v>22</v>
      </c>
      <c r="B1024">
        <v>7</v>
      </c>
    </row>
    <row r="1025" spans="1:2" x14ac:dyDescent="0.3">
      <c r="A1025" s="4" t="s">
        <v>20</v>
      </c>
      <c r="B1025">
        <v>14</v>
      </c>
    </row>
    <row r="1026" spans="1:2" x14ac:dyDescent="0.3">
      <c r="A1026" s="4" t="s">
        <v>35</v>
      </c>
      <c r="B1026">
        <v>32</v>
      </c>
    </row>
    <row r="1027" spans="1:2" x14ac:dyDescent="0.3">
      <c r="A1027" s="4" t="s">
        <v>24</v>
      </c>
      <c r="B1027">
        <v>24</v>
      </c>
    </row>
    <row r="1028" spans="1:2" x14ac:dyDescent="0.3">
      <c r="A1028" s="4" t="s">
        <v>28</v>
      </c>
      <c r="B1028">
        <v>0</v>
      </c>
    </row>
    <row r="1029" spans="1:2" x14ac:dyDescent="0.3">
      <c r="A1029" s="3">
        <v>12679</v>
      </c>
      <c r="B1029">
        <v>20.153846153846153</v>
      </c>
    </row>
    <row r="1030" spans="1:2" x14ac:dyDescent="0.3">
      <c r="A1030" s="4" t="s">
        <v>509</v>
      </c>
      <c r="B1030">
        <v>26</v>
      </c>
    </row>
    <row r="1031" spans="1:2" x14ac:dyDescent="0.3">
      <c r="A1031" s="4" t="s">
        <v>18</v>
      </c>
      <c r="B1031">
        <v>16</v>
      </c>
    </row>
    <row r="1032" spans="1:2" x14ac:dyDescent="0.3">
      <c r="A1032" s="4" t="s">
        <v>513</v>
      </c>
      <c r="B1032">
        <v>29</v>
      </c>
    </row>
    <row r="1033" spans="1:2" x14ac:dyDescent="0.3">
      <c r="A1033" s="4" t="s">
        <v>13</v>
      </c>
      <c r="B1033">
        <v>2</v>
      </c>
    </row>
    <row r="1034" spans="1:2" x14ac:dyDescent="0.3">
      <c r="A1034" s="4" t="s">
        <v>32</v>
      </c>
      <c r="B1034">
        <v>1</v>
      </c>
    </row>
    <row r="1035" spans="1:2" x14ac:dyDescent="0.3">
      <c r="A1035" s="4" t="s">
        <v>30</v>
      </c>
      <c r="B1035">
        <v>28</v>
      </c>
    </row>
    <row r="1036" spans="1:2" x14ac:dyDescent="0.3">
      <c r="A1036" s="4" t="s">
        <v>26</v>
      </c>
      <c r="B1036">
        <v>23</v>
      </c>
    </row>
    <row r="1037" spans="1:2" x14ac:dyDescent="0.3">
      <c r="A1037" s="4" t="s">
        <v>22</v>
      </c>
      <c r="B1037">
        <v>15</v>
      </c>
    </row>
    <row r="1038" spans="1:2" x14ac:dyDescent="0.3">
      <c r="A1038" s="4" t="s">
        <v>20</v>
      </c>
      <c r="B1038">
        <v>20</v>
      </c>
    </row>
    <row r="1039" spans="1:2" x14ac:dyDescent="0.3">
      <c r="A1039" s="4" t="s">
        <v>444</v>
      </c>
      <c r="B1039">
        <v>28</v>
      </c>
    </row>
    <row r="1040" spans="1:2" x14ac:dyDescent="0.3">
      <c r="A1040" s="4" t="s">
        <v>24</v>
      </c>
      <c r="B1040">
        <v>22</v>
      </c>
    </row>
    <row r="1041" spans="1:2" x14ac:dyDescent="0.3">
      <c r="A1041" s="4" t="s">
        <v>511</v>
      </c>
      <c r="B1041">
        <v>24</v>
      </c>
    </row>
    <row r="1042" spans="1:2" x14ac:dyDescent="0.3">
      <c r="A1042" s="4" t="s">
        <v>28</v>
      </c>
      <c r="B1042">
        <v>28</v>
      </c>
    </row>
    <row r="1043" spans="1:2" x14ac:dyDescent="0.3">
      <c r="A1043" s="3">
        <v>12680</v>
      </c>
      <c r="B1043">
        <v>5.3076923076923075</v>
      </c>
    </row>
    <row r="1044" spans="1:2" x14ac:dyDescent="0.3">
      <c r="A1044" s="4" t="s">
        <v>509</v>
      </c>
      <c r="B1044">
        <v>7</v>
      </c>
    </row>
    <row r="1045" spans="1:2" x14ac:dyDescent="0.3">
      <c r="A1045" s="4" t="s">
        <v>18</v>
      </c>
      <c r="B1045">
        <v>6</v>
      </c>
    </row>
    <row r="1046" spans="1:2" x14ac:dyDescent="0.3">
      <c r="A1046" s="4" t="s">
        <v>513</v>
      </c>
      <c r="B1046">
        <v>5</v>
      </c>
    </row>
    <row r="1047" spans="1:2" x14ac:dyDescent="0.3">
      <c r="A1047" s="4" t="s">
        <v>13</v>
      </c>
      <c r="B1047">
        <v>2</v>
      </c>
    </row>
    <row r="1048" spans="1:2" x14ac:dyDescent="0.3">
      <c r="A1048" s="4" t="s">
        <v>32</v>
      </c>
      <c r="B1048">
        <v>1</v>
      </c>
    </row>
    <row r="1049" spans="1:2" x14ac:dyDescent="0.3">
      <c r="A1049" s="4" t="s">
        <v>26</v>
      </c>
      <c r="B1049">
        <v>6</v>
      </c>
    </row>
    <row r="1050" spans="1:2" x14ac:dyDescent="0.3">
      <c r="A1050" s="4" t="s">
        <v>22</v>
      </c>
      <c r="B1050">
        <v>4</v>
      </c>
    </row>
    <row r="1051" spans="1:2" x14ac:dyDescent="0.3">
      <c r="A1051" s="4" t="s">
        <v>20</v>
      </c>
      <c r="B1051">
        <v>6</v>
      </c>
    </row>
    <row r="1052" spans="1:2" x14ac:dyDescent="0.3">
      <c r="A1052" s="4" t="s">
        <v>444</v>
      </c>
      <c r="B1052">
        <v>4</v>
      </c>
    </row>
    <row r="1053" spans="1:2" x14ac:dyDescent="0.3">
      <c r="A1053" s="4" t="s">
        <v>35</v>
      </c>
      <c r="B1053">
        <v>12</v>
      </c>
    </row>
    <row r="1054" spans="1:2" x14ac:dyDescent="0.3">
      <c r="A1054" s="4" t="s">
        <v>24</v>
      </c>
      <c r="B1054">
        <v>7</v>
      </c>
    </row>
    <row r="1055" spans="1:2" x14ac:dyDescent="0.3">
      <c r="A1055" s="4" t="s">
        <v>511</v>
      </c>
      <c r="B1055">
        <v>6</v>
      </c>
    </row>
    <row r="1056" spans="1:2" x14ac:dyDescent="0.3">
      <c r="A1056" s="4" t="s">
        <v>28</v>
      </c>
      <c r="B1056">
        <v>3</v>
      </c>
    </row>
    <row r="1057" spans="1:2" x14ac:dyDescent="0.3">
      <c r="A1057" s="3">
        <v>12681</v>
      </c>
      <c r="B1057">
        <v>5.625</v>
      </c>
    </row>
    <row r="1058" spans="1:2" x14ac:dyDescent="0.3">
      <c r="A1058" s="4" t="s">
        <v>18</v>
      </c>
      <c r="B1058">
        <v>15</v>
      </c>
    </row>
    <row r="1059" spans="1:2" x14ac:dyDescent="0.3">
      <c r="A1059" s="4" t="s">
        <v>13</v>
      </c>
      <c r="B1059">
        <v>4</v>
      </c>
    </row>
    <row r="1060" spans="1:2" x14ac:dyDescent="0.3">
      <c r="A1060" s="4" t="s">
        <v>32</v>
      </c>
      <c r="B1060">
        <v>0</v>
      </c>
    </row>
    <row r="1061" spans="1:2" x14ac:dyDescent="0.3">
      <c r="A1061" s="4" t="s">
        <v>30</v>
      </c>
      <c r="B1061">
        <v>7</v>
      </c>
    </row>
    <row r="1062" spans="1:2" x14ac:dyDescent="0.3">
      <c r="A1062" s="4" t="s">
        <v>26</v>
      </c>
      <c r="B1062">
        <v>0</v>
      </c>
    </row>
    <row r="1063" spans="1:2" x14ac:dyDescent="0.3">
      <c r="A1063" s="4" t="s">
        <v>20</v>
      </c>
      <c r="B1063">
        <v>11</v>
      </c>
    </row>
    <row r="1064" spans="1:2" x14ac:dyDescent="0.3">
      <c r="A1064" s="4" t="s">
        <v>24</v>
      </c>
      <c r="B1064">
        <v>0</v>
      </c>
    </row>
    <row r="1065" spans="1:2" x14ac:dyDescent="0.3">
      <c r="A1065" s="4" t="s">
        <v>28</v>
      </c>
      <c r="B1065">
        <v>8</v>
      </c>
    </row>
    <row r="1066" spans="1:2" x14ac:dyDescent="0.3">
      <c r="A1066" s="3">
        <v>12682</v>
      </c>
      <c r="B1066">
        <v>15.5</v>
      </c>
    </row>
    <row r="1067" spans="1:2" x14ac:dyDescent="0.3">
      <c r="A1067" s="4" t="s">
        <v>18</v>
      </c>
      <c r="B1067">
        <v>0</v>
      </c>
    </row>
    <row r="1068" spans="1:2" x14ac:dyDescent="0.3">
      <c r="A1068" s="4" t="s">
        <v>13</v>
      </c>
      <c r="B1068">
        <v>9</v>
      </c>
    </row>
    <row r="1069" spans="1:2" x14ac:dyDescent="0.3">
      <c r="A1069" s="4" t="s">
        <v>32</v>
      </c>
      <c r="B1069">
        <v>3</v>
      </c>
    </row>
    <row r="1070" spans="1:2" x14ac:dyDescent="0.3">
      <c r="A1070" s="4" t="s">
        <v>26</v>
      </c>
      <c r="B1070">
        <v>43</v>
      </c>
    </row>
    <row r="1071" spans="1:2" x14ac:dyDescent="0.3">
      <c r="A1071" s="4" t="s">
        <v>20</v>
      </c>
      <c r="B1071">
        <v>1</v>
      </c>
    </row>
    <row r="1072" spans="1:2" x14ac:dyDescent="0.3">
      <c r="A1072" s="4" t="s">
        <v>35</v>
      </c>
      <c r="B1072">
        <v>11</v>
      </c>
    </row>
    <row r="1073" spans="1:2" x14ac:dyDescent="0.3">
      <c r="A1073" s="4" t="s">
        <v>24</v>
      </c>
      <c r="B1073">
        <v>41</v>
      </c>
    </row>
    <row r="1074" spans="1:2" x14ac:dyDescent="0.3">
      <c r="A1074" s="4" t="s">
        <v>28</v>
      </c>
      <c r="B1074">
        <v>16</v>
      </c>
    </row>
    <row r="1075" spans="1:2" x14ac:dyDescent="0.3">
      <c r="A1075" s="3">
        <v>12839</v>
      </c>
      <c r="B1075">
        <v>107.31428571428572</v>
      </c>
    </row>
    <row r="1076" spans="1:2" x14ac:dyDescent="0.3">
      <c r="A1076" s="4" t="s">
        <v>154</v>
      </c>
      <c r="B1076">
        <v>106</v>
      </c>
    </row>
    <row r="1077" spans="1:2" x14ac:dyDescent="0.3">
      <c r="A1077" s="4" t="s">
        <v>157</v>
      </c>
      <c r="B1077">
        <v>114</v>
      </c>
    </row>
    <row r="1078" spans="1:2" x14ac:dyDescent="0.3">
      <c r="A1078" s="4" t="s">
        <v>120</v>
      </c>
      <c r="B1078">
        <v>87</v>
      </c>
    </row>
    <row r="1079" spans="1:2" x14ac:dyDescent="0.3">
      <c r="A1079" s="4" t="s">
        <v>132</v>
      </c>
      <c r="B1079">
        <v>115</v>
      </c>
    </row>
    <row r="1080" spans="1:2" x14ac:dyDescent="0.3">
      <c r="A1080" s="4" t="s">
        <v>171</v>
      </c>
      <c r="B1080">
        <v>133</v>
      </c>
    </row>
    <row r="1081" spans="1:2" x14ac:dyDescent="0.3">
      <c r="A1081" s="4" t="s">
        <v>122</v>
      </c>
      <c r="B1081">
        <v>81</v>
      </c>
    </row>
    <row r="1082" spans="1:2" x14ac:dyDescent="0.3">
      <c r="A1082" s="4" t="s">
        <v>128</v>
      </c>
      <c r="B1082">
        <v>111</v>
      </c>
    </row>
    <row r="1083" spans="1:2" x14ac:dyDescent="0.3">
      <c r="A1083" s="4" t="s">
        <v>136</v>
      </c>
      <c r="B1083">
        <v>139</v>
      </c>
    </row>
    <row r="1084" spans="1:2" x14ac:dyDescent="0.3">
      <c r="A1084" s="4" t="s">
        <v>134</v>
      </c>
      <c r="B1084">
        <v>119</v>
      </c>
    </row>
    <row r="1085" spans="1:2" x14ac:dyDescent="0.3">
      <c r="A1085" s="4" t="s">
        <v>13</v>
      </c>
      <c r="B1085">
        <v>73</v>
      </c>
    </row>
    <row r="1086" spans="1:2" x14ac:dyDescent="0.3">
      <c r="A1086" s="4" t="s">
        <v>148</v>
      </c>
      <c r="B1086">
        <v>106</v>
      </c>
    </row>
    <row r="1087" spans="1:2" x14ac:dyDescent="0.3">
      <c r="A1087" s="4" t="s">
        <v>173</v>
      </c>
      <c r="B1087">
        <v>133</v>
      </c>
    </row>
    <row r="1088" spans="1:2" x14ac:dyDescent="0.3">
      <c r="A1088" s="4" t="s">
        <v>126</v>
      </c>
      <c r="B1088">
        <v>104</v>
      </c>
    </row>
    <row r="1089" spans="1:2" x14ac:dyDescent="0.3">
      <c r="A1089" s="4" t="s">
        <v>167</v>
      </c>
      <c r="B1089">
        <v>147</v>
      </c>
    </row>
    <row r="1090" spans="1:2" x14ac:dyDescent="0.3">
      <c r="A1090" s="4" t="s">
        <v>179</v>
      </c>
      <c r="B1090">
        <v>90</v>
      </c>
    </row>
    <row r="1091" spans="1:2" x14ac:dyDescent="0.3">
      <c r="A1091" s="4" t="s">
        <v>115</v>
      </c>
      <c r="B1091">
        <v>45</v>
      </c>
    </row>
    <row r="1092" spans="1:2" x14ac:dyDescent="0.3">
      <c r="A1092" s="4" t="s">
        <v>138</v>
      </c>
      <c r="B1092">
        <v>135</v>
      </c>
    </row>
    <row r="1093" spans="1:2" x14ac:dyDescent="0.3">
      <c r="A1093" s="4" t="s">
        <v>124</v>
      </c>
      <c r="B1093">
        <v>90</v>
      </c>
    </row>
    <row r="1094" spans="1:2" x14ac:dyDescent="0.3">
      <c r="A1094" s="4" t="s">
        <v>118</v>
      </c>
      <c r="B1094">
        <v>68</v>
      </c>
    </row>
    <row r="1095" spans="1:2" x14ac:dyDescent="0.3">
      <c r="A1095" s="4" t="s">
        <v>130</v>
      </c>
      <c r="B1095">
        <v>104</v>
      </c>
    </row>
    <row r="1096" spans="1:2" x14ac:dyDescent="0.3">
      <c r="A1096" s="4" t="s">
        <v>144</v>
      </c>
      <c r="B1096">
        <v>99</v>
      </c>
    </row>
    <row r="1097" spans="1:2" x14ac:dyDescent="0.3">
      <c r="A1097" s="4" t="s">
        <v>177</v>
      </c>
      <c r="B1097">
        <v>113</v>
      </c>
    </row>
    <row r="1098" spans="1:2" x14ac:dyDescent="0.3">
      <c r="A1098" s="4" t="s">
        <v>163</v>
      </c>
      <c r="B1098">
        <v>145</v>
      </c>
    </row>
    <row r="1099" spans="1:2" x14ac:dyDescent="0.3">
      <c r="A1099" s="4" t="s">
        <v>175</v>
      </c>
      <c r="B1099">
        <v>0</v>
      </c>
    </row>
    <row r="1100" spans="1:2" x14ac:dyDescent="0.3">
      <c r="A1100" s="4" t="s">
        <v>142</v>
      </c>
      <c r="B1100">
        <v>104</v>
      </c>
    </row>
    <row r="1101" spans="1:2" x14ac:dyDescent="0.3">
      <c r="A1101" s="4" t="s">
        <v>161</v>
      </c>
      <c r="B1101">
        <v>140</v>
      </c>
    </row>
    <row r="1102" spans="1:2" x14ac:dyDescent="0.3">
      <c r="A1102" s="4" t="s">
        <v>159</v>
      </c>
      <c r="B1102">
        <v>132</v>
      </c>
    </row>
    <row r="1103" spans="1:2" x14ac:dyDescent="0.3">
      <c r="A1103" s="4" t="s">
        <v>140</v>
      </c>
      <c r="B1103">
        <v>135</v>
      </c>
    </row>
    <row r="1104" spans="1:2" x14ac:dyDescent="0.3">
      <c r="A1104" s="4" t="s">
        <v>146</v>
      </c>
      <c r="B1104">
        <v>98</v>
      </c>
    </row>
    <row r="1105" spans="1:2" x14ac:dyDescent="0.3">
      <c r="A1105" s="4" t="s">
        <v>165</v>
      </c>
      <c r="B1105">
        <v>144</v>
      </c>
    </row>
    <row r="1106" spans="1:2" x14ac:dyDescent="0.3">
      <c r="A1106" s="4" t="s">
        <v>169</v>
      </c>
      <c r="B1106">
        <v>127</v>
      </c>
    </row>
    <row r="1107" spans="1:2" x14ac:dyDescent="0.3">
      <c r="A1107" s="4" t="s">
        <v>155</v>
      </c>
      <c r="B1107">
        <v>112</v>
      </c>
    </row>
    <row r="1108" spans="1:2" x14ac:dyDescent="0.3">
      <c r="A1108" s="4" t="s">
        <v>89</v>
      </c>
      <c r="B1108">
        <v>106</v>
      </c>
    </row>
    <row r="1109" spans="1:2" x14ac:dyDescent="0.3">
      <c r="A1109" s="4" t="s">
        <v>152</v>
      </c>
      <c r="B1109">
        <v>103</v>
      </c>
    </row>
    <row r="1110" spans="1:2" x14ac:dyDescent="0.3">
      <c r="A1110" s="4" t="s">
        <v>150</v>
      </c>
      <c r="B1110">
        <v>98</v>
      </c>
    </row>
    <row r="1111" spans="1:2" x14ac:dyDescent="0.3">
      <c r="A1111" s="3">
        <v>12840</v>
      </c>
      <c r="B1111">
        <v>97.388888888888886</v>
      </c>
    </row>
    <row r="1112" spans="1:2" x14ac:dyDescent="0.3">
      <c r="A1112" s="4" t="s">
        <v>154</v>
      </c>
      <c r="B1112">
        <v>128</v>
      </c>
    </row>
    <row r="1113" spans="1:2" x14ac:dyDescent="0.3">
      <c r="A1113" s="4" t="s">
        <v>157</v>
      </c>
      <c r="B1113">
        <v>124</v>
      </c>
    </row>
    <row r="1114" spans="1:2" x14ac:dyDescent="0.3">
      <c r="A1114" s="4" t="s">
        <v>120</v>
      </c>
      <c r="B1114">
        <v>101</v>
      </c>
    </row>
    <row r="1115" spans="1:2" x14ac:dyDescent="0.3">
      <c r="A1115" s="4" t="s">
        <v>132</v>
      </c>
      <c r="B1115">
        <v>108</v>
      </c>
    </row>
    <row r="1116" spans="1:2" x14ac:dyDescent="0.3">
      <c r="A1116" s="4" t="s">
        <v>171</v>
      </c>
      <c r="B1116">
        <v>85</v>
      </c>
    </row>
    <row r="1117" spans="1:2" x14ac:dyDescent="0.3">
      <c r="A1117" s="4" t="s">
        <v>122</v>
      </c>
      <c r="B1117">
        <v>87</v>
      </c>
    </row>
    <row r="1118" spans="1:2" x14ac:dyDescent="0.3">
      <c r="A1118" s="4" t="s">
        <v>128</v>
      </c>
      <c r="B1118">
        <v>121</v>
      </c>
    </row>
    <row r="1119" spans="1:2" x14ac:dyDescent="0.3">
      <c r="A1119" s="4" t="s">
        <v>136</v>
      </c>
      <c r="B1119">
        <v>99</v>
      </c>
    </row>
    <row r="1120" spans="1:2" x14ac:dyDescent="0.3">
      <c r="A1120" s="4" t="s">
        <v>134</v>
      </c>
      <c r="B1120">
        <v>103</v>
      </c>
    </row>
    <row r="1121" spans="1:2" x14ac:dyDescent="0.3">
      <c r="A1121" s="4" t="s">
        <v>13</v>
      </c>
      <c r="B1121">
        <v>56</v>
      </c>
    </row>
    <row r="1122" spans="1:2" x14ac:dyDescent="0.3">
      <c r="A1122" s="4" t="s">
        <v>148</v>
      </c>
      <c r="B1122">
        <v>91</v>
      </c>
    </row>
    <row r="1123" spans="1:2" x14ac:dyDescent="0.3">
      <c r="A1123" s="4" t="s">
        <v>173</v>
      </c>
      <c r="B1123">
        <v>84</v>
      </c>
    </row>
    <row r="1124" spans="1:2" x14ac:dyDescent="0.3">
      <c r="A1124" s="4" t="s">
        <v>126</v>
      </c>
      <c r="B1124">
        <v>124</v>
      </c>
    </row>
    <row r="1125" spans="1:2" x14ac:dyDescent="0.3">
      <c r="A1125" s="4" t="s">
        <v>167</v>
      </c>
      <c r="B1125">
        <v>94</v>
      </c>
    </row>
    <row r="1126" spans="1:2" x14ac:dyDescent="0.3">
      <c r="A1126" s="4" t="s">
        <v>179</v>
      </c>
      <c r="B1126">
        <v>73</v>
      </c>
    </row>
    <row r="1127" spans="1:2" x14ac:dyDescent="0.3">
      <c r="A1127" s="4" t="s">
        <v>115</v>
      </c>
      <c r="B1127">
        <v>129</v>
      </c>
    </row>
    <row r="1128" spans="1:2" x14ac:dyDescent="0.3">
      <c r="A1128" s="4" t="s">
        <v>138</v>
      </c>
      <c r="B1128">
        <v>88</v>
      </c>
    </row>
    <row r="1129" spans="1:2" x14ac:dyDescent="0.3">
      <c r="A1129" s="4" t="s">
        <v>124</v>
      </c>
      <c r="B1129">
        <v>127</v>
      </c>
    </row>
    <row r="1130" spans="1:2" x14ac:dyDescent="0.3">
      <c r="A1130" s="4" t="s">
        <v>118</v>
      </c>
      <c r="B1130">
        <v>123</v>
      </c>
    </row>
    <row r="1131" spans="1:2" x14ac:dyDescent="0.3">
      <c r="A1131" s="4" t="s">
        <v>130</v>
      </c>
      <c r="B1131">
        <v>117</v>
      </c>
    </row>
    <row r="1132" spans="1:2" x14ac:dyDescent="0.3">
      <c r="A1132" s="4" t="s">
        <v>144</v>
      </c>
      <c r="B1132">
        <v>96</v>
      </c>
    </row>
    <row r="1133" spans="1:2" x14ac:dyDescent="0.3">
      <c r="A1133" s="4" t="s">
        <v>177</v>
      </c>
      <c r="B1133">
        <v>81</v>
      </c>
    </row>
    <row r="1134" spans="1:2" x14ac:dyDescent="0.3">
      <c r="A1134" s="4" t="s">
        <v>163</v>
      </c>
      <c r="B1134">
        <v>103</v>
      </c>
    </row>
    <row r="1135" spans="1:2" x14ac:dyDescent="0.3">
      <c r="A1135" s="4" t="s">
        <v>175</v>
      </c>
      <c r="B1135">
        <v>82</v>
      </c>
    </row>
    <row r="1136" spans="1:2" x14ac:dyDescent="0.3">
      <c r="A1136" s="4" t="s">
        <v>142</v>
      </c>
      <c r="B1136">
        <v>77</v>
      </c>
    </row>
    <row r="1137" spans="1:2" x14ac:dyDescent="0.3">
      <c r="A1137" s="4" t="s">
        <v>161</v>
      </c>
      <c r="B1137">
        <v>0</v>
      </c>
    </row>
    <row r="1138" spans="1:2" x14ac:dyDescent="0.3">
      <c r="A1138" s="4" t="s">
        <v>159</v>
      </c>
      <c r="B1138">
        <v>121</v>
      </c>
    </row>
    <row r="1139" spans="1:2" x14ac:dyDescent="0.3">
      <c r="A1139" s="4" t="s">
        <v>182</v>
      </c>
      <c r="B1139">
        <v>158</v>
      </c>
    </row>
    <row r="1140" spans="1:2" x14ac:dyDescent="0.3">
      <c r="A1140" s="4" t="s">
        <v>140</v>
      </c>
      <c r="B1140">
        <v>83</v>
      </c>
    </row>
    <row r="1141" spans="1:2" x14ac:dyDescent="0.3">
      <c r="A1141" s="4" t="s">
        <v>146</v>
      </c>
      <c r="B1141">
        <v>91</v>
      </c>
    </row>
    <row r="1142" spans="1:2" x14ac:dyDescent="0.3">
      <c r="A1142" s="4" t="s">
        <v>165</v>
      </c>
      <c r="B1142">
        <v>99</v>
      </c>
    </row>
    <row r="1143" spans="1:2" x14ac:dyDescent="0.3">
      <c r="A1143" s="4" t="s">
        <v>169</v>
      </c>
      <c r="B1143">
        <v>77</v>
      </c>
    </row>
    <row r="1144" spans="1:2" x14ac:dyDescent="0.3">
      <c r="A1144" s="4" t="s">
        <v>155</v>
      </c>
      <c r="B1144">
        <v>124</v>
      </c>
    </row>
    <row r="1145" spans="1:2" x14ac:dyDescent="0.3">
      <c r="A1145" s="4" t="s">
        <v>89</v>
      </c>
      <c r="B1145">
        <v>84</v>
      </c>
    </row>
    <row r="1146" spans="1:2" x14ac:dyDescent="0.3">
      <c r="A1146" s="4" t="s">
        <v>152</v>
      </c>
      <c r="B1146">
        <v>79</v>
      </c>
    </row>
    <row r="1147" spans="1:2" x14ac:dyDescent="0.3">
      <c r="A1147" s="4" t="s">
        <v>150</v>
      </c>
      <c r="B1147">
        <v>89</v>
      </c>
    </row>
    <row r="1148" spans="1:2" x14ac:dyDescent="0.3">
      <c r="A1148" s="3">
        <v>12841</v>
      </c>
      <c r="B1148">
        <v>38.117647058823529</v>
      </c>
    </row>
    <row r="1149" spans="1:2" x14ac:dyDescent="0.3">
      <c r="A1149" s="4" t="s">
        <v>120</v>
      </c>
      <c r="B1149">
        <v>53</v>
      </c>
    </row>
    <row r="1150" spans="1:2" x14ac:dyDescent="0.3">
      <c r="A1150" s="4" t="s">
        <v>122</v>
      </c>
      <c r="B1150">
        <v>0</v>
      </c>
    </row>
    <row r="1151" spans="1:2" x14ac:dyDescent="0.3">
      <c r="A1151" s="4" t="s">
        <v>128</v>
      </c>
      <c r="B1151">
        <v>49</v>
      </c>
    </row>
    <row r="1152" spans="1:2" x14ac:dyDescent="0.3">
      <c r="A1152" s="4" t="s">
        <v>136</v>
      </c>
      <c r="B1152">
        <v>63</v>
      </c>
    </row>
    <row r="1153" spans="1:2" x14ac:dyDescent="0.3">
      <c r="A1153" s="4" t="s">
        <v>13</v>
      </c>
      <c r="B1153">
        <v>21</v>
      </c>
    </row>
    <row r="1154" spans="1:2" x14ac:dyDescent="0.3">
      <c r="A1154" s="4" t="s">
        <v>126</v>
      </c>
      <c r="B1154">
        <v>48</v>
      </c>
    </row>
    <row r="1155" spans="1:2" x14ac:dyDescent="0.3">
      <c r="A1155" s="4" t="s">
        <v>167</v>
      </c>
      <c r="B1155">
        <v>71</v>
      </c>
    </row>
    <row r="1156" spans="1:2" x14ac:dyDescent="0.3">
      <c r="A1156" s="4" t="s">
        <v>115</v>
      </c>
      <c r="B1156">
        <v>18</v>
      </c>
    </row>
    <row r="1157" spans="1:2" x14ac:dyDescent="0.3">
      <c r="A1157" s="4" t="s">
        <v>124</v>
      </c>
      <c r="B1157">
        <v>36</v>
      </c>
    </row>
    <row r="1158" spans="1:2" x14ac:dyDescent="0.3">
      <c r="A1158" s="4" t="s">
        <v>118</v>
      </c>
      <c r="B1158">
        <v>34</v>
      </c>
    </row>
    <row r="1159" spans="1:2" x14ac:dyDescent="0.3">
      <c r="A1159" s="4" t="s">
        <v>130</v>
      </c>
      <c r="B1159">
        <v>71</v>
      </c>
    </row>
    <row r="1160" spans="1:2" x14ac:dyDescent="0.3">
      <c r="A1160" s="4" t="s">
        <v>161</v>
      </c>
      <c r="B1160">
        <v>0</v>
      </c>
    </row>
    <row r="1161" spans="1:2" x14ac:dyDescent="0.3">
      <c r="A1161" s="4" t="s">
        <v>182</v>
      </c>
      <c r="B1161">
        <v>20</v>
      </c>
    </row>
    <row r="1162" spans="1:2" x14ac:dyDescent="0.3">
      <c r="A1162" s="4" t="s">
        <v>237</v>
      </c>
      <c r="B1162">
        <v>0</v>
      </c>
    </row>
    <row r="1163" spans="1:2" x14ac:dyDescent="0.3">
      <c r="A1163" s="4" t="s">
        <v>165</v>
      </c>
      <c r="B1163">
        <v>71</v>
      </c>
    </row>
    <row r="1164" spans="1:2" x14ac:dyDescent="0.3">
      <c r="A1164" s="4" t="s">
        <v>89</v>
      </c>
      <c r="B1164">
        <v>45</v>
      </c>
    </row>
    <row r="1165" spans="1:2" x14ac:dyDescent="0.3">
      <c r="A1165" s="4" t="s">
        <v>152</v>
      </c>
      <c r="B1165">
        <v>48</v>
      </c>
    </row>
    <row r="1166" spans="1:2" x14ac:dyDescent="0.3">
      <c r="A1166" s="3">
        <v>12842</v>
      </c>
      <c r="B1166">
        <v>61.888888888888886</v>
      </c>
    </row>
    <row r="1167" spans="1:2" x14ac:dyDescent="0.3">
      <c r="A1167" s="4" t="s">
        <v>120</v>
      </c>
      <c r="B1167">
        <v>58</v>
      </c>
    </row>
    <row r="1168" spans="1:2" x14ac:dyDescent="0.3">
      <c r="A1168" s="4" t="s">
        <v>122</v>
      </c>
      <c r="B1168">
        <v>45</v>
      </c>
    </row>
    <row r="1169" spans="1:2" x14ac:dyDescent="0.3">
      <c r="A1169" s="4" t="s">
        <v>128</v>
      </c>
      <c r="B1169">
        <v>77</v>
      </c>
    </row>
    <row r="1170" spans="1:2" x14ac:dyDescent="0.3">
      <c r="A1170" s="4" t="s">
        <v>136</v>
      </c>
      <c r="B1170">
        <v>0</v>
      </c>
    </row>
    <row r="1171" spans="1:2" x14ac:dyDescent="0.3">
      <c r="A1171" s="4" t="s">
        <v>13</v>
      </c>
      <c r="B1171">
        <v>31</v>
      </c>
    </row>
    <row r="1172" spans="1:2" x14ac:dyDescent="0.3">
      <c r="A1172" s="4" t="s">
        <v>126</v>
      </c>
      <c r="B1172">
        <v>80</v>
      </c>
    </row>
    <row r="1173" spans="1:2" x14ac:dyDescent="0.3">
      <c r="A1173" s="4" t="s">
        <v>167</v>
      </c>
      <c r="B1173">
        <v>68</v>
      </c>
    </row>
    <row r="1174" spans="1:2" x14ac:dyDescent="0.3">
      <c r="A1174" s="4" t="s">
        <v>115</v>
      </c>
      <c r="B1174">
        <v>63</v>
      </c>
    </row>
    <row r="1175" spans="1:2" x14ac:dyDescent="0.3">
      <c r="A1175" s="4" t="s">
        <v>124</v>
      </c>
      <c r="B1175">
        <v>104</v>
      </c>
    </row>
    <row r="1176" spans="1:2" x14ac:dyDescent="0.3">
      <c r="A1176" s="4" t="s">
        <v>118</v>
      </c>
      <c r="B1176">
        <v>89</v>
      </c>
    </row>
    <row r="1177" spans="1:2" x14ac:dyDescent="0.3">
      <c r="A1177" s="4" t="s">
        <v>130</v>
      </c>
      <c r="B1177">
        <v>79</v>
      </c>
    </row>
    <row r="1178" spans="1:2" x14ac:dyDescent="0.3">
      <c r="A1178" s="4" t="s">
        <v>175</v>
      </c>
      <c r="B1178">
        <v>50</v>
      </c>
    </row>
    <row r="1179" spans="1:2" x14ac:dyDescent="0.3">
      <c r="A1179" s="4" t="s">
        <v>161</v>
      </c>
      <c r="B1179">
        <v>100</v>
      </c>
    </row>
    <row r="1180" spans="1:2" x14ac:dyDescent="0.3">
      <c r="A1180" s="4" t="s">
        <v>182</v>
      </c>
      <c r="B1180">
        <v>51</v>
      </c>
    </row>
    <row r="1181" spans="1:2" x14ac:dyDescent="0.3">
      <c r="A1181" s="4" t="s">
        <v>237</v>
      </c>
      <c r="B1181">
        <v>53</v>
      </c>
    </row>
    <row r="1182" spans="1:2" x14ac:dyDescent="0.3">
      <c r="A1182" s="4" t="s">
        <v>165</v>
      </c>
      <c r="B1182">
        <v>75</v>
      </c>
    </row>
    <row r="1183" spans="1:2" x14ac:dyDescent="0.3">
      <c r="A1183" s="4" t="s">
        <v>89</v>
      </c>
      <c r="B1183">
        <v>56</v>
      </c>
    </row>
    <row r="1184" spans="1:2" x14ac:dyDescent="0.3">
      <c r="A1184" s="4" t="s">
        <v>152</v>
      </c>
      <c r="B1184">
        <v>35</v>
      </c>
    </row>
    <row r="1185" spans="1:2" x14ac:dyDescent="0.3">
      <c r="A1185" s="3">
        <v>12903</v>
      </c>
      <c r="B1185">
        <v>37.588235294117645</v>
      </c>
    </row>
    <row r="1186" spans="1:2" x14ac:dyDescent="0.3">
      <c r="A1186" s="4" t="s">
        <v>369</v>
      </c>
      <c r="B1186">
        <v>49</v>
      </c>
    </row>
    <row r="1187" spans="1:2" x14ac:dyDescent="0.3">
      <c r="A1187" s="4" t="s">
        <v>376</v>
      </c>
      <c r="B1187">
        <v>39</v>
      </c>
    </row>
    <row r="1188" spans="1:2" x14ac:dyDescent="0.3">
      <c r="A1188" s="4" t="s">
        <v>328</v>
      </c>
      <c r="B1188">
        <v>0</v>
      </c>
    </row>
    <row r="1189" spans="1:2" x14ac:dyDescent="0.3">
      <c r="A1189" s="4" t="s">
        <v>351</v>
      </c>
      <c r="B1189">
        <v>46</v>
      </c>
    </row>
    <row r="1190" spans="1:2" x14ac:dyDescent="0.3">
      <c r="A1190" s="4" t="s">
        <v>374</v>
      </c>
      <c r="B1190">
        <v>45</v>
      </c>
    </row>
    <row r="1191" spans="1:2" x14ac:dyDescent="0.3">
      <c r="A1191" s="4" t="s">
        <v>353</v>
      </c>
      <c r="B1191">
        <v>50</v>
      </c>
    </row>
    <row r="1192" spans="1:2" x14ac:dyDescent="0.3">
      <c r="A1192" s="4" t="s">
        <v>339</v>
      </c>
      <c r="B1192">
        <v>26</v>
      </c>
    </row>
    <row r="1193" spans="1:2" x14ac:dyDescent="0.3">
      <c r="A1193" s="4" t="s">
        <v>291</v>
      </c>
      <c r="B1193">
        <v>0</v>
      </c>
    </row>
    <row r="1194" spans="1:2" x14ac:dyDescent="0.3">
      <c r="A1194" s="4" t="s">
        <v>333</v>
      </c>
      <c r="B1194">
        <v>33</v>
      </c>
    </row>
    <row r="1195" spans="1:2" x14ac:dyDescent="0.3">
      <c r="A1195" s="4" t="s">
        <v>282</v>
      </c>
      <c r="B1195">
        <v>37</v>
      </c>
    </row>
    <row r="1196" spans="1:2" x14ac:dyDescent="0.3">
      <c r="A1196" s="4" t="s">
        <v>345</v>
      </c>
      <c r="B1196">
        <v>49</v>
      </c>
    </row>
    <row r="1197" spans="1:2" x14ac:dyDescent="0.3">
      <c r="A1197" s="4" t="s">
        <v>355</v>
      </c>
      <c r="B1197">
        <v>53</v>
      </c>
    </row>
    <row r="1198" spans="1:2" x14ac:dyDescent="0.3">
      <c r="A1198" s="4" t="s">
        <v>331</v>
      </c>
      <c r="B1198">
        <v>28</v>
      </c>
    </row>
    <row r="1199" spans="1:2" x14ac:dyDescent="0.3">
      <c r="A1199" s="4" t="s">
        <v>109</v>
      </c>
      <c r="B1199">
        <v>0</v>
      </c>
    </row>
    <row r="1200" spans="1:2" x14ac:dyDescent="0.3">
      <c r="A1200" s="4" t="s">
        <v>349</v>
      </c>
      <c r="B1200">
        <v>48</v>
      </c>
    </row>
    <row r="1201" spans="1:2" x14ac:dyDescent="0.3">
      <c r="A1201" s="4" t="s">
        <v>373</v>
      </c>
      <c r="B1201">
        <v>44</v>
      </c>
    </row>
    <row r="1202" spans="1:2" x14ac:dyDescent="0.3">
      <c r="A1202" s="4" t="s">
        <v>301</v>
      </c>
      <c r="B1202">
        <v>34</v>
      </c>
    </row>
    <row r="1203" spans="1:2" x14ac:dyDescent="0.3">
      <c r="A1203" s="4" t="s">
        <v>371</v>
      </c>
      <c r="B1203">
        <v>51</v>
      </c>
    </row>
    <row r="1204" spans="1:2" x14ac:dyDescent="0.3">
      <c r="A1204" s="4" t="s">
        <v>280</v>
      </c>
      <c r="B1204">
        <v>37</v>
      </c>
    </row>
    <row r="1205" spans="1:2" x14ac:dyDescent="0.3">
      <c r="A1205" s="4" t="s">
        <v>359</v>
      </c>
      <c r="B1205">
        <v>60</v>
      </c>
    </row>
    <row r="1206" spans="1:2" x14ac:dyDescent="0.3">
      <c r="A1206" s="4" t="s">
        <v>357</v>
      </c>
      <c r="B1206">
        <v>57</v>
      </c>
    </row>
    <row r="1207" spans="1:2" x14ac:dyDescent="0.3">
      <c r="A1207" s="4" t="s">
        <v>335</v>
      </c>
      <c r="B1207">
        <v>34</v>
      </c>
    </row>
    <row r="1208" spans="1:2" x14ac:dyDescent="0.3">
      <c r="A1208" s="4" t="s">
        <v>363</v>
      </c>
      <c r="B1208">
        <v>63</v>
      </c>
    </row>
    <row r="1209" spans="1:2" x14ac:dyDescent="0.3">
      <c r="A1209" s="4" t="s">
        <v>299</v>
      </c>
      <c r="B1209">
        <v>20</v>
      </c>
    </row>
    <row r="1210" spans="1:2" x14ac:dyDescent="0.3">
      <c r="A1210" s="4" t="s">
        <v>341</v>
      </c>
      <c r="B1210">
        <v>30</v>
      </c>
    </row>
    <row r="1211" spans="1:2" x14ac:dyDescent="0.3">
      <c r="A1211" s="4" t="s">
        <v>297</v>
      </c>
      <c r="B1211">
        <v>25</v>
      </c>
    </row>
    <row r="1212" spans="1:2" x14ac:dyDescent="0.3">
      <c r="A1212" s="4" t="s">
        <v>365</v>
      </c>
      <c r="B1212">
        <v>43</v>
      </c>
    </row>
    <row r="1213" spans="1:2" x14ac:dyDescent="0.3">
      <c r="A1213" s="4" t="s">
        <v>361</v>
      </c>
      <c r="B1213">
        <v>61</v>
      </c>
    </row>
    <row r="1214" spans="1:2" x14ac:dyDescent="0.3">
      <c r="A1214" s="4" t="s">
        <v>343</v>
      </c>
      <c r="B1214">
        <v>42</v>
      </c>
    </row>
    <row r="1215" spans="1:2" x14ac:dyDescent="0.3">
      <c r="A1215" s="4" t="s">
        <v>337</v>
      </c>
      <c r="B1215">
        <v>24</v>
      </c>
    </row>
    <row r="1216" spans="1:2" x14ac:dyDescent="0.3">
      <c r="A1216" s="4" t="s">
        <v>347</v>
      </c>
      <c r="B1216">
        <v>51</v>
      </c>
    </row>
    <row r="1217" spans="1:2" x14ac:dyDescent="0.3">
      <c r="A1217" s="4" t="s">
        <v>293</v>
      </c>
      <c r="B1217">
        <v>25</v>
      </c>
    </row>
    <row r="1218" spans="1:2" x14ac:dyDescent="0.3">
      <c r="A1218" s="4" t="s">
        <v>295</v>
      </c>
      <c r="B1218">
        <v>30</v>
      </c>
    </row>
    <row r="1219" spans="1:2" x14ac:dyDescent="0.3">
      <c r="A1219" s="4" t="s">
        <v>367</v>
      </c>
      <c r="B1219">
        <v>44</v>
      </c>
    </row>
    <row r="1220" spans="1:2" x14ac:dyDescent="0.3">
      <c r="A1220" s="3">
        <v>12904</v>
      </c>
      <c r="B1220">
        <v>20.705882352941178</v>
      </c>
    </row>
    <row r="1221" spans="1:2" x14ac:dyDescent="0.3">
      <c r="A1221" s="4" t="s">
        <v>369</v>
      </c>
      <c r="B1221">
        <v>9</v>
      </c>
    </row>
    <row r="1222" spans="1:2" x14ac:dyDescent="0.3">
      <c r="A1222" s="4" t="s">
        <v>376</v>
      </c>
      <c r="B1222">
        <v>2</v>
      </c>
    </row>
    <row r="1223" spans="1:2" x14ac:dyDescent="0.3">
      <c r="A1223" s="4" t="s">
        <v>328</v>
      </c>
      <c r="B1223">
        <v>0</v>
      </c>
    </row>
    <row r="1224" spans="1:2" x14ac:dyDescent="0.3">
      <c r="A1224" s="4" t="s">
        <v>351</v>
      </c>
      <c r="B1224">
        <v>35</v>
      </c>
    </row>
    <row r="1225" spans="1:2" x14ac:dyDescent="0.3">
      <c r="A1225" s="4" t="s">
        <v>374</v>
      </c>
      <c r="B1225">
        <v>13</v>
      </c>
    </row>
    <row r="1226" spans="1:2" x14ac:dyDescent="0.3">
      <c r="A1226" s="4" t="s">
        <v>353</v>
      </c>
      <c r="B1226">
        <v>28</v>
      </c>
    </row>
    <row r="1227" spans="1:2" x14ac:dyDescent="0.3">
      <c r="A1227" s="4" t="s">
        <v>339</v>
      </c>
      <c r="B1227">
        <v>38</v>
      </c>
    </row>
    <row r="1228" spans="1:2" x14ac:dyDescent="0.3">
      <c r="A1228" s="4" t="s">
        <v>291</v>
      </c>
      <c r="B1228">
        <v>27</v>
      </c>
    </row>
    <row r="1229" spans="1:2" x14ac:dyDescent="0.3">
      <c r="A1229" s="4" t="s">
        <v>333</v>
      </c>
      <c r="B1229">
        <v>39</v>
      </c>
    </row>
    <row r="1230" spans="1:2" x14ac:dyDescent="0.3">
      <c r="A1230" s="4" t="s">
        <v>282</v>
      </c>
      <c r="B1230">
        <v>31</v>
      </c>
    </row>
    <row r="1231" spans="1:2" x14ac:dyDescent="0.3">
      <c r="A1231" s="4" t="s">
        <v>345</v>
      </c>
      <c r="B1231">
        <v>34</v>
      </c>
    </row>
    <row r="1232" spans="1:2" x14ac:dyDescent="0.3">
      <c r="A1232" s="4" t="s">
        <v>355</v>
      </c>
      <c r="B1232">
        <v>22</v>
      </c>
    </row>
    <row r="1233" spans="1:2" x14ac:dyDescent="0.3">
      <c r="A1233" s="4" t="s">
        <v>331</v>
      </c>
      <c r="B1233">
        <v>0</v>
      </c>
    </row>
    <row r="1234" spans="1:2" x14ac:dyDescent="0.3">
      <c r="A1234" s="4" t="s">
        <v>109</v>
      </c>
      <c r="B1234">
        <v>17</v>
      </c>
    </row>
    <row r="1235" spans="1:2" x14ac:dyDescent="0.3">
      <c r="A1235" s="4" t="s">
        <v>349</v>
      </c>
      <c r="B1235">
        <v>35</v>
      </c>
    </row>
    <row r="1236" spans="1:2" x14ac:dyDescent="0.3">
      <c r="A1236" s="4" t="s">
        <v>373</v>
      </c>
      <c r="B1236">
        <v>9</v>
      </c>
    </row>
    <row r="1237" spans="1:2" x14ac:dyDescent="0.3">
      <c r="A1237" s="4" t="s">
        <v>301</v>
      </c>
      <c r="B1237">
        <v>32</v>
      </c>
    </row>
    <row r="1238" spans="1:2" x14ac:dyDescent="0.3">
      <c r="A1238" s="4" t="s">
        <v>371</v>
      </c>
      <c r="B1238">
        <v>13</v>
      </c>
    </row>
    <row r="1239" spans="1:2" x14ac:dyDescent="0.3">
      <c r="A1239" s="4" t="s">
        <v>280</v>
      </c>
      <c r="B1239">
        <v>27</v>
      </c>
    </row>
    <row r="1240" spans="1:2" x14ac:dyDescent="0.3">
      <c r="A1240" s="4" t="s">
        <v>359</v>
      </c>
      <c r="B1240">
        <v>13</v>
      </c>
    </row>
    <row r="1241" spans="1:2" x14ac:dyDescent="0.3">
      <c r="A1241" s="4" t="s">
        <v>357</v>
      </c>
      <c r="B1241">
        <v>16</v>
      </c>
    </row>
    <row r="1242" spans="1:2" x14ac:dyDescent="0.3">
      <c r="A1242" s="4" t="s">
        <v>335</v>
      </c>
      <c r="B1242">
        <v>37</v>
      </c>
    </row>
    <row r="1243" spans="1:2" x14ac:dyDescent="0.3">
      <c r="A1243" s="4" t="s">
        <v>363</v>
      </c>
      <c r="B1243">
        <v>9</v>
      </c>
    </row>
    <row r="1244" spans="1:2" x14ac:dyDescent="0.3">
      <c r="A1244" s="4" t="s">
        <v>299</v>
      </c>
      <c r="B1244">
        <v>0</v>
      </c>
    </row>
    <row r="1245" spans="1:2" x14ac:dyDescent="0.3">
      <c r="A1245" s="4" t="s">
        <v>341</v>
      </c>
      <c r="B1245">
        <v>35</v>
      </c>
    </row>
    <row r="1246" spans="1:2" x14ac:dyDescent="0.3">
      <c r="A1246" s="4" t="s">
        <v>297</v>
      </c>
      <c r="B1246">
        <v>0</v>
      </c>
    </row>
    <row r="1247" spans="1:2" x14ac:dyDescent="0.3">
      <c r="A1247" s="4" t="s">
        <v>365</v>
      </c>
      <c r="B1247">
        <v>9</v>
      </c>
    </row>
    <row r="1248" spans="1:2" x14ac:dyDescent="0.3">
      <c r="A1248" s="4" t="s">
        <v>361</v>
      </c>
      <c r="B1248">
        <v>0</v>
      </c>
    </row>
    <row r="1249" spans="1:2" x14ac:dyDescent="0.3">
      <c r="A1249" s="4" t="s">
        <v>343</v>
      </c>
      <c r="B1249">
        <v>35</v>
      </c>
    </row>
    <row r="1250" spans="1:2" x14ac:dyDescent="0.3">
      <c r="A1250" s="4" t="s">
        <v>337</v>
      </c>
      <c r="B1250">
        <v>44</v>
      </c>
    </row>
    <row r="1251" spans="1:2" x14ac:dyDescent="0.3">
      <c r="A1251" s="4" t="s">
        <v>347</v>
      </c>
      <c r="B1251">
        <v>36</v>
      </c>
    </row>
    <row r="1252" spans="1:2" x14ac:dyDescent="0.3">
      <c r="A1252" s="4" t="s">
        <v>293</v>
      </c>
      <c r="B1252">
        <v>22</v>
      </c>
    </row>
    <row r="1253" spans="1:2" x14ac:dyDescent="0.3">
      <c r="A1253" s="4" t="s">
        <v>295</v>
      </c>
      <c r="B1253">
        <v>23</v>
      </c>
    </row>
    <row r="1254" spans="1:2" x14ac:dyDescent="0.3">
      <c r="A1254" s="4" t="s">
        <v>367</v>
      </c>
      <c r="B1254">
        <v>14</v>
      </c>
    </row>
    <row r="1255" spans="1:2" x14ac:dyDescent="0.3">
      <c r="A1255" s="3">
        <v>12925</v>
      </c>
      <c r="B1255">
        <v>14.204545454545455</v>
      </c>
    </row>
    <row r="1256" spans="1:2" x14ac:dyDescent="0.3">
      <c r="A1256" s="4" t="s">
        <v>369</v>
      </c>
      <c r="B1256">
        <v>13</v>
      </c>
    </row>
    <row r="1257" spans="1:2" x14ac:dyDescent="0.3">
      <c r="A1257" s="4" t="s">
        <v>376</v>
      </c>
      <c r="B1257">
        <v>16</v>
      </c>
    </row>
    <row r="1258" spans="1:2" x14ac:dyDescent="0.3">
      <c r="A1258" s="4" t="s">
        <v>328</v>
      </c>
      <c r="B1258">
        <v>1</v>
      </c>
    </row>
    <row r="1259" spans="1:2" x14ac:dyDescent="0.3">
      <c r="A1259" s="4" t="s">
        <v>351</v>
      </c>
      <c r="B1259">
        <v>18</v>
      </c>
    </row>
    <row r="1260" spans="1:2" x14ac:dyDescent="0.3">
      <c r="A1260" s="4" t="s">
        <v>374</v>
      </c>
      <c r="B1260">
        <v>19</v>
      </c>
    </row>
    <row r="1261" spans="1:2" x14ac:dyDescent="0.3">
      <c r="A1261" s="4" t="s">
        <v>353</v>
      </c>
      <c r="B1261">
        <v>19</v>
      </c>
    </row>
    <row r="1262" spans="1:2" x14ac:dyDescent="0.3">
      <c r="A1262" s="4" t="s">
        <v>525</v>
      </c>
      <c r="B1262">
        <v>15</v>
      </c>
    </row>
    <row r="1263" spans="1:2" x14ac:dyDescent="0.3">
      <c r="A1263" s="4" t="s">
        <v>533</v>
      </c>
      <c r="B1263">
        <v>35</v>
      </c>
    </row>
    <row r="1264" spans="1:2" x14ac:dyDescent="0.3">
      <c r="A1264" s="4" t="s">
        <v>291</v>
      </c>
      <c r="B1264">
        <v>16</v>
      </c>
    </row>
    <row r="1265" spans="1:2" x14ac:dyDescent="0.3">
      <c r="A1265" s="4" t="s">
        <v>541</v>
      </c>
      <c r="B1265">
        <v>15</v>
      </c>
    </row>
    <row r="1266" spans="1:2" x14ac:dyDescent="0.3">
      <c r="A1266" s="4" t="s">
        <v>518</v>
      </c>
      <c r="B1266">
        <v>19</v>
      </c>
    </row>
    <row r="1267" spans="1:2" x14ac:dyDescent="0.3">
      <c r="A1267" s="4" t="s">
        <v>333</v>
      </c>
      <c r="B1267">
        <v>0</v>
      </c>
    </row>
    <row r="1268" spans="1:2" x14ac:dyDescent="0.3">
      <c r="A1268" s="4" t="s">
        <v>282</v>
      </c>
      <c r="B1268">
        <v>0</v>
      </c>
    </row>
    <row r="1269" spans="1:2" x14ac:dyDescent="0.3">
      <c r="A1269" s="4" t="s">
        <v>345</v>
      </c>
      <c r="B1269">
        <v>13</v>
      </c>
    </row>
    <row r="1270" spans="1:2" x14ac:dyDescent="0.3">
      <c r="A1270" s="4" t="s">
        <v>331</v>
      </c>
      <c r="B1270">
        <v>0</v>
      </c>
    </row>
    <row r="1271" spans="1:2" x14ac:dyDescent="0.3">
      <c r="A1271" s="4" t="s">
        <v>109</v>
      </c>
      <c r="B1271">
        <v>17</v>
      </c>
    </row>
    <row r="1272" spans="1:2" x14ac:dyDescent="0.3">
      <c r="A1272" s="4" t="s">
        <v>349</v>
      </c>
      <c r="B1272">
        <v>17</v>
      </c>
    </row>
    <row r="1273" spans="1:2" x14ac:dyDescent="0.3">
      <c r="A1273" s="4" t="s">
        <v>547</v>
      </c>
      <c r="B1273">
        <v>20</v>
      </c>
    </row>
    <row r="1274" spans="1:2" x14ac:dyDescent="0.3">
      <c r="A1274" s="4" t="s">
        <v>373</v>
      </c>
      <c r="B1274">
        <v>19</v>
      </c>
    </row>
    <row r="1275" spans="1:2" x14ac:dyDescent="0.3">
      <c r="A1275" s="4" t="s">
        <v>537</v>
      </c>
      <c r="B1275">
        <v>33</v>
      </c>
    </row>
    <row r="1276" spans="1:2" x14ac:dyDescent="0.3">
      <c r="A1276" s="4" t="s">
        <v>527</v>
      </c>
      <c r="B1276">
        <v>13</v>
      </c>
    </row>
    <row r="1277" spans="1:2" x14ac:dyDescent="0.3">
      <c r="A1277" s="4" t="s">
        <v>301</v>
      </c>
      <c r="B1277">
        <v>11</v>
      </c>
    </row>
    <row r="1278" spans="1:2" x14ac:dyDescent="0.3">
      <c r="A1278" s="4" t="s">
        <v>539</v>
      </c>
      <c r="B1278">
        <v>38</v>
      </c>
    </row>
    <row r="1279" spans="1:2" x14ac:dyDescent="0.3">
      <c r="A1279" s="4" t="s">
        <v>371</v>
      </c>
      <c r="B1279">
        <v>14</v>
      </c>
    </row>
    <row r="1280" spans="1:2" x14ac:dyDescent="0.3">
      <c r="A1280" s="4" t="s">
        <v>280</v>
      </c>
      <c r="B1280">
        <v>10</v>
      </c>
    </row>
    <row r="1281" spans="1:2" x14ac:dyDescent="0.3">
      <c r="A1281" s="4" t="s">
        <v>335</v>
      </c>
      <c r="B1281">
        <v>12</v>
      </c>
    </row>
    <row r="1282" spans="1:2" x14ac:dyDescent="0.3">
      <c r="A1282" s="4" t="s">
        <v>288</v>
      </c>
      <c r="B1282">
        <v>4</v>
      </c>
    </row>
    <row r="1283" spans="1:2" x14ac:dyDescent="0.3">
      <c r="A1283" s="4" t="s">
        <v>299</v>
      </c>
      <c r="B1283">
        <v>7</v>
      </c>
    </row>
    <row r="1284" spans="1:2" x14ac:dyDescent="0.3">
      <c r="A1284" s="4" t="s">
        <v>523</v>
      </c>
      <c r="B1284">
        <v>0</v>
      </c>
    </row>
    <row r="1285" spans="1:2" x14ac:dyDescent="0.3">
      <c r="A1285" s="4" t="s">
        <v>111</v>
      </c>
      <c r="B1285">
        <v>13</v>
      </c>
    </row>
    <row r="1286" spans="1:2" x14ac:dyDescent="0.3">
      <c r="A1286" s="4" t="s">
        <v>535</v>
      </c>
      <c r="B1286">
        <v>27</v>
      </c>
    </row>
    <row r="1287" spans="1:2" x14ac:dyDescent="0.3">
      <c r="A1287" s="4" t="s">
        <v>545</v>
      </c>
      <c r="B1287">
        <v>19</v>
      </c>
    </row>
    <row r="1288" spans="1:2" x14ac:dyDescent="0.3">
      <c r="A1288" s="4" t="s">
        <v>341</v>
      </c>
      <c r="B1288">
        <v>10</v>
      </c>
    </row>
    <row r="1289" spans="1:2" x14ac:dyDescent="0.3">
      <c r="A1289" s="4" t="s">
        <v>297</v>
      </c>
      <c r="B1289">
        <v>13</v>
      </c>
    </row>
    <row r="1290" spans="1:2" x14ac:dyDescent="0.3">
      <c r="A1290" s="4" t="s">
        <v>543</v>
      </c>
      <c r="B1290">
        <v>22</v>
      </c>
    </row>
    <row r="1291" spans="1:2" x14ac:dyDescent="0.3">
      <c r="A1291" s="4" t="s">
        <v>343</v>
      </c>
      <c r="B1291">
        <v>22</v>
      </c>
    </row>
    <row r="1292" spans="1:2" x14ac:dyDescent="0.3">
      <c r="A1292" s="4" t="s">
        <v>337</v>
      </c>
      <c r="B1292">
        <v>0</v>
      </c>
    </row>
    <row r="1293" spans="1:2" x14ac:dyDescent="0.3">
      <c r="A1293" s="4" t="s">
        <v>347</v>
      </c>
      <c r="B1293">
        <v>0</v>
      </c>
    </row>
    <row r="1294" spans="1:2" x14ac:dyDescent="0.3">
      <c r="A1294" s="4" t="s">
        <v>531</v>
      </c>
      <c r="B1294">
        <v>21</v>
      </c>
    </row>
    <row r="1295" spans="1:2" x14ac:dyDescent="0.3">
      <c r="A1295" s="4" t="s">
        <v>529</v>
      </c>
      <c r="B1295">
        <v>0</v>
      </c>
    </row>
    <row r="1296" spans="1:2" x14ac:dyDescent="0.3">
      <c r="A1296" s="4" t="s">
        <v>293</v>
      </c>
      <c r="B1296">
        <v>10</v>
      </c>
    </row>
    <row r="1297" spans="1:2" x14ac:dyDescent="0.3">
      <c r="A1297" s="4" t="s">
        <v>295</v>
      </c>
      <c r="B1297">
        <v>0</v>
      </c>
    </row>
    <row r="1298" spans="1:2" x14ac:dyDescent="0.3">
      <c r="A1298" s="4" t="s">
        <v>521</v>
      </c>
      <c r="B1298">
        <v>30</v>
      </c>
    </row>
    <row r="1299" spans="1:2" x14ac:dyDescent="0.3">
      <c r="A1299" s="4" t="s">
        <v>519</v>
      </c>
      <c r="B1299">
        <v>24</v>
      </c>
    </row>
    <row r="1300" spans="1:2" x14ac:dyDescent="0.3">
      <c r="A1300" s="3">
        <v>12926</v>
      </c>
      <c r="B1300">
        <v>18.441860465116278</v>
      </c>
    </row>
    <row r="1301" spans="1:2" x14ac:dyDescent="0.3">
      <c r="A1301" s="4" t="s">
        <v>369</v>
      </c>
      <c r="B1301">
        <v>11</v>
      </c>
    </row>
    <row r="1302" spans="1:2" x14ac:dyDescent="0.3">
      <c r="A1302" s="4" t="s">
        <v>376</v>
      </c>
      <c r="B1302">
        <v>9</v>
      </c>
    </row>
    <row r="1303" spans="1:2" x14ac:dyDescent="0.3">
      <c r="A1303" s="4" t="s">
        <v>328</v>
      </c>
      <c r="B1303">
        <v>5</v>
      </c>
    </row>
    <row r="1304" spans="1:2" x14ac:dyDescent="0.3">
      <c r="A1304" s="4" t="s">
        <v>351</v>
      </c>
      <c r="B1304">
        <v>18</v>
      </c>
    </row>
    <row r="1305" spans="1:2" x14ac:dyDescent="0.3">
      <c r="A1305" s="4" t="s">
        <v>374</v>
      </c>
      <c r="B1305">
        <v>22</v>
      </c>
    </row>
    <row r="1306" spans="1:2" x14ac:dyDescent="0.3">
      <c r="A1306" s="4" t="s">
        <v>353</v>
      </c>
      <c r="B1306">
        <v>0</v>
      </c>
    </row>
    <row r="1307" spans="1:2" x14ac:dyDescent="0.3">
      <c r="A1307" s="4" t="s">
        <v>525</v>
      </c>
      <c r="B1307">
        <v>18</v>
      </c>
    </row>
    <row r="1308" spans="1:2" x14ac:dyDescent="0.3">
      <c r="A1308" s="4" t="s">
        <v>533</v>
      </c>
      <c r="B1308">
        <v>19</v>
      </c>
    </row>
    <row r="1309" spans="1:2" x14ac:dyDescent="0.3">
      <c r="A1309" s="4" t="s">
        <v>291</v>
      </c>
      <c r="B1309">
        <v>29</v>
      </c>
    </row>
    <row r="1310" spans="1:2" x14ac:dyDescent="0.3">
      <c r="A1310" s="4" t="s">
        <v>541</v>
      </c>
      <c r="B1310">
        <v>11</v>
      </c>
    </row>
    <row r="1311" spans="1:2" x14ac:dyDescent="0.3">
      <c r="A1311" s="4" t="s">
        <v>518</v>
      </c>
      <c r="B1311">
        <v>28</v>
      </c>
    </row>
    <row r="1312" spans="1:2" x14ac:dyDescent="0.3">
      <c r="A1312" s="4" t="s">
        <v>333</v>
      </c>
      <c r="B1312">
        <v>18</v>
      </c>
    </row>
    <row r="1313" spans="1:2" x14ac:dyDescent="0.3">
      <c r="A1313" s="4" t="s">
        <v>282</v>
      </c>
      <c r="B1313">
        <v>48</v>
      </c>
    </row>
    <row r="1314" spans="1:2" x14ac:dyDescent="0.3">
      <c r="A1314" s="4" t="s">
        <v>345</v>
      </c>
      <c r="B1314">
        <v>22</v>
      </c>
    </row>
    <row r="1315" spans="1:2" x14ac:dyDescent="0.3">
      <c r="A1315" s="4" t="s">
        <v>331</v>
      </c>
      <c r="B1315">
        <v>14</v>
      </c>
    </row>
    <row r="1316" spans="1:2" x14ac:dyDescent="0.3">
      <c r="A1316" s="4" t="s">
        <v>349</v>
      </c>
      <c r="B1316">
        <v>0</v>
      </c>
    </row>
    <row r="1317" spans="1:2" x14ac:dyDescent="0.3">
      <c r="A1317" s="4" t="s">
        <v>547</v>
      </c>
      <c r="B1317">
        <v>20</v>
      </c>
    </row>
    <row r="1318" spans="1:2" x14ac:dyDescent="0.3">
      <c r="A1318" s="4" t="s">
        <v>373</v>
      </c>
      <c r="B1318">
        <v>17</v>
      </c>
    </row>
    <row r="1319" spans="1:2" x14ac:dyDescent="0.3">
      <c r="A1319" s="4" t="s">
        <v>537</v>
      </c>
      <c r="B1319">
        <v>22</v>
      </c>
    </row>
    <row r="1320" spans="1:2" x14ac:dyDescent="0.3">
      <c r="A1320" s="4" t="s">
        <v>527</v>
      </c>
      <c r="B1320">
        <v>17</v>
      </c>
    </row>
    <row r="1321" spans="1:2" x14ac:dyDescent="0.3">
      <c r="A1321" s="4" t="s">
        <v>301</v>
      </c>
      <c r="B1321">
        <v>29</v>
      </c>
    </row>
    <row r="1322" spans="1:2" x14ac:dyDescent="0.3">
      <c r="A1322" s="4" t="s">
        <v>539</v>
      </c>
      <c r="B1322">
        <v>20</v>
      </c>
    </row>
    <row r="1323" spans="1:2" x14ac:dyDescent="0.3">
      <c r="A1323" s="4" t="s">
        <v>371</v>
      </c>
      <c r="B1323">
        <v>22</v>
      </c>
    </row>
    <row r="1324" spans="1:2" x14ac:dyDescent="0.3">
      <c r="A1324" s="4" t="s">
        <v>280</v>
      </c>
      <c r="B1324">
        <v>18</v>
      </c>
    </row>
    <row r="1325" spans="1:2" x14ac:dyDescent="0.3">
      <c r="A1325" s="4" t="s">
        <v>335</v>
      </c>
      <c r="B1325">
        <v>18</v>
      </c>
    </row>
    <row r="1326" spans="1:2" x14ac:dyDescent="0.3">
      <c r="A1326" s="4" t="s">
        <v>288</v>
      </c>
      <c r="B1326">
        <v>16</v>
      </c>
    </row>
    <row r="1327" spans="1:2" x14ac:dyDescent="0.3">
      <c r="A1327" s="4" t="s">
        <v>299</v>
      </c>
      <c r="B1327">
        <v>13</v>
      </c>
    </row>
    <row r="1328" spans="1:2" x14ac:dyDescent="0.3">
      <c r="A1328" s="4" t="s">
        <v>523</v>
      </c>
      <c r="B1328">
        <v>17</v>
      </c>
    </row>
    <row r="1329" spans="1:2" x14ac:dyDescent="0.3">
      <c r="A1329" s="4" t="s">
        <v>111</v>
      </c>
      <c r="B1329">
        <v>21</v>
      </c>
    </row>
    <row r="1330" spans="1:2" x14ac:dyDescent="0.3">
      <c r="A1330" s="4" t="s">
        <v>535</v>
      </c>
      <c r="B1330">
        <v>25</v>
      </c>
    </row>
    <row r="1331" spans="1:2" x14ac:dyDescent="0.3">
      <c r="A1331" s="4" t="s">
        <v>545</v>
      </c>
      <c r="B1331">
        <v>0</v>
      </c>
    </row>
    <row r="1332" spans="1:2" x14ac:dyDescent="0.3">
      <c r="A1332" s="4" t="s">
        <v>341</v>
      </c>
      <c r="B1332">
        <v>29</v>
      </c>
    </row>
    <row r="1333" spans="1:2" x14ac:dyDescent="0.3">
      <c r="A1333" s="4" t="s">
        <v>297</v>
      </c>
      <c r="B1333">
        <v>15</v>
      </c>
    </row>
    <row r="1334" spans="1:2" x14ac:dyDescent="0.3">
      <c r="A1334" s="4" t="s">
        <v>543</v>
      </c>
      <c r="B1334">
        <v>12</v>
      </c>
    </row>
    <row r="1335" spans="1:2" x14ac:dyDescent="0.3">
      <c r="A1335" s="4" t="s">
        <v>343</v>
      </c>
      <c r="B1335">
        <v>24</v>
      </c>
    </row>
    <row r="1336" spans="1:2" x14ac:dyDescent="0.3">
      <c r="A1336" s="4" t="s">
        <v>337</v>
      </c>
      <c r="B1336">
        <v>26</v>
      </c>
    </row>
    <row r="1337" spans="1:2" x14ac:dyDescent="0.3">
      <c r="A1337" s="4" t="s">
        <v>347</v>
      </c>
      <c r="B1337">
        <v>14</v>
      </c>
    </row>
    <row r="1338" spans="1:2" x14ac:dyDescent="0.3">
      <c r="A1338" s="4" t="s">
        <v>531</v>
      </c>
      <c r="B1338">
        <v>28</v>
      </c>
    </row>
    <row r="1339" spans="1:2" x14ac:dyDescent="0.3">
      <c r="A1339" s="4" t="s">
        <v>529</v>
      </c>
      <c r="B1339">
        <v>34</v>
      </c>
    </row>
    <row r="1340" spans="1:2" x14ac:dyDescent="0.3">
      <c r="A1340" s="4" t="s">
        <v>293</v>
      </c>
      <c r="B1340">
        <v>15</v>
      </c>
    </row>
    <row r="1341" spans="1:2" x14ac:dyDescent="0.3">
      <c r="A1341" s="4" t="s">
        <v>295</v>
      </c>
      <c r="B1341">
        <v>0</v>
      </c>
    </row>
    <row r="1342" spans="1:2" x14ac:dyDescent="0.3">
      <c r="A1342" s="4" t="s">
        <v>521</v>
      </c>
      <c r="B1342">
        <v>25</v>
      </c>
    </row>
    <row r="1343" spans="1:2" x14ac:dyDescent="0.3">
      <c r="A1343" s="4" t="s">
        <v>519</v>
      </c>
      <c r="B1343">
        <v>24</v>
      </c>
    </row>
    <row r="1344" spans="1:2" x14ac:dyDescent="0.3">
      <c r="A1344" s="3">
        <v>12951</v>
      </c>
      <c r="B1344">
        <v>15.5</v>
      </c>
    </row>
    <row r="1345" spans="1:2" x14ac:dyDescent="0.3">
      <c r="A1345" s="4" t="s">
        <v>291</v>
      </c>
      <c r="B1345">
        <v>15</v>
      </c>
    </row>
    <row r="1346" spans="1:2" x14ac:dyDescent="0.3">
      <c r="A1346" s="4" t="s">
        <v>301</v>
      </c>
      <c r="B1346">
        <v>16</v>
      </c>
    </row>
    <row r="1347" spans="1:2" x14ac:dyDescent="0.3">
      <c r="A1347" s="4" t="s">
        <v>288</v>
      </c>
      <c r="B1347">
        <v>7</v>
      </c>
    </row>
    <row r="1348" spans="1:2" x14ac:dyDescent="0.3">
      <c r="A1348" s="4" t="s">
        <v>299</v>
      </c>
      <c r="B1348">
        <v>11</v>
      </c>
    </row>
    <row r="1349" spans="1:2" x14ac:dyDescent="0.3">
      <c r="A1349" s="4" t="s">
        <v>111</v>
      </c>
      <c r="B1349">
        <v>27</v>
      </c>
    </row>
    <row r="1350" spans="1:2" x14ac:dyDescent="0.3">
      <c r="A1350" s="4" t="s">
        <v>297</v>
      </c>
      <c r="B1350">
        <v>15</v>
      </c>
    </row>
    <row r="1351" spans="1:2" x14ac:dyDescent="0.3">
      <c r="A1351" s="4" t="s">
        <v>293</v>
      </c>
      <c r="B1351">
        <v>16</v>
      </c>
    </row>
    <row r="1352" spans="1:2" x14ac:dyDescent="0.3">
      <c r="A1352" s="4" t="s">
        <v>295</v>
      </c>
      <c r="B1352">
        <v>17</v>
      </c>
    </row>
    <row r="1353" spans="1:2" x14ac:dyDescent="0.3">
      <c r="A1353" s="3">
        <v>12952</v>
      </c>
      <c r="B1353">
        <v>16.5</v>
      </c>
    </row>
    <row r="1354" spans="1:2" x14ac:dyDescent="0.3">
      <c r="A1354" s="4" t="s">
        <v>291</v>
      </c>
      <c r="B1354">
        <v>28</v>
      </c>
    </row>
    <row r="1355" spans="1:2" x14ac:dyDescent="0.3">
      <c r="A1355" s="4" t="s">
        <v>301</v>
      </c>
      <c r="B1355">
        <v>20</v>
      </c>
    </row>
    <row r="1356" spans="1:2" x14ac:dyDescent="0.3">
      <c r="A1356" s="4" t="s">
        <v>288</v>
      </c>
      <c r="B1356">
        <v>13</v>
      </c>
    </row>
    <row r="1357" spans="1:2" x14ac:dyDescent="0.3">
      <c r="A1357" s="4" t="s">
        <v>299</v>
      </c>
      <c r="B1357">
        <v>15</v>
      </c>
    </row>
    <row r="1358" spans="1:2" x14ac:dyDescent="0.3">
      <c r="A1358" s="4" t="s">
        <v>111</v>
      </c>
      <c r="B1358">
        <v>8</v>
      </c>
    </row>
    <row r="1359" spans="1:2" x14ac:dyDescent="0.3">
      <c r="A1359" s="4" t="s">
        <v>297</v>
      </c>
      <c r="B1359">
        <v>20</v>
      </c>
    </row>
    <row r="1360" spans="1:2" x14ac:dyDescent="0.3">
      <c r="A1360" s="4" t="s">
        <v>293</v>
      </c>
      <c r="B1360">
        <v>15</v>
      </c>
    </row>
    <row r="1361" spans="1:2" x14ac:dyDescent="0.3">
      <c r="A1361" s="4" t="s">
        <v>295</v>
      </c>
      <c r="B1361">
        <v>13</v>
      </c>
    </row>
    <row r="1362" spans="1:2" x14ac:dyDescent="0.3">
      <c r="A1362" s="3">
        <v>12953</v>
      </c>
      <c r="B1362">
        <v>8.7692307692307701</v>
      </c>
    </row>
    <row r="1363" spans="1:2" x14ac:dyDescent="0.3">
      <c r="A1363" s="4" t="s">
        <v>525</v>
      </c>
      <c r="B1363">
        <v>0</v>
      </c>
    </row>
    <row r="1364" spans="1:2" x14ac:dyDescent="0.3">
      <c r="A1364" s="4" t="s">
        <v>291</v>
      </c>
      <c r="B1364">
        <v>9</v>
      </c>
    </row>
    <row r="1365" spans="1:2" x14ac:dyDescent="0.3">
      <c r="A1365" s="4" t="s">
        <v>333</v>
      </c>
      <c r="B1365">
        <v>13</v>
      </c>
    </row>
    <row r="1366" spans="1:2" x14ac:dyDescent="0.3">
      <c r="A1366" s="4" t="s">
        <v>109</v>
      </c>
      <c r="B1366">
        <v>7</v>
      </c>
    </row>
    <row r="1367" spans="1:2" x14ac:dyDescent="0.3">
      <c r="A1367" s="4" t="s">
        <v>301</v>
      </c>
      <c r="B1367">
        <v>9</v>
      </c>
    </row>
    <row r="1368" spans="1:2" x14ac:dyDescent="0.3">
      <c r="A1368" s="4" t="s">
        <v>280</v>
      </c>
      <c r="B1368">
        <v>8</v>
      </c>
    </row>
    <row r="1369" spans="1:2" x14ac:dyDescent="0.3">
      <c r="A1369" s="4" t="s">
        <v>288</v>
      </c>
      <c r="B1369">
        <v>1</v>
      </c>
    </row>
    <row r="1370" spans="1:2" x14ac:dyDescent="0.3">
      <c r="A1370" s="4" t="s">
        <v>297</v>
      </c>
      <c r="B1370">
        <v>10</v>
      </c>
    </row>
    <row r="1371" spans="1:2" x14ac:dyDescent="0.3">
      <c r="A1371" s="4" t="s">
        <v>343</v>
      </c>
      <c r="B1371">
        <v>15</v>
      </c>
    </row>
    <row r="1372" spans="1:2" x14ac:dyDescent="0.3">
      <c r="A1372" s="4" t="s">
        <v>293</v>
      </c>
      <c r="B1372">
        <v>7</v>
      </c>
    </row>
    <row r="1373" spans="1:2" x14ac:dyDescent="0.3">
      <c r="A1373" s="4" t="s">
        <v>295</v>
      </c>
      <c r="B1373">
        <v>10</v>
      </c>
    </row>
    <row r="1374" spans="1:2" x14ac:dyDescent="0.3">
      <c r="A1374" s="4" t="s">
        <v>521</v>
      </c>
      <c r="B1374">
        <v>11</v>
      </c>
    </row>
    <row r="1375" spans="1:2" x14ac:dyDescent="0.3">
      <c r="A1375" s="4" t="s">
        <v>519</v>
      </c>
      <c r="B1375">
        <v>14</v>
      </c>
    </row>
    <row r="1376" spans="1:2" x14ac:dyDescent="0.3">
      <c r="A1376" s="3">
        <v>12954</v>
      </c>
      <c r="B1376">
        <v>13.307692307692308</v>
      </c>
    </row>
    <row r="1377" spans="1:2" x14ac:dyDescent="0.3">
      <c r="A1377" s="4" t="s">
        <v>525</v>
      </c>
      <c r="B1377">
        <v>15</v>
      </c>
    </row>
    <row r="1378" spans="1:2" x14ac:dyDescent="0.3">
      <c r="A1378" s="4" t="s">
        <v>291</v>
      </c>
      <c r="B1378">
        <v>29</v>
      </c>
    </row>
    <row r="1379" spans="1:2" x14ac:dyDescent="0.3">
      <c r="A1379" s="4" t="s">
        <v>333</v>
      </c>
      <c r="B1379">
        <v>0</v>
      </c>
    </row>
    <row r="1380" spans="1:2" x14ac:dyDescent="0.3">
      <c r="A1380" s="4" t="s">
        <v>109</v>
      </c>
      <c r="B1380">
        <v>0</v>
      </c>
    </row>
    <row r="1381" spans="1:2" x14ac:dyDescent="0.3">
      <c r="A1381" s="4" t="s">
        <v>301</v>
      </c>
      <c r="B1381">
        <v>23</v>
      </c>
    </row>
    <row r="1382" spans="1:2" x14ac:dyDescent="0.3">
      <c r="A1382" s="4" t="s">
        <v>280</v>
      </c>
      <c r="B1382">
        <v>6</v>
      </c>
    </row>
    <row r="1383" spans="1:2" x14ac:dyDescent="0.3">
      <c r="A1383" s="4" t="s">
        <v>288</v>
      </c>
      <c r="B1383">
        <v>16</v>
      </c>
    </row>
    <row r="1384" spans="1:2" x14ac:dyDescent="0.3">
      <c r="A1384" s="4" t="s">
        <v>297</v>
      </c>
      <c r="B1384">
        <v>20</v>
      </c>
    </row>
    <row r="1385" spans="1:2" x14ac:dyDescent="0.3">
      <c r="A1385" s="4" t="s">
        <v>343</v>
      </c>
      <c r="B1385">
        <v>13</v>
      </c>
    </row>
    <row r="1386" spans="1:2" x14ac:dyDescent="0.3">
      <c r="A1386" s="4" t="s">
        <v>293</v>
      </c>
      <c r="B1386">
        <v>14</v>
      </c>
    </row>
    <row r="1387" spans="1:2" x14ac:dyDescent="0.3">
      <c r="A1387" s="4" t="s">
        <v>295</v>
      </c>
      <c r="B1387">
        <v>0</v>
      </c>
    </row>
    <row r="1388" spans="1:2" x14ac:dyDescent="0.3">
      <c r="A1388" s="4" t="s">
        <v>521</v>
      </c>
      <c r="B1388">
        <v>14</v>
      </c>
    </row>
    <row r="1389" spans="1:2" x14ac:dyDescent="0.3">
      <c r="A1389" s="4" t="s">
        <v>519</v>
      </c>
      <c r="B1389">
        <v>23</v>
      </c>
    </row>
    <row r="1390" spans="1:2" x14ac:dyDescent="0.3">
      <c r="A1390" s="3">
        <v>12957</v>
      </c>
      <c r="B1390">
        <v>7.1</v>
      </c>
    </row>
    <row r="1391" spans="1:2" x14ac:dyDescent="0.3">
      <c r="A1391" s="4" t="s">
        <v>875</v>
      </c>
      <c r="B1391">
        <v>8</v>
      </c>
    </row>
    <row r="1392" spans="1:2" x14ac:dyDescent="0.3">
      <c r="A1392" s="4" t="s">
        <v>879</v>
      </c>
      <c r="B1392">
        <v>6</v>
      </c>
    </row>
    <row r="1393" spans="1:2" x14ac:dyDescent="0.3">
      <c r="A1393" s="4" t="s">
        <v>885</v>
      </c>
      <c r="B1393">
        <v>15</v>
      </c>
    </row>
    <row r="1394" spans="1:2" x14ac:dyDescent="0.3">
      <c r="A1394" s="4" t="s">
        <v>877</v>
      </c>
      <c r="B1394">
        <v>6</v>
      </c>
    </row>
    <row r="1395" spans="1:2" x14ac:dyDescent="0.3">
      <c r="A1395" s="4" t="s">
        <v>883</v>
      </c>
      <c r="B1395">
        <v>14</v>
      </c>
    </row>
    <row r="1396" spans="1:2" x14ac:dyDescent="0.3">
      <c r="A1396" s="4" t="s">
        <v>881</v>
      </c>
      <c r="B1396">
        <v>7</v>
      </c>
    </row>
    <row r="1397" spans="1:2" x14ac:dyDescent="0.3">
      <c r="A1397" s="4" t="s">
        <v>871</v>
      </c>
      <c r="B1397">
        <v>8</v>
      </c>
    </row>
    <row r="1398" spans="1:2" x14ac:dyDescent="0.3">
      <c r="A1398" s="4" t="s">
        <v>111</v>
      </c>
      <c r="B1398">
        <v>0</v>
      </c>
    </row>
    <row r="1399" spans="1:2" x14ac:dyDescent="0.3">
      <c r="A1399" s="4" t="s">
        <v>873</v>
      </c>
      <c r="B1399">
        <v>0</v>
      </c>
    </row>
    <row r="1400" spans="1:2" x14ac:dyDescent="0.3">
      <c r="A1400" s="4" t="s">
        <v>868</v>
      </c>
      <c r="B1400">
        <v>7</v>
      </c>
    </row>
    <row r="1401" spans="1:2" x14ac:dyDescent="0.3">
      <c r="A1401" s="3">
        <v>12958</v>
      </c>
      <c r="B1401">
        <v>6.3</v>
      </c>
    </row>
    <row r="1402" spans="1:2" x14ac:dyDescent="0.3">
      <c r="A1402" s="4" t="s">
        <v>875</v>
      </c>
      <c r="B1402">
        <v>10</v>
      </c>
    </row>
    <row r="1403" spans="1:2" x14ac:dyDescent="0.3">
      <c r="A1403" s="4" t="s">
        <v>879</v>
      </c>
      <c r="B1403">
        <v>16</v>
      </c>
    </row>
    <row r="1404" spans="1:2" x14ac:dyDescent="0.3">
      <c r="A1404" s="4" t="s">
        <v>885</v>
      </c>
      <c r="B1404">
        <v>4</v>
      </c>
    </row>
    <row r="1405" spans="1:2" x14ac:dyDescent="0.3">
      <c r="A1405" s="4" t="s">
        <v>877</v>
      </c>
      <c r="B1405">
        <v>16</v>
      </c>
    </row>
    <row r="1406" spans="1:2" x14ac:dyDescent="0.3">
      <c r="A1406" s="4" t="s">
        <v>883</v>
      </c>
      <c r="B1406">
        <v>7</v>
      </c>
    </row>
    <row r="1407" spans="1:2" x14ac:dyDescent="0.3">
      <c r="A1407" s="4" t="s">
        <v>881</v>
      </c>
      <c r="B1407">
        <v>0</v>
      </c>
    </row>
    <row r="1408" spans="1:2" x14ac:dyDescent="0.3">
      <c r="A1408" s="4" t="s">
        <v>871</v>
      </c>
      <c r="B1408">
        <v>6</v>
      </c>
    </row>
    <row r="1409" spans="1:2" x14ac:dyDescent="0.3">
      <c r="A1409" s="4" t="s">
        <v>111</v>
      </c>
      <c r="B1409">
        <v>0</v>
      </c>
    </row>
    <row r="1410" spans="1:2" x14ac:dyDescent="0.3">
      <c r="A1410" s="4" t="s">
        <v>873</v>
      </c>
      <c r="B1410">
        <v>4</v>
      </c>
    </row>
    <row r="1411" spans="1:2" x14ac:dyDescent="0.3">
      <c r="A1411" s="4" t="s">
        <v>868</v>
      </c>
      <c r="B1411">
        <v>0</v>
      </c>
    </row>
    <row r="1412" spans="1:2" x14ac:dyDescent="0.3">
      <c r="A1412" s="3">
        <v>15959</v>
      </c>
      <c r="B1412">
        <v>24.842105263157894</v>
      </c>
    </row>
    <row r="1413" spans="1:2" x14ac:dyDescent="0.3">
      <c r="A1413" s="4" t="s">
        <v>1016</v>
      </c>
      <c r="B1413">
        <v>34</v>
      </c>
    </row>
    <row r="1414" spans="1:2" x14ac:dyDescent="0.3">
      <c r="A1414" s="4" t="s">
        <v>994</v>
      </c>
      <c r="B1414">
        <v>13</v>
      </c>
    </row>
    <row r="1415" spans="1:2" x14ac:dyDescent="0.3">
      <c r="A1415" s="4" t="s">
        <v>1047</v>
      </c>
      <c r="B1415">
        <v>46</v>
      </c>
    </row>
    <row r="1416" spans="1:2" x14ac:dyDescent="0.3">
      <c r="A1416" s="4" t="s">
        <v>1004</v>
      </c>
      <c r="B1416">
        <v>9</v>
      </c>
    </row>
    <row r="1417" spans="1:2" x14ac:dyDescent="0.3">
      <c r="A1417" s="4" t="s">
        <v>992</v>
      </c>
      <c r="B1417">
        <v>8</v>
      </c>
    </row>
    <row r="1418" spans="1:2" x14ac:dyDescent="0.3">
      <c r="A1418" s="4" t="s">
        <v>1043</v>
      </c>
      <c r="B1418">
        <v>48</v>
      </c>
    </row>
    <row r="1419" spans="1:2" x14ac:dyDescent="0.3">
      <c r="A1419" s="4" t="s">
        <v>640</v>
      </c>
      <c r="B1419">
        <v>24</v>
      </c>
    </row>
    <row r="1420" spans="1:2" x14ac:dyDescent="0.3">
      <c r="A1420" s="4" t="s">
        <v>309</v>
      </c>
      <c r="B1420">
        <v>17</v>
      </c>
    </row>
    <row r="1421" spans="1:2" x14ac:dyDescent="0.3">
      <c r="A1421" s="4" t="s">
        <v>1051</v>
      </c>
      <c r="B1421">
        <v>51</v>
      </c>
    </row>
    <row r="1422" spans="1:2" x14ac:dyDescent="0.3">
      <c r="A1422" s="4" t="s">
        <v>1028</v>
      </c>
      <c r="B1422">
        <v>20</v>
      </c>
    </row>
    <row r="1423" spans="1:2" x14ac:dyDescent="0.3">
      <c r="A1423" s="4" t="s">
        <v>851</v>
      </c>
      <c r="B1423">
        <v>35</v>
      </c>
    </row>
    <row r="1424" spans="1:2" x14ac:dyDescent="0.3">
      <c r="A1424" s="4" t="s">
        <v>1010</v>
      </c>
      <c r="B1424">
        <v>13</v>
      </c>
    </row>
    <row r="1425" spans="1:2" x14ac:dyDescent="0.3">
      <c r="A1425" s="4" t="s">
        <v>630</v>
      </c>
      <c r="B1425">
        <v>19</v>
      </c>
    </row>
    <row r="1426" spans="1:2" x14ac:dyDescent="0.3">
      <c r="A1426" s="4" t="s">
        <v>838</v>
      </c>
      <c r="B1426">
        <v>17</v>
      </c>
    </row>
    <row r="1427" spans="1:2" x14ac:dyDescent="0.3">
      <c r="A1427" s="4" t="s">
        <v>845</v>
      </c>
      <c r="B1427">
        <v>49</v>
      </c>
    </row>
    <row r="1428" spans="1:2" x14ac:dyDescent="0.3">
      <c r="A1428" s="4" t="s">
        <v>847</v>
      </c>
      <c r="B1428">
        <v>48</v>
      </c>
    </row>
    <row r="1429" spans="1:2" x14ac:dyDescent="0.3">
      <c r="A1429" s="4" t="s">
        <v>1057</v>
      </c>
      <c r="B1429">
        <v>56</v>
      </c>
    </row>
    <row r="1430" spans="1:2" x14ac:dyDescent="0.3">
      <c r="A1430" s="4" t="s">
        <v>1026</v>
      </c>
      <c r="B1430">
        <v>37</v>
      </c>
    </row>
    <row r="1431" spans="1:2" x14ac:dyDescent="0.3">
      <c r="A1431" s="4" t="s">
        <v>1020</v>
      </c>
      <c r="B1431">
        <v>13</v>
      </c>
    </row>
    <row r="1432" spans="1:2" x14ac:dyDescent="0.3">
      <c r="A1432" s="4" t="s">
        <v>1045</v>
      </c>
      <c r="B1432">
        <v>21</v>
      </c>
    </row>
    <row r="1433" spans="1:2" x14ac:dyDescent="0.3">
      <c r="A1433" s="4" t="s">
        <v>1024</v>
      </c>
      <c r="B1433">
        <v>10</v>
      </c>
    </row>
    <row r="1434" spans="1:2" x14ac:dyDescent="0.3">
      <c r="A1434" s="4" t="s">
        <v>646</v>
      </c>
      <c r="B1434">
        <v>32</v>
      </c>
    </row>
    <row r="1435" spans="1:2" x14ac:dyDescent="0.3">
      <c r="A1435" s="4" t="s">
        <v>1014</v>
      </c>
      <c r="B1435">
        <v>11</v>
      </c>
    </row>
    <row r="1436" spans="1:2" x14ac:dyDescent="0.3">
      <c r="A1436" s="4" t="s">
        <v>1037</v>
      </c>
      <c r="B1436">
        <v>37</v>
      </c>
    </row>
    <row r="1437" spans="1:2" x14ac:dyDescent="0.3">
      <c r="A1437" s="4" t="s">
        <v>115</v>
      </c>
      <c r="B1437">
        <v>0</v>
      </c>
    </row>
    <row r="1438" spans="1:2" x14ac:dyDescent="0.3">
      <c r="A1438" s="4" t="s">
        <v>628</v>
      </c>
      <c r="B1438">
        <v>13</v>
      </c>
    </row>
    <row r="1439" spans="1:2" x14ac:dyDescent="0.3">
      <c r="A1439" s="4" t="s">
        <v>1006</v>
      </c>
      <c r="B1439">
        <v>8</v>
      </c>
    </row>
    <row r="1440" spans="1:2" x14ac:dyDescent="0.3">
      <c r="A1440" s="4" t="s">
        <v>644</v>
      </c>
      <c r="B1440">
        <v>23</v>
      </c>
    </row>
    <row r="1441" spans="1:2" x14ac:dyDescent="0.3">
      <c r="A1441" s="4" t="s">
        <v>1022</v>
      </c>
      <c r="B1441">
        <v>18</v>
      </c>
    </row>
    <row r="1442" spans="1:2" x14ac:dyDescent="0.3">
      <c r="A1442" s="4" t="s">
        <v>998</v>
      </c>
      <c r="B1442">
        <v>10</v>
      </c>
    </row>
    <row r="1443" spans="1:2" x14ac:dyDescent="0.3">
      <c r="A1443" s="4" t="s">
        <v>1002</v>
      </c>
      <c r="B1443">
        <v>0</v>
      </c>
    </row>
    <row r="1444" spans="1:2" x14ac:dyDescent="0.3">
      <c r="A1444" s="4" t="s">
        <v>311</v>
      </c>
      <c r="B1444">
        <v>0</v>
      </c>
    </row>
    <row r="1445" spans="1:2" x14ac:dyDescent="0.3">
      <c r="A1445" s="4" t="s">
        <v>636</v>
      </c>
      <c r="B1445">
        <v>35</v>
      </c>
    </row>
    <row r="1446" spans="1:2" x14ac:dyDescent="0.3">
      <c r="A1446" s="4" t="s">
        <v>1039</v>
      </c>
      <c r="B1446">
        <v>36</v>
      </c>
    </row>
    <row r="1447" spans="1:2" x14ac:dyDescent="0.3">
      <c r="A1447" s="4" t="s">
        <v>849</v>
      </c>
      <c r="B1447">
        <v>47</v>
      </c>
    </row>
    <row r="1448" spans="1:2" x14ac:dyDescent="0.3">
      <c r="A1448" s="4" t="s">
        <v>307</v>
      </c>
      <c r="B1448">
        <v>8</v>
      </c>
    </row>
    <row r="1449" spans="1:2" x14ac:dyDescent="0.3">
      <c r="A1449" s="4" t="s">
        <v>843</v>
      </c>
      <c r="B1449">
        <v>39</v>
      </c>
    </row>
    <row r="1450" spans="1:2" x14ac:dyDescent="0.3">
      <c r="A1450" s="4" t="s">
        <v>996</v>
      </c>
      <c r="B1450">
        <v>0</v>
      </c>
    </row>
    <row r="1451" spans="1:2" x14ac:dyDescent="0.3">
      <c r="A1451" s="4" t="s">
        <v>1055</v>
      </c>
      <c r="B1451">
        <v>56</v>
      </c>
    </row>
    <row r="1452" spans="1:2" x14ac:dyDescent="0.3">
      <c r="A1452" s="4" t="s">
        <v>1035</v>
      </c>
      <c r="B1452">
        <v>30</v>
      </c>
    </row>
    <row r="1453" spans="1:2" x14ac:dyDescent="0.3">
      <c r="A1453" s="4" t="s">
        <v>1053</v>
      </c>
      <c r="B1453">
        <v>54</v>
      </c>
    </row>
    <row r="1454" spans="1:2" x14ac:dyDescent="0.3">
      <c r="A1454" s="4" t="s">
        <v>634</v>
      </c>
      <c r="B1454">
        <v>12</v>
      </c>
    </row>
    <row r="1455" spans="1:2" x14ac:dyDescent="0.3">
      <c r="A1455" s="4" t="s">
        <v>638</v>
      </c>
      <c r="B1455">
        <v>17</v>
      </c>
    </row>
    <row r="1456" spans="1:2" x14ac:dyDescent="0.3">
      <c r="A1456" s="4" t="s">
        <v>632</v>
      </c>
      <c r="B1456">
        <v>13</v>
      </c>
    </row>
    <row r="1457" spans="1:2" x14ac:dyDescent="0.3">
      <c r="A1457" s="4" t="s">
        <v>626</v>
      </c>
      <c r="B1457">
        <v>9</v>
      </c>
    </row>
    <row r="1458" spans="1:2" x14ac:dyDescent="0.3">
      <c r="A1458" s="4" t="s">
        <v>313</v>
      </c>
      <c r="B1458">
        <v>17</v>
      </c>
    </row>
    <row r="1459" spans="1:2" x14ac:dyDescent="0.3">
      <c r="A1459" s="4" t="s">
        <v>1018</v>
      </c>
      <c r="B1459">
        <v>21</v>
      </c>
    </row>
    <row r="1460" spans="1:2" x14ac:dyDescent="0.3">
      <c r="A1460" s="4" t="s">
        <v>841</v>
      </c>
      <c r="B1460">
        <v>53</v>
      </c>
    </row>
    <row r="1461" spans="1:2" x14ac:dyDescent="0.3">
      <c r="A1461" s="4" t="s">
        <v>1008</v>
      </c>
      <c r="B1461">
        <v>12</v>
      </c>
    </row>
    <row r="1462" spans="1:2" x14ac:dyDescent="0.3">
      <c r="A1462" s="4" t="s">
        <v>1032</v>
      </c>
      <c r="B1462">
        <v>27</v>
      </c>
    </row>
    <row r="1463" spans="1:2" x14ac:dyDescent="0.3">
      <c r="A1463" s="4" t="s">
        <v>642</v>
      </c>
      <c r="B1463">
        <v>26</v>
      </c>
    </row>
    <row r="1464" spans="1:2" x14ac:dyDescent="0.3">
      <c r="A1464" s="4" t="s">
        <v>1000</v>
      </c>
      <c r="B1464">
        <v>14</v>
      </c>
    </row>
    <row r="1465" spans="1:2" x14ac:dyDescent="0.3">
      <c r="A1465" s="4" t="s">
        <v>1012</v>
      </c>
      <c r="B1465">
        <v>10</v>
      </c>
    </row>
    <row r="1466" spans="1:2" x14ac:dyDescent="0.3">
      <c r="A1466" s="4" t="s">
        <v>1041</v>
      </c>
      <c r="B1466">
        <v>47</v>
      </c>
    </row>
    <row r="1467" spans="1:2" x14ac:dyDescent="0.3">
      <c r="A1467" s="4" t="s">
        <v>1049</v>
      </c>
      <c r="B1467">
        <v>42</v>
      </c>
    </row>
    <row r="1468" spans="1:2" x14ac:dyDescent="0.3">
      <c r="A1468" s="4" t="s">
        <v>1030</v>
      </c>
      <c r="B1468">
        <v>23</v>
      </c>
    </row>
    <row r="1469" spans="1:2" x14ac:dyDescent="0.3">
      <c r="A1469" s="4" t="s">
        <v>1033</v>
      </c>
      <c r="B1469">
        <v>28</v>
      </c>
    </row>
    <row r="1470" spans="1:2" x14ac:dyDescent="0.3">
      <c r="A1470" s="3">
        <v>15960</v>
      </c>
      <c r="B1470">
        <v>27.157894736842106</v>
      </c>
    </row>
    <row r="1471" spans="1:2" x14ac:dyDescent="0.3">
      <c r="A1471" s="4" t="s">
        <v>1016</v>
      </c>
      <c r="B1471">
        <v>36</v>
      </c>
    </row>
    <row r="1472" spans="1:2" x14ac:dyDescent="0.3">
      <c r="A1472" s="4" t="s">
        <v>994</v>
      </c>
      <c r="B1472">
        <v>38</v>
      </c>
    </row>
    <row r="1473" spans="1:2" x14ac:dyDescent="0.3">
      <c r="A1473" s="4" t="s">
        <v>1047</v>
      </c>
      <c r="B1473">
        <v>50</v>
      </c>
    </row>
    <row r="1474" spans="1:2" x14ac:dyDescent="0.3">
      <c r="A1474" s="4" t="s">
        <v>1004</v>
      </c>
      <c r="B1474">
        <v>33</v>
      </c>
    </row>
    <row r="1475" spans="1:2" x14ac:dyDescent="0.3">
      <c r="A1475" s="4" t="s">
        <v>992</v>
      </c>
      <c r="B1475">
        <v>38</v>
      </c>
    </row>
    <row r="1476" spans="1:2" x14ac:dyDescent="0.3">
      <c r="A1476" s="4" t="s">
        <v>1043</v>
      </c>
      <c r="B1476">
        <v>11</v>
      </c>
    </row>
    <row r="1477" spans="1:2" x14ac:dyDescent="0.3">
      <c r="A1477" s="4" t="s">
        <v>640</v>
      </c>
      <c r="B1477">
        <v>31</v>
      </c>
    </row>
    <row r="1478" spans="1:2" x14ac:dyDescent="0.3">
      <c r="A1478" s="4" t="s">
        <v>309</v>
      </c>
      <c r="B1478">
        <v>15</v>
      </c>
    </row>
    <row r="1479" spans="1:2" x14ac:dyDescent="0.3">
      <c r="A1479" s="4" t="s">
        <v>1051</v>
      </c>
      <c r="B1479">
        <v>29</v>
      </c>
    </row>
    <row r="1480" spans="1:2" x14ac:dyDescent="0.3">
      <c r="A1480" s="4" t="s">
        <v>1028</v>
      </c>
      <c r="B1480">
        <v>41</v>
      </c>
    </row>
    <row r="1481" spans="1:2" x14ac:dyDescent="0.3">
      <c r="A1481" s="4" t="s">
        <v>851</v>
      </c>
      <c r="B1481">
        <v>25</v>
      </c>
    </row>
    <row r="1482" spans="1:2" x14ac:dyDescent="0.3">
      <c r="A1482" s="4" t="s">
        <v>1010</v>
      </c>
      <c r="B1482">
        <v>37</v>
      </c>
    </row>
    <row r="1483" spans="1:2" x14ac:dyDescent="0.3">
      <c r="A1483" s="4" t="s">
        <v>630</v>
      </c>
      <c r="B1483">
        <v>46</v>
      </c>
    </row>
    <row r="1484" spans="1:2" x14ac:dyDescent="0.3">
      <c r="A1484" s="4" t="s">
        <v>838</v>
      </c>
      <c r="B1484">
        <v>0</v>
      </c>
    </row>
    <row r="1485" spans="1:2" x14ac:dyDescent="0.3">
      <c r="A1485" s="4" t="s">
        <v>845</v>
      </c>
      <c r="B1485">
        <v>20</v>
      </c>
    </row>
    <row r="1486" spans="1:2" x14ac:dyDescent="0.3">
      <c r="A1486" s="4" t="s">
        <v>847</v>
      </c>
      <c r="B1486">
        <v>0</v>
      </c>
    </row>
    <row r="1487" spans="1:2" x14ac:dyDescent="0.3">
      <c r="A1487" s="4" t="s">
        <v>1057</v>
      </c>
      <c r="B1487">
        <v>18</v>
      </c>
    </row>
    <row r="1488" spans="1:2" x14ac:dyDescent="0.3">
      <c r="A1488" s="4" t="s">
        <v>1026</v>
      </c>
      <c r="B1488">
        <v>35</v>
      </c>
    </row>
    <row r="1489" spans="1:2" x14ac:dyDescent="0.3">
      <c r="A1489" s="4" t="s">
        <v>1020</v>
      </c>
      <c r="B1489">
        <v>0</v>
      </c>
    </row>
    <row r="1490" spans="1:2" x14ac:dyDescent="0.3">
      <c r="A1490" s="4" t="s">
        <v>1045</v>
      </c>
      <c r="B1490">
        <v>8</v>
      </c>
    </row>
    <row r="1491" spans="1:2" x14ac:dyDescent="0.3">
      <c r="A1491" s="4" t="s">
        <v>1024</v>
      </c>
      <c r="B1491">
        <v>11</v>
      </c>
    </row>
    <row r="1492" spans="1:2" x14ac:dyDescent="0.3">
      <c r="A1492" s="4" t="s">
        <v>646</v>
      </c>
      <c r="B1492">
        <v>0</v>
      </c>
    </row>
    <row r="1493" spans="1:2" x14ac:dyDescent="0.3">
      <c r="A1493" s="4" t="s">
        <v>1014</v>
      </c>
      <c r="B1493">
        <v>0</v>
      </c>
    </row>
    <row r="1494" spans="1:2" x14ac:dyDescent="0.3">
      <c r="A1494" s="4" t="s">
        <v>1037</v>
      </c>
      <c r="B1494">
        <v>21</v>
      </c>
    </row>
    <row r="1495" spans="1:2" x14ac:dyDescent="0.3">
      <c r="A1495" s="4" t="s">
        <v>115</v>
      </c>
      <c r="B1495">
        <v>5</v>
      </c>
    </row>
    <row r="1496" spans="1:2" x14ac:dyDescent="0.3">
      <c r="A1496" s="4" t="s">
        <v>628</v>
      </c>
      <c r="B1496">
        <v>48</v>
      </c>
    </row>
    <row r="1497" spans="1:2" x14ac:dyDescent="0.3">
      <c r="A1497" s="4" t="s">
        <v>1006</v>
      </c>
      <c r="B1497">
        <v>41</v>
      </c>
    </row>
    <row r="1498" spans="1:2" x14ac:dyDescent="0.3">
      <c r="A1498" s="4" t="s">
        <v>644</v>
      </c>
      <c r="B1498">
        <v>35</v>
      </c>
    </row>
    <row r="1499" spans="1:2" x14ac:dyDescent="0.3">
      <c r="A1499" s="4" t="s">
        <v>1022</v>
      </c>
      <c r="B1499">
        <v>39</v>
      </c>
    </row>
    <row r="1500" spans="1:2" x14ac:dyDescent="0.3">
      <c r="A1500" s="4" t="s">
        <v>998</v>
      </c>
      <c r="B1500">
        <v>0</v>
      </c>
    </row>
    <row r="1501" spans="1:2" x14ac:dyDescent="0.3">
      <c r="A1501" s="4" t="s">
        <v>1002</v>
      </c>
      <c r="B1501">
        <v>38</v>
      </c>
    </row>
    <row r="1502" spans="1:2" x14ac:dyDescent="0.3">
      <c r="A1502" s="4" t="s">
        <v>311</v>
      </c>
      <c r="B1502">
        <v>37</v>
      </c>
    </row>
    <row r="1503" spans="1:2" x14ac:dyDescent="0.3">
      <c r="A1503" s="4" t="s">
        <v>636</v>
      </c>
      <c r="B1503">
        <v>32</v>
      </c>
    </row>
    <row r="1504" spans="1:2" x14ac:dyDescent="0.3">
      <c r="A1504" s="4" t="s">
        <v>1039</v>
      </c>
      <c r="B1504">
        <v>19</v>
      </c>
    </row>
    <row r="1505" spans="1:2" x14ac:dyDescent="0.3">
      <c r="A1505" s="4" t="s">
        <v>849</v>
      </c>
      <c r="B1505">
        <v>23</v>
      </c>
    </row>
    <row r="1506" spans="1:2" x14ac:dyDescent="0.3">
      <c r="A1506" s="4" t="s">
        <v>307</v>
      </c>
      <c r="B1506">
        <v>36</v>
      </c>
    </row>
    <row r="1507" spans="1:2" x14ac:dyDescent="0.3">
      <c r="A1507" s="4" t="s">
        <v>843</v>
      </c>
      <c r="B1507">
        <v>34</v>
      </c>
    </row>
    <row r="1508" spans="1:2" x14ac:dyDescent="0.3">
      <c r="A1508" s="4" t="s">
        <v>996</v>
      </c>
      <c r="B1508">
        <v>36</v>
      </c>
    </row>
    <row r="1509" spans="1:2" x14ac:dyDescent="0.3">
      <c r="A1509" s="4" t="s">
        <v>1055</v>
      </c>
      <c r="B1509">
        <v>23</v>
      </c>
    </row>
    <row r="1510" spans="1:2" x14ac:dyDescent="0.3">
      <c r="A1510" s="4" t="s">
        <v>1035</v>
      </c>
      <c r="B1510">
        <v>23</v>
      </c>
    </row>
    <row r="1511" spans="1:2" x14ac:dyDescent="0.3">
      <c r="A1511" s="4" t="s">
        <v>1053</v>
      </c>
      <c r="B1511">
        <v>20</v>
      </c>
    </row>
    <row r="1512" spans="1:2" x14ac:dyDescent="0.3">
      <c r="A1512" s="4" t="s">
        <v>634</v>
      </c>
      <c r="B1512">
        <v>37</v>
      </c>
    </row>
    <row r="1513" spans="1:2" x14ac:dyDescent="0.3">
      <c r="A1513" s="4" t="s">
        <v>638</v>
      </c>
      <c r="B1513">
        <v>28</v>
      </c>
    </row>
    <row r="1514" spans="1:2" x14ac:dyDescent="0.3">
      <c r="A1514" s="4" t="s">
        <v>632</v>
      </c>
      <c r="B1514">
        <v>43</v>
      </c>
    </row>
    <row r="1515" spans="1:2" x14ac:dyDescent="0.3">
      <c r="A1515" s="4" t="s">
        <v>626</v>
      </c>
      <c r="B1515">
        <v>37</v>
      </c>
    </row>
    <row r="1516" spans="1:2" x14ac:dyDescent="0.3">
      <c r="A1516" s="4" t="s">
        <v>313</v>
      </c>
      <c r="B1516">
        <v>28</v>
      </c>
    </row>
    <row r="1517" spans="1:2" x14ac:dyDescent="0.3">
      <c r="A1517" s="4" t="s">
        <v>1018</v>
      </c>
      <c r="B1517">
        <v>46</v>
      </c>
    </row>
    <row r="1518" spans="1:2" x14ac:dyDescent="0.3">
      <c r="A1518" s="4" t="s">
        <v>841</v>
      </c>
      <c r="B1518">
        <v>15</v>
      </c>
    </row>
    <row r="1519" spans="1:2" x14ac:dyDescent="0.3">
      <c r="A1519" s="4" t="s">
        <v>1008</v>
      </c>
      <c r="B1519">
        <v>40</v>
      </c>
    </row>
    <row r="1520" spans="1:2" x14ac:dyDescent="0.3">
      <c r="A1520" s="4" t="s">
        <v>1032</v>
      </c>
      <c r="B1520">
        <v>30</v>
      </c>
    </row>
    <row r="1521" spans="1:2" x14ac:dyDescent="0.3">
      <c r="A1521" s="4" t="s">
        <v>642</v>
      </c>
      <c r="B1521">
        <v>0</v>
      </c>
    </row>
    <row r="1522" spans="1:2" x14ac:dyDescent="0.3">
      <c r="A1522" s="4" t="s">
        <v>1000</v>
      </c>
      <c r="B1522">
        <v>45</v>
      </c>
    </row>
    <row r="1523" spans="1:2" x14ac:dyDescent="0.3">
      <c r="A1523" s="4" t="s">
        <v>1012</v>
      </c>
      <c r="B1523">
        <v>49</v>
      </c>
    </row>
    <row r="1524" spans="1:2" x14ac:dyDescent="0.3">
      <c r="A1524" s="4" t="s">
        <v>1041</v>
      </c>
      <c r="B1524">
        <v>13</v>
      </c>
    </row>
    <row r="1525" spans="1:2" x14ac:dyDescent="0.3">
      <c r="A1525" s="4" t="s">
        <v>1049</v>
      </c>
      <c r="B1525">
        <v>44</v>
      </c>
    </row>
    <row r="1526" spans="1:2" x14ac:dyDescent="0.3">
      <c r="A1526" s="4" t="s">
        <v>1030</v>
      </c>
      <c r="B1526">
        <v>35</v>
      </c>
    </row>
    <row r="1527" spans="1:2" x14ac:dyDescent="0.3">
      <c r="A1527" s="4" t="s">
        <v>1033</v>
      </c>
      <c r="B1527">
        <v>26</v>
      </c>
    </row>
    <row r="1528" spans="1:2" x14ac:dyDescent="0.3">
      <c r="A1528" s="3">
        <v>16127</v>
      </c>
      <c r="B1528">
        <v>26.1875</v>
      </c>
    </row>
    <row r="1529" spans="1:2" x14ac:dyDescent="0.3">
      <c r="A1529" s="4" t="s">
        <v>711</v>
      </c>
      <c r="B1529">
        <v>73</v>
      </c>
    </row>
    <row r="1530" spans="1:2" x14ac:dyDescent="0.3">
      <c r="A1530" s="4" t="s">
        <v>264</v>
      </c>
      <c r="B1530">
        <v>42</v>
      </c>
    </row>
    <row r="1531" spans="1:2" x14ac:dyDescent="0.3">
      <c r="A1531" s="4" t="s">
        <v>717</v>
      </c>
      <c r="B1531">
        <v>46</v>
      </c>
    </row>
    <row r="1532" spans="1:2" x14ac:dyDescent="0.3">
      <c r="A1532" s="4" t="s">
        <v>693</v>
      </c>
      <c r="B1532">
        <v>24</v>
      </c>
    </row>
    <row r="1533" spans="1:2" x14ac:dyDescent="0.3">
      <c r="A1533" s="4" t="s">
        <v>685</v>
      </c>
      <c r="B1533">
        <v>19</v>
      </c>
    </row>
    <row r="1534" spans="1:2" x14ac:dyDescent="0.3">
      <c r="A1534" s="4" t="s">
        <v>719</v>
      </c>
      <c r="B1534">
        <v>0</v>
      </c>
    </row>
    <row r="1535" spans="1:2" x14ac:dyDescent="0.3">
      <c r="A1535" s="4" t="s">
        <v>46</v>
      </c>
      <c r="B1535">
        <v>3</v>
      </c>
    </row>
    <row r="1536" spans="1:2" x14ac:dyDescent="0.3">
      <c r="A1536" s="4" t="s">
        <v>41</v>
      </c>
      <c r="B1536">
        <v>0</v>
      </c>
    </row>
    <row r="1537" spans="1:2" x14ac:dyDescent="0.3">
      <c r="A1537" s="4" t="s">
        <v>703</v>
      </c>
      <c r="B1537">
        <v>14</v>
      </c>
    </row>
    <row r="1538" spans="1:2" x14ac:dyDescent="0.3">
      <c r="A1538" s="4" t="s">
        <v>58</v>
      </c>
      <c r="B1538">
        <v>20</v>
      </c>
    </row>
    <row r="1539" spans="1:2" x14ac:dyDescent="0.3">
      <c r="A1539" s="4" t="s">
        <v>697</v>
      </c>
      <c r="B1539">
        <v>0</v>
      </c>
    </row>
    <row r="1540" spans="1:2" x14ac:dyDescent="0.3">
      <c r="A1540" s="4" t="s">
        <v>715</v>
      </c>
      <c r="B1540">
        <v>43</v>
      </c>
    </row>
    <row r="1541" spans="1:2" x14ac:dyDescent="0.3">
      <c r="A1541" s="4" t="s">
        <v>262</v>
      </c>
      <c r="B1541">
        <v>45</v>
      </c>
    </row>
    <row r="1542" spans="1:2" x14ac:dyDescent="0.3">
      <c r="A1542" s="4" t="s">
        <v>725</v>
      </c>
      <c r="B1542">
        <v>22</v>
      </c>
    </row>
    <row r="1543" spans="1:2" x14ac:dyDescent="0.3">
      <c r="A1543" s="4" t="s">
        <v>709</v>
      </c>
      <c r="B1543">
        <v>70</v>
      </c>
    </row>
    <row r="1544" spans="1:2" x14ac:dyDescent="0.3">
      <c r="A1544" s="4" t="s">
        <v>721</v>
      </c>
      <c r="B1544">
        <v>54</v>
      </c>
    </row>
    <row r="1545" spans="1:2" x14ac:dyDescent="0.3">
      <c r="A1545" s="4" t="s">
        <v>705</v>
      </c>
      <c r="B1545">
        <v>53</v>
      </c>
    </row>
    <row r="1546" spans="1:2" x14ac:dyDescent="0.3">
      <c r="A1546" s="4" t="s">
        <v>248</v>
      </c>
      <c r="B1546">
        <v>69</v>
      </c>
    </row>
    <row r="1547" spans="1:2" x14ac:dyDescent="0.3">
      <c r="A1547" s="4" t="s">
        <v>62</v>
      </c>
      <c r="B1547">
        <v>21</v>
      </c>
    </row>
    <row r="1548" spans="1:2" x14ac:dyDescent="0.3">
      <c r="A1548" s="4" t="s">
        <v>246</v>
      </c>
      <c r="B1548">
        <v>59</v>
      </c>
    </row>
    <row r="1549" spans="1:2" x14ac:dyDescent="0.3">
      <c r="A1549" s="4" t="s">
        <v>79</v>
      </c>
      <c r="B1549">
        <v>22</v>
      </c>
    </row>
    <row r="1550" spans="1:2" x14ac:dyDescent="0.3">
      <c r="A1550" s="4" t="s">
        <v>689</v>
      </c>
      <c r="B1550">
        <v>27</v>
      </c>
    </row>
    <row r="1551" spans="1:2" x14ac:dyDescent="0.3">
      <c r="A1551" s="4" t="s">
        <v>699</v>
      </c>
      <c r="B1551">
        <v>30</v>
      </c>
    </row>
    <row r="1552" spans="1:2" x14ac:dyDescent="0.3">
      <c r="A1552" s="4" t="s">
        <v>64</v>
      </c>
      <c r="B1552">
        <v>15</v>
      </c>
    </row>
    <row r="1553" spans="1:2" x14ac:dyDescent="0.3">
      <c r="A1553" s="4" t="s">
        <v>56</v>
      </c>
      <c r="B1553">
        <v>16</v>
      </c>
    </row>
    <row r="1554" spans="1:2" x14ac:dyDescent="0.3">
      <c r="A1554" s="4" t="s">
        <v>48</v>
      </c>
      <c r="B1554">
        <v>16</v>
      </c>
    </row>
    <row r="1555" spans="1:2" x14ac:dyDescent="0.3">
      <c r="A1555" s="4" t="s">
        <v>695</v>
      </c>
      <c r="B1555">
        <v>16</v>
      </c>
    </row>
    <row r="1556" spans="1:2" x14ac:dyDescent="0.3">
      <c r="A1556" s="4" t="s">
        <v>674</v>
      </c>
      <c r="B1556">
        <v>27</v>
      </c>
    </row>
    <row r="1557" spans="1:2" x14ac:dyDescent="0.3">
      <c r="A1557" s="4" t="s">
        <v>701</v>
      </c>
      <c r="B1557">
        <v>0</v>
      </c>
    </row>
    <row r="1558" spans="1:2" x14ac:dyDescent="0.3">
      <c r="A1558" s="4" t="s">
        <v>707</v>
      </c>
      <c r="B1558">
        <v>59</v>
      </c>
    </row>
    <row r="1559" spans="1:2" x14ac:dyDescent="0.3">
      <c r="A1559" s="4" t="s">
        <v>683</v>
      </c>
      <c r="B1559">
        <v>3</v>
      </c>
    </row>
    <row r="1560" spans="1:2" x14ac:dyDescent="0.3">
      <c r="A1560" s="4" t="s">
        <v>723</v>
      </c>
      <c r="B1560">
        <v>36</v>
      </c>
    </row>
    <row r="1561" spans="1:2" x14ac:dyDescent="0.3">
      <c r="A1561" s="4" t="s">
        <v>77</v>
      </c>
      <c r="B1561">
        <v>13</v>
      </c>
    </row>
    <row r="1562" spans="1:2" x14ac:dyDescent="0.3">
      <c r="A1562" s="4" t="s">
        <v>713</v>
      </c>
      <c r="B1562">
        <v>77</v>
      </c>
    </row>
    <row r="1563" spans="1:2" x14ac:dyDescent="0.3">
      <c r="A1563" s="4" t="s">
        <v>73</v>
      </c>
      <c r="B1563">
        <v>27</v>
      </c>
    </row>
    <row r="1564" spans="1:2" x14ac:dyDescent="0.3">
      <c r="A1564" s="4" t="s">
        <v>687</v>
      </c>
      <c r="B1564">
        <v>18</v>
      </c>
    </row>
    <row r="1565" spans="1:2" x14ac:dyDescent="0.3">
      <c r="A1565" s="4" t="s">
        <v>44</v>
      </c>
      <c r="B1565">
        <v>0</v>
      </c>
    </row>
    <row r="1566" spans="1:2" x14ac:dyDescent="0.3">
      <c r="A1566" s="4" t="s">
        <v>266</v>
      </c>
      <c r="B1566">
        <v>30</v>
      </c>
    </row>
    <row r="1567" spans="1:2" x14ac:dyDescent="0.3">
      <c r="A1567" s="4" t="s">
        <v>71</v>
      </c>
      <c r="B1567">
        <v>15</v>
      </c>
    </row>
    <row r="1568" spans="1:2" x14ac:dyDescent="0.3">
      <c r="A1568" s="4" t="s">
        <v>54</v>
      </c>
      <c r="B1568">
        <v>8</v>
      </c>
    </row>
    <row r="1569" spans="1:2" x14ac:dyDescent="0.3">
      <c r="A1569" s="4" t="s">
        <v>81</v>
      </c>
      <c r="B1569">
        <v>22</v>
      </c>
    </row>
    <row r="1570" spans="1:2" x14ac:dyDescent="0.3">
      <c r="A1570" s="4" t="s">
        <v>241</v>
      </c>
      <c r="B1570">
        <v>30</v>
      </c>
    </row>
    <row r="1571" spans="1:2" x14ac:dyDescent="0.3">
      <c r="A1571" s="4" t="s">
        <v>676</v>
      </c>
      <c r="B1571">
        <v>26</v>
      </c>
    </row>
    <row r="1572" spans="1:2" x14ac:dyDescent="0.3">
      <c r="A1572" s="4" t="s">
        <v>691</v>
      </c>
      <c r="B1572">
        <v>27</v>
      </c>
    </row>
    <row r="1573" spans="1:2" x14ac:dyDescent="0.3">
      <c r="A1573" s="4" t="s">
        <v>244</v>
      </c>
      <c r="B1573">
        <v>0</v>
      </c>
    </row>
    <row r="1574" spans="1:2" x14ac:dyDescent="0.3">
      <c r="A1574" s="4" t="s">
        <v>50</v>
      </c>
      <c r="B1574">
        <v>3</v>
      </c>
    </row>
    <row r="1575" spans="1:2" x14ac:dyDescent="0.3">
      <c r="A1575" s="4" t="s">
        <v>75</v>
      </c>
      <c r="B1575">
        <v>13</v>
      </c>
    </row>
    <row r="1576" spans="1:2" x14ac:dyDescent="0.3">
      <c r="A1576" s="4" t="s">
        <v>52</v>
      </c>
      <c r="B1576">
        <v>4</v>
      </c>
    </row>
    <row r="1577" spans="1:2" x14ac:dyDescent="0.3">
      <c r="A1577" s="3">
        <v>16128</v>
      </c>
      <c r="B1577">
        <v>19.787234042553191</v>
      </c>
    </row>
    <row r="1578" spans="1:2" x14ac:dyDescent="0.3">
      <c r="A1578" s="4" t="s">
        <v>711</v>
      </c>
      <c r="B1578">
        <v>31</v>
      </c>
    </row>
    <row r="1579" spans="1:2" x14ac:dyDescent="0.3">
      <c r="A1579" s="4" t="s">
        <v>264</v>
      </c>
      <c r="B1579">
        <v>29</v>
      </c>
    </row>
    <row r="1580" spans="1:2" x14ac:dyDescent="0.3">
      <c r="A1580" s="4" t="s">
        <v>717</v>
      </c>
      <c r="B1580">
        <v>23</v>
      </c>
    </row>
    <row r="1581" spans="1:2" x14ac:dyDescent="0.3">
      <c r="A1581" s="4" t="s">
        <v>693</v>
      </c>
      <c r="B1581">
        <v>0</v>
      </c>
    </row>
    <row r="1582" spans="1:2" x14ac:dyDescent="0.3">
      <c r="A1582" s="4" t="s">
        <v>685</v>
      </c>
      <c r="B1582">
        <v>43</v>
      </c>
    </row>
    <row r="1583" spans="1:2" x14ac:dyDescent="0.3">
      <c r="A1583" s="4" t="s">
        <v>719</v>
      </c>
      <c r="B1583">
        <v>0</v>
      </c>
    </row>
    <row r="1584" spans="1:2" x14ac:dyDescent="0.3">
      <c r="A1584" s="4" t="s">
        <v>46</v>
      </c>
      <c r="B1584">
        <v>13</v>
      </c>
    </row>
    <row r="1585" spans="1:2" x14ac:dyDescent="0.3">
      <c r="A1585" s="4" t="s">
        <v>41</v>
      </c>
      <c r="B1585">
        <v>1</v>
      </c>
    </row>
    <row r="1586" spans="1:2" x14ac:dyDescent="0.3">
      <c r="A1586" s="4" t="s">
        <v>703</v>
      </c>
      <c r="B1586">
        <v>8</v>
      </c>
    </row>
    <row r="1587" spans="1:2" x14ac:dyDescent="0.3">
      <c r="A1587" s="4" t="s">
        <v>58</v>
      </c>
      <c r="B1587">
        <v>7</v>
      </c>
    </row>
    <row r="1588" spans="1:2" x14ac:dyDescent="0.3">
      <c r="A1588" s="4" t="s">
        <v>697</v>
      </c>
      <c r="B1588">
        <v>49</v>
      </c>
    </row>
    <row r="1589" spans="1:2" x14ac:dyDescent="0.3">
      <c r="A1589" s="4" t="s">
        <v>715</v>
      </c>
      <c r="B1589">
        <v>27</v>
      </c>
    </row>
    <row r="1590" spans="1:2" x14ac:dyDescent="0.3">
      <c r="A1590" s="4" t="s">
        <v>262</v>
      </c>
      <c r="B1590">
        <v>29</v>
      </c>
    </row>
    <row r="1591" spans="1:2" x14ac:dyDescent="0.3">
      <c r="A1591" s="4" t="s">
        <v>725</v>
      </c>
      <c r="B1591">
        <v>0</v>
      </c>
    </row>
    <row r="1592" spans="1:2" x14ac:dyDescent="0.3">
      <c r="A1592" s="4" t="s">
        <v>709</v>
      </c>
      <c r="B1592">
        <v>33</v>
      </c>
    </row>
    <row r="1593" spans="1:2" x14ac:dyDescent="0.3">
      <c r="A1593" s="4" t="s">
        <v>721</v>
      </c>
      <c r="B1593">
        <v>17</v>
      </c>
    </row>
    <row r="1594" spans="1:2" x14ac:dyDescent="0.3">
      <c r="A1594" s="4" t="s">
        <v>248</v>
      </c>
      <c r="B1594">
        <v>33</v>
      </c>
    </row>
    <row r="1595" spans="1:2" x14ac:dyDescent="0.3">
      <c r="A1595" s="4" t="s">
        <v>62</v>
      </c>
      <c r="B1595">
        <v>8</v>
      </c>
    </row>
    <row r="1596" spans="1:2" x14ac:dyDescent="0.3">
      <c r="A1596" s="4" t="s">
        <v>246</v>
      </c>
      <c r="B1596">
        <v>0</v>
      </c>
    </row>
    <row r="1597" spans="1:2" x14ac:dyDescent="0.3">
      <c r="A1597" s="4" t="s">
        <v>79</v>
      </c>
      <c r="B1597">
        <v>11</v>
      </c>
    </row>
    <row r="1598" spans="1:2" x14ac:dyDescent="0.3">
      <c r="A1598" s="4" t="s">
        <v>699</v>
      </c>
      <c r="B1598">
        <v>39</v>
      </c>
    </row>
    <row r="1599" spans="1:2" x14ac:dyDescent="0.3">
      <c r="A1599" s="4" t="s">
        <v>64</v>
      </c>
      <c r="B1599">
        <v>5</v>
      </c>
    </row>
    <row r="1600" spans="1:2" x14ac:dyDescent="0.3">
      <c r="A1600" s="4" t="s">
        <v>67</v>
      </c>
      <c r="B1600">
        <v>0</v>
      </c>
    </row>
    <row r="1601" spans="1:2" x14ac:dyDescent="0.3">
      <c r="A1601" s="4" t="s">
        <v>56</v>
      </c>
      <c r="B1601">
        <v>7</v>
      </c>
    </row>
    <row r="1602" spans="1:2" x14ac:dyDescent="0.3">
      <c r="A1602" s="4" t="s">
        <v>48</v>
      </c>
      <c r="B1602">
        <v>14</v>
      </c>
    </row>
    <row r="1603" spans="1:2" x14ac:dyDescent="0.3">
      <c r="A1603" s="4" t="s">
        <v>695</v>
      </c>
      <c r="B1603">
        <v>50</v>
      </c>
    </row>
    <row r="1604" spans="1:2" x14ac:dyDescent="0.3">
      <c r="A1604" s="4" t="s">
        <v>674</v>
      </c>
      <c r="B1604">
        <v>36</v>
      </c>
    </row>
    <row r="1605" spans="1:2" x14ac:dyDescent="0.3">
      <c r="A1605" s="4" t="s">
        <v>701</v>
      </c>
      <c r="B1605">
        <v>36</v>
      </c>
    </row>
    <row r="1606" spans="1:2" x14ac:dyDescent="0.3">
      <c r="A1606" s="4" t="s">
        <v>707</v>
      </c>
      <c r="B1606">
        <v>33</v>
      </c>
    </row>
    <row r="1607" spans="1:2" x14ac:dyDescent="0.3">
      <c r="A1607" s="4" t="s">
        <v>683</v>
      </c>
      <c r="B1607">
        <v>24</v>
      </c>
    </row>
    <row r="1608" spans="1:2" x14ac:dyDescent="0.3">
      <c r="A1608" s="4" t="s">
        <v>723</v>
      </c>
      <c r="B1608">
        <v>8</v>
      </c>
    </row>
    <row r="1609" spans="1:2" x14ac:dyDescent="0.3">
      <c r="A1609" s="4" t="s">
        <v>77</v>
      </c>
      <c r="B1609">
        <v>14</v>
      </c>
    </row>
    <row r="1610" spans="1:2" x14ac:dyDescent="0.3">
      <c r="A1610" s="4" t="s">
        <v>713</v>
      </c>
      <c r="B1610">
        <v>29</v>
      </c>
    </row>
    <row r="1611" spans="1:2" x14ac:dyDescent="0.3">
      <c r="A1611" s="4" t="s">
        <v>73</v>
      </c>
      <c r="B1611">
        <v>8</v>
      </c>
    </row>
    <row r="1612" spans="1:2" x14ac:dyDescent="0.3">
      <c r="A1612" s="4" t="s">
        <v>687</v>
      </c>
      <c r="B1612">
        <v>38</v>
      </c>
    </row>
    <row r="1613" spans="1:2" x14ac:dyDescent="0.3">
      <c r="A1613" s="4" t="s">
        <v>44</v>
      </c>
      <c r="B1613">
        <v>19</v>
      </c>
    </row>
    <row r="1614" spans="1:2" x14ac:dyDescent="0.3">
      <c r="A1614" s="4" t="s">
        <v>266</v>
      </c>
      <c r="B1614">
        <v>11</v>
      </c>
    </row>
    <row r="1615" spans="1:2" x14ac:dyDescent="0.3">
      <c r="A1615" s="4" t="s">
        <v>71</v>
      </c>
      <c r="B1615">
        <v>16</v>
      </c>
    </row>
    <row r="1616" spans="1:2" x14ac:dyDescent="0.3">
      <c r="A1616" s="4" t="s">
        <v>54</v>
      </c>
      <c r="B1616">
        <v>37</v>
      </c>
    </row>
    <row r="1617" spans="1:2" x14ac:dyDescent="0.3">
      <c r="A1617" s="4" t="s">
        <v>81</v>
      </c>
      <c r="B1617">
        <v>5</v>
      </c>
    </row>
    <row r="1618" spans="1:2" x14ac:dyDescent="0.3">
      <c r="A1618" s="4" t="s">
        <v>241</v>
      </c>
      <c r="B1618">
        <v>29</v>
      </c>
    </row>
    <row r="1619" spans="1:2" x14ac:dyDescent="0.3">
      <c r="A1619" s="4" t="s">
        <v>676</v>
      </c>
      <c r="B1619">
        <v>34</v>
      </c>
    </row>
    <row r="1620" spans="1:2" x14ac:dyDescent="0.3">
      <c r="A1620" s="4" t="s">
        <v>691</v>
      </c>
      <c r="B1620">
        <v>8</v>
      </c>
    </row>
    <row r="1621" spans="1:2" x14ac:dyDescent="0.3">
      <c r="A1621" s="4" t="s">
        <v>244</v>
      </c>
      <c r="B1621">
        <v>38</v>
      </c>
    </row>
    <row r="1622" spans="1:2" x14ac:dyDescent="0.3">
      <c r="A1622" s="4" t="s">
        <v>50</v>
      </c>
      <c r="B1622">
        <v>10</v>
      </c>
    </row>
    <row r="1623" spans="1:2" x14ac:dyDescent="0.3">
      <c r="A1623" s="4" t="s">
        <v>75</v>
      </c>
      <c r="B1623">
        <v>20</v>
      </c>
    </row>
    <row r="1624" spans="1:2" x14ac:dyDescent="0.3">
      <c r="A1624" s="4" t="s">
        <v>52</v>
      </c>
      <c r="B1624">
        <v>0</v>
      </c>
    </row>
    <row r="1625" spans="1:2" x14ac:dyDescent="0.3">
      <c r="A1625" s="3">
        <v>16339</v>
      </c>
      <c r="B1625">
        <v>13.85</v>
      </c>
    </row>
    <row r="1626" spans="1:2" x14ac:dyDescent="0.3">
      <c r="A1626" s="4" t="s">
        <v>486</v>
      </c>
      <c r="B1626">
        <v>26</v>
      </c>
    </row>
    <row r="1627" spans="1:2" x14ac:dyDescent="0.3">
      <c r="A1627" s="4" t="s">
        <v>660</v>
      </c>
      <c r="B1627">
        <v>25</v>
      </c>
    </row>
    <row r="1628" spans="1:2" x14ac:dyDescent="0.3">
      <c r="A1628" s="4" t="s">
        <v>380</v>
      </c>
      <c r="B1628">
        <v>5</v>
      </c>
    </row>
    <row r="1629" spans="1:2" x14ac:dyDescent="0.3">
      <c r="A1629" s="4" t="s">
        <v>272</v>
      </c>
      <c r="B1629">
        <v>35</v>
      </c>
    </row>
    <row r="1630" spans="1:2" x14ac:dyDescent="0.3">
      <c r="A1630" s="4" t="s">
        <v>383</v>
      </c>
      <c r="B1630">
        <v>9</v>
      </c>
    </row>
    <row r="1631" spans="1:2" x14ac:dyDescent="0.3">
      <c r="A1631" s="4" t="s">
        <v>654</v>
      </c>
      <c r="B1631">
        <v>0</v>
      </c>
    </row>
    <row r="1632" spans="1:2" x14ac:dyDescent="0.3">
      <c r="A1632" s="4" t="s">
        <v>662</v>
      </c>
      <c r="B1632">
        <v>0</v>
      </c>
    </row>
    <row r="1633" spans="1:2" x14ac:dyDescent="0.3">
      <c r="A1633" s="4" t="s">
        <v>58</v>
      </c>
      <c r="B1633">
        <v>6</v>
      </c>
    </row>
    <row r="1634" spans="1:2" x14ac:dyDescent="0.3">
      <c r="A1634" s="4" t="s">
        <v>488</v>
      </c>
      <c r="B1634">
        <v>19</v>
      </c>
    </row>
    <row r="1635" spans="1:2" x14ac:dyDescent="0.3">
      <c r="A1635" s="4" t="s">
        <v>664</v>
      </c>
      <c r="B1635">
        <v>23</v>
      </c>
    </row>
    <row r="1636" spans="1:2" x14ac:dyDescent="0.3">
      <c r="A1636" s="4" t="s">
        <v>475</v>
      </c>
      <c r="B1636">
        <v>0</v>
      </c>
    </row>
    <row r="1637" spans="1:2" x14ac:dyDescent="0.3">
      <c r="A1637" s="4" t="s">
        <v>387</v>
      </c>
      <c r="B1637">
        <v>26</v>
      </c>
    </row>
    <row r="1638" spans="1:2" x14ac:dyDescent="0.3">
      <c r="A1638" s="4" t="s">
        <v>652</v>
      </c>
      <c r="B1638">
        <v>0</v>
      </c>
    </row>
    <row r="1639" spans="1:2" x14ac:dyDescent="0.3">
      <c r="A1639" s="4" t="s">
        <v>452</v>
      </c>
      <c r="B1639">
        <v>6</v>
      </c>
    </row>
    <row r="1640" spans="1:2" x14ac:dyDescent="0.3">
      <c r="A1640" s="4" t="s">
        <v>20</v>
      </c>
      <c r="B1640">
        <v>19</v>
      </c>
    </row>
    <row r="1641" spans="1:2" x14ac:dyDescent="0.3">
      <c r="A1641" s="4" t="s">
        <v>62</v>
      </c>
      <c r="B1641">
        <v>15</v>
      </c>
    </row>
    <row r="1642" spans="1:2" x14ac:dyDescent="0.3">
      <c r="A1642" s="4" t="s">
        <v>79</v>
      </c>
      <c r="B1642">
        <v>9</v>
      </c>
    </row>
    <row r="1643" spans="1:2" x14ac:dyDescent="0.3">
      <c r="A1643" s="4" t="s">
        <v>656</v>
      </c>
      <c r="B1643">
        <v>35</v>
      </c>
    </row>
    <row r="1644" spans="1:2" x14ac:dyDescent="0.3">
      <c r="A1644" s="4" t="s">
        <v>666</v>
      </c>
      <c r="B1644">
        <v>28</v>
      </c>
    </row>
    <row r="1645" spans="1:2" x14ac:dyDescent="0.3">
      <c r="A1645" s="4" t="s">
        <v>64</v>
      </c>
      <c r="B1645">
        <v>8</v>
      </c>
    </row>
    <row r="1646" spans="1:2" x14ac:dyDescent="0.3">
      <c r="A1646" s="4" t="s">
        <v>484</v>
      </c>
      <c r="B1646">
        <v>0</v>
      </c>
    </row>
    <row r="1647" spans="1:2" x14ac:dyDescent="0.3">
      <c r="A1647" s="4" t="s">
        <v>678</v>
      </c>
      <c r="B1647">
        <v>0</v>
      </c>
    </row>
    <row r="1648" spans="1:2" x14ac:dyDescent="0.3">
      <c r="A1648" s="4" t="s">
        <v>448</v>
      </c>
      <c r="B1648">
        <v>0</v>
      </c>
    </row>
    <row r="1649" spans="1:2" x14ac:dyDescent="0.3">
      <c r="A1649" s="4" t="s">
        <v>674</v>
      </c>
      <c r="B1649">
        <v>3</v>
      </c>
    </row>
    <row r="1650" spans="1:2" x14ac:dyDescent="0.3">
      <c r="A1650" s="4" t="s">
        <v>670</v>
      </c>
      <c r="B1650">
        <v>36</v>
      </c>
    </row>
    <row r="1651" spans="1:2" x14ac:dyDescent="0.3">
      <c r="A1651" s="4" t="s">
        <v>668</v>
      </c>
      <c r="B1651">
        <v>0</v>
      </c>
    </row>
    <row r="1652" spans="1:2" x14ac:dyDescent="0.3">
      <c r="A1652" s="4" t="s">
        <v>471</v>
      </c>
      <c r="B1652">
        <v>31</v>
      </c>
    </row>
    <row r="1653" spans="1:2" x14ac:dyDescent="0.3">
      <c r="A1653" s="4" t="s">
        <v>482</v>
      </c>
      <c r="B1653">
        <v>18</v>
      </c>
    </row>
    <row r="1654" spans="1:2" x14ac:dyDescent="0.3">
      <c r="A1654" s="4" t="s">
        <v>24</v>
      </c>
      <c r="B1654">
        <v>23</v>
      </c>
    </row>
    <row r="1655" spans="1:2" x14ac:dyDescent="0.3">
      <c r="A1655" s="4" t="s">
        <v>511</v>
      </c>
      <c r="B1655">
        <v>0</v>
      </c>
    </row>
    <row r="1656" spans="1:2" x14ac:dyDescent="0.3">
      <c r="A1656" s="4" t="s">
        <v>77</v>
      </c>
      <c r="B1656">
        <v>10</v>
      </c>
    </row>
    <row r="1657" spans="1:2" x14ac:dyDescent="0.3">
      <c r="A1657" s="4" t="s">
        <v>658</v>
      </c>
      <c r="B1657">
        <v>27</v>
      </c>
    </row>
    <row r="1658" spans="1:2" x14ac:dyDescent="0.3">
      <c r="A1658" s="4" t="s">
        <v>473</v>
      </c>
      <c r="B1658">
        <v>52</v>
      </c>
    </row>
    <row r="1659" spans="1:2" x14ac:dyDescent="0.3">
      <c r="A1659" s="4" t="s">
        <v>385</v>
      </c>
      <c r="B1659">
        <v>13</v>
      </c>
    </row>
    <row r="1660" spans="1:2" x14ac:dyDescent="0.3">
      <c r="A1660" s="4" t="s">
        <v>81</v>
      </c>
      <c r="B1660">
        <v>0</v>
      </c>
    </row>
    <row r="1661" spans="1:2" x14ac:dyDescent="0.3">
      <c r="A1661" s="4" t="s">
        <v>672</v>
      </c>
      <c r="B1661">
        <v>13</v>
      </c>
    </row>
    <row r="1662" spans="1:2" x14ac:dyDescent="0.3">
      <c r="A1662" s="4" t="s">
        <v>676</v>
      </c>
      <c r="B1662">
        <v>0</v>
      </c>
    </row>
    <row r="1663" spans="1:2" x14ac:dyDescent="0.3">
      <c r="A1663" s="4" t="s">
        <v>75</v>
      </c>
      <c r="B1663">
        <v>10</v>
      </c>
    </row>
    <row r="1664" spans="1:2" x14ac:dyDescent="0.3">
      <c r="A1664" s="4" t="s">
        <v>476</v>
      </c>
      <c r="B1664">
        <v>10</v>
      </c>
    </row>
    <row r="1665" spans="1:2" x14ac:dyDescent="0.3">
      <c r="A1665" s="4" t="s">
        <v>478</v>
      </c>
      <c r="B1665">
        <v>14</v>
      </c>
    </row>
    <row r="1666" spans="1:2" x14ac:dyDescent="0.3">
      <c r="A1666" s="3">
        <v>16340</v>
      </c>
      <c r="B1666">
        <v>15.564102564102564</v>
      </c>
    </row>
    <row r="1667" spans="1:2" x14ac:dyDescent="0.3">
      <c r="A1667" s="4" t="s">
        <v>486</v>
      </c>
      <c r="B1667">
        <v>24</v>
      </c>
    </row>
    <row r="1668" spans="1:2" x14ac:dyDescent="0.3">
      <c r="A1668" s="4" t="s">
        <v>660</v>
      </c>
      <c r="B1668">
        <v>10</v>
      </c>
    </row>
    <row r="1669" spans="1:2" x14ac:dyDescent="0.3">
      <c r="A1669" s="4" t="s">
        <v>380</v>
      </c>
      <c r="B1669">
        <v>17</v>
      </c>
    </row>
    <row r="1670" spans="1:2" x14ac:dyDescent="0.3">
      <c r="A1670" s="4" t="s">
        <v>272</v>
      </c>
      <c r="B1670">
        <v>15</v>
      </c>
    </row>
    <row r="1671" spans="1:2" x14ac:dyDescent="0.3">
      <c r="A1671" s="4" t="s">
        <v>383</v>
      </c>
      <c r="B1671">
        <v>27</v>
      </c>
    </row>
    <row r="1672" spans="1:2" x14ac:dyDescent="0.3">
      <c r="A1672" s="4" t="s">
        <v>654</v>
      </c>
      <c r="B1672">
        <v>7</v>
      </c>
    </row>
    <row r="1673" spans="1:2" x14ac:dyDescent="0.3">
      <c r="A1673" s="4" t="s">
        <v>662</v>
      </c>
      <c r="B1673">
        <v>11</v>
      </c>
    </row>
    <row r="1674" spans="1:2" x14ac:dyDescent="0.3">
      <c r="A1674" s="4" t="s">
        <v>58</v>
      </c>
      <c r="B1674">
        <v>39</v>
      </c>
    </row>
    <row r="1675" spans="1:2" x14ac:dyDescent="0.3">
      <c r="A1675" s="4" t="s">
        <v>488</v>
      </c>
      <c r="B1675">
        <v>15</v>
      </c>
    </row>
    <row r="1676" spans="1:2" x14ac:dyDescent="0.3">
      <c r="A1676" s="4" t="s">
        <v>664</v>
      </c>
      <c r="B1676">
        <v>27</v>
      </c>
    </row>
    <row r="1677" spans="1:2" x14ac:dyDescent="0.3">
      <c r="A1677" s="4" t="s">
        <v>475</v>
      </c>
      <c r="B1677">
        <v>17</v>
      </c>
    </row>
    <row r="1678" spans="1:2" x14ac:dyDescent="0.3">
      <c r="A1678" s="4" t="s">
        <v>387</v>
      </c>
      <c r="B1678">
        <v>29</v>
      </c>
    </row>
    <row r="1679" spans="1:2" x14ac:dyDescent="0.3">
      <c r="A1679" s="4" t="s">
        <v>452</v>
      </c>
      <c r="B1679">
        <v>43</v>
      </c>
    </row>
    <row r="1680" spans="1:2" x14ac:dyDescent="0.3">
      <c r="A1680" s="4" t="s">
        <v>20</v>
      </c>
      <c r="B1680">
        <v>0</v>
      </c>
    </row>
    <row r="1681" spans="1:2" x14ac:dyDescent="0.3">
      <c r="A1681" s="4" t="s">
        <v>62</v>
      </c>
      <c r="B1681">
        <v>0</v>
      </c>
    </row>
    <row r="1682" spans="1:2" x14ac:dyDescent="0.3">
      <c r="A1682" s="4" t="s">
        <v>79</v>
      </c>
      <c r="B1682">
        <v>0</v>
      </c>
    </row>
    <row r="1683" spans="1:2" x14ac:dyDescent="0.3">
      <c r="A1683" s="4" t="s">
        <v>656</v>
      </c>
      <c r="B1683">
        <v>19</v>
      </c>
    </row>
    <row r="1684" spans="1:2" x14ac:dyDescent="0.3">
      <c r="A1684" s="4" t="s">
        <v>666</v>
      </c>
      <c r="B1684">
        <v>34</v>
      </c>
    </row>
    <row r="1685" spans="1:2" x14ac:dyDescent="0.3">
      <c r="A1685" s="4" t="s">
        <v>64</v>
      </c>
      <c r="B1685">
        <v>19</v>
      </c>
    </row>
    <row r="1686" spans="1:2" x14ac:dyDescent="0.3">
      <c r="A1686" s="4" t="s">
        <v>484</v>
      </c>
      <c r="B1686">
        <v>24</v>
      </c>
    </row>
    <row r="1687" spans="1:2" x14ac:dyDescent="0.3">
      <c r="A1687" s="4" t="s">
        <v>678</v>
      </c>
      <c r="B1687">
        <v>1</v>
      </c>
    </row>
    <row r="1688" spans="1:2" x14ac:dyDescent="0.3">
      <c r="A1688" s="4" t="s">
        <v>448</v>
      </c>
      <c r="B1688">
        <v>0</v>
      </c>
    </row>
    <row r="1689" spans="1:2" x14ac:dyDescent="0.3">
      <c r="A1689" s="4" t="s">
        <v>674</v>
      </c>
      <c r="B1689">
        <v>2</v>
      </c>
    </row>
    <row r="1690" spans="1:2" x14ac:dyDescent="0.3">
      <c r="A1690" s="4" t="s">
        <v>670</v>
      </c>
      <c r="B1690">
        <v>28</v>
      </c>
    </row>
    <row r="1691" spans="1:2" x14ac:dyDescent="0.3">
      <c r="A1691" s="4" t="s">
        <v>668</v>
      </c>
      <c r="B1691">
        <v>31</v>
      </c>
    </row>
    <row r="1692" spans="1:2" x14ac:dyDescent="0.3">
      <c r="A1692" s="4" t="s">
        <v>471</v>
      </c>
      <c r="B1692">
        <v>14</v>
      </c>
    </row>
    <row r="1693" spans="1:2" x14ac:dyDescent="0.3">
      <c r="A1693" s="4" t="s">
        <v>482</v>
      </c>
      <c r="B1693">
        <v>0</v>
      </c>
    </row>
    <row r="1694" spans="1:2" x14ac:dyDescent="0.3">
      <c r="A1694" s="4" t="s">
        <v>24</v>
      </c>
      <c r="B1694">
        <v>16</v>
      </c>
    </row>
    <row r="1695" spans="1:2" x14ac:dyDescent="0.3">
      <c r="A1695" s="4" t="s">
        <v>511</v>
      </c>
      <c r="B1695">
        <v>40</v>
      </c>
    </row>
    <row r="1696" spans="1:2" x14ac:dyDescent="0.3">
      <c r="A1696" s="4" t="s">
        <v>77</v>
      </c>
      <c r="B1696">
        <v>0</v>
      </c>
    </row>
    <row r="1697" spans="1:2" x14ac:dyDescent="0.3">
      <c r="A1697" s="4" t="s">
        <v>658</v>
      </c>
      <c r="B1697">
        <v>10</v>
      </c>
    </row>
    <row r="1698" spans="1:2" x14ac:dyDescent="0.3">
      <c r="A1698" s="4" t="s">
        <v>473</v>
      </c>
      <c r="B1698">
        <v>18</v>
      </c>
    </row>
    <row r="1699" spans="1:2" x14ac:dyDescent="0.3">
      <c r="A1699" s="4" t="s">
        <v>385</v>
      </c>
      <c r="B1699">
        <v>31</v>
      </c>
    </row>
    <row r="1700" spans="1:2" x14ac:dyDescent="0.3">
      <c r="A1700" s="4" t="s">
        <v>81</v>
      </c>
      <c r="B1700">
        <v>2</v>
      </c>
    </row>
    <row r="1701" spans="1:2" x14ac:dyDescent="0.3">
      <c r="A1701" s="4" t="s">
        <v>672</v>
      </c>
      <c r="B1701">
        <v>0</v>
      </c>
    </row>
    <row r="1702" spans="1:2" x14ac:dyDescent="0.3">
      <c r="A1702" s="4" t="s">
        <v>676</v>
      </c>
      <c r="B1702">
        <v>0</v>
      </c>
    </row>
    <row r="1703" spans="1:2" x14ac:dyDescent="0.3">
      <c r="A1703" s="4" t="s">
        <v>75</v>
      </c>
      <c r="B1703">
        <v>8</v>
      </c>
    </row>
    <row r="1704" spans="1:2" x14ac:dyDescent="0.3">
      <c r="A1704" s="4" t="s">
        <v>476</v>
      </c>
      <c r="B1704">
        <v>10</v>
      </c>
    </row>
    <row r="1705" spans="1:2" x14ac:dyDescent="0.3">
      <c r="A1705" s="4" t="s">
        <v>478</v>
      </c>
      <c r="B1705">
        <v>19</v>
      </c>
    </row>
    <row r="1706" spans="1:2" x14ac:dyDescent="0.3">
      <c r="A1706" s="3">
        <v>17057</v>
      </c>
      <c r="B1706">
        <v>30.275862068965516</v>
      </c>
    </row>
    <row r="1707" spans="1:2" x14ac:dyDescent="0.3">
      <c r="A1707" s="4" t="s">
        <v>425</v>
      </c>
      <c r="B1707">
        <v>57</v>
      </c>
    </row>
    <row r="1708" spans="1:2" x14ac:dyDescent="0.3">
      <c r="A1708" s="4" t="s">
        <v>401</v>
      </c>
      <c r="B1708">
        <v>22</v>
      </c>
    </row>
    <row r="1709" spans="1:2" x14ac:dyDescent="0.3">
      <c r="A1709" s="4" t="s">
        <v>419</v>
      </c>
      <c r="B1709">
        <v>51</v>
      </c>
    </row>
    <row r="1710" spans="1:2" x14ac:dyDescent="0.3">
      <c r="A1710" s="4" t="s">
        <v>433</v>
      </c>
      <c r="B1710">
        <v>36</v>
      </c>
    </row>
    <row r="1711" spans="1:2" x14ac:dyDescent="0.3">
      <c r="A1711" s="4" t="s">
        <v>429</v>
      </c>
      <c r="B1711">
        <v>35</v>
      </c>
    </row>
    <row r="1712" spans="1:2" x14ac:dyDescent="0.3">
      <c r="A1712" s="4" t="s">
        <v>380</v>
      </c>
      <c r="B1712">
        <v>3</v>
      </c>
    </row>
    <row r="1713" spans="1:2" x14ac:dyDescent="0.3">
      <c r="A1713" s="4" t="s">
        <v>383</v>
      </c>
      <c r="B1713">
        <v>10</v>
      </c>
    </row>
    <row r="1714" spans="1:2" x14ac:dyDescent="0.3">
      <c r="A1714" s="4" t="s">
        <v>417</v>
      </c>
      <c r="B1714">
        <v>44</v>
      </c>
    </row>
    <row r="1715" spans="1:2" x14ac:dyDescent="0.3">
      <c r="A1715" s="4" t="s">
        <v>412</v>
      </c>
      <c r="B1715">
        <v>37</v>
      </c>
    </row>
    <row r="1716" spans="1:2" x14ac:dyDescent="0.3">
      <c r="A1716" s="4" t="s">
        <v>391</v>
      </c>
      <c r="B1716">
        <v>22</v>
      </c>
    </row>
    <row r="1717" spans="1:2" x14ac:dyDescent="0.3">
      <c r="A1717" s="4" t="s">
        <v>387</v>
      </c>
      <c r="B1717">
        <v>16</v>
      </c>
    </row>
    <row r="1718" spans="1:2" x14ac:dyDescent="0.3">
      <c r="A1718" s="4" t="s">
        <v>423</v>
      </c>
      <c r="B1718">
        <v>57</v>
      </c>
    </row>
    <row r="1719" spans="1:2" x14ac:dyDescent="0.3">
      <c r="A1719" s="4" t="s">
        <v>389</v>
      </c>
      <c r="B1719">
        <v>21</v>
      </c>
    </row>
    <row r="1720" spans="1:2" x14ac:dyDescent="0.3">
      <c r="A1720" s="4" t="s">
        <v>399</v>
      </c>
      <c r="B1720">
        <v>0</v>
      </c>
    </row>
    <row r="1721" spans="1:2" x14ac:dyDescent="0.3">
      <c r="A1721" s="4" t="s">
        <v>435</v>
      </c>
      <c r="B1721">
        <v>42</v>
      </c>
    </row>
    <row r="1722" spans="1:2" x14ac:dyDescent="0.3">
      <c r="A1722" s="4" t="s">
        <v>395</v>
      </c>
      <c r="B1722">
        <v>20</v>
      </c>
    </row>
    <row r="1723" spans="1:2" x14ac:dyDescent="0.3">
      <c r="A1723" s="4" t="s">
        <v>406</v>
      </c>
      <c r="B1723">
        <v>54</v>
      </c>
    </row>
    <row r="1724" spans="1:2" x14ac:dyDescent="0.3">
      <c r="A1724" s="4" t="s">
        <v>427</v>
      </c>
      <c r="B1724">
        <v>60</v>
      </c>
    </row>
    <row r="1725" spans="1:2" x14ac:dyDescent="0.3">
      <c r="A1725" s="4" t="s">
        <v>414</v>
      </c>
      <c r="B1725">
        <v>0</v>
      </c>
    </row>
    <row r="1726" spans="1:2" x14ac:dyDescent="0.3">
      <c r="A1726" s="4" t="s">
        <v>393</v>
      </c>
      <c r="B1726">
        <v>23</v>
      </c>
    </row>
    <row r="1727" spans="1:2" x14ac:dyDescent="0.3">
      <c r="A1727" s="4" t="s">
        <v>421</v>
      </c>
      <c r="B1727">
        <v>55</v>
      </c>
    </row>
    <row r="1728" spans="1:2" x14ac:dyDescent="0.3">
      <c r="A1728" s="4" t="s">
        <v>408</v>
      </c>
      <c r="B1728">
        <v>48</v>
      </c>
    </row>
    <row r="1729" spans="1:2" x14ac:dyDescent="0.3">
      <c r="A1729" s="4" t="s">
        <v>403</v>
      </c>
      <c r="B1729">
        <v>0</v>
      </c>
    </row>
    <row r="1730" spans="1:2" x14ac:dyDescent="0.3">
      <c r="A1730" s="4" t="s">
        <v>410</v>
      </c>
      <c r="B1730">
        <v>0</v>
      </c>
    </row>
    <row r="1731" spans="1:2" x14ac:dyDescent="0.3">
      <c r="A1731" s="4" t="s">
        <v>397</v>
      </c>
      <c r="B1731">
        <v>17</v>
      </c>
    </row>
    <row r="1732" spans="1:2" x14ac:dyDescent="0.3">
      <c r="A1732" s="4" t="s">
        <v>431</v>
      </c>
      <c r="B1732">
        <v>52</v>
      </c>
    </row>
    <row r="1733" spans="1:2" x14ac:dyDescent="0.3">
      <c r="A1733" s="4" t="s">
        <v>404</v>
      </c>
      <c r="B1733">
        <v>58</v>
      </c>
    </row>
    <row r="1734" spans="1:2" x14ac:dyDescent="0.3">
      <c r="A1734" s="4" t="s">
        <v>385</v>
      </c>
      <c r="B1734">
        <v>0</v>
      </c>
    </row>
    <row r="1735" spans="1:2" x14ac:dyDescent="0.3">
      <c r="A1735" s="4" t="s">
        <v>415</v>
      </c>
      <c r="B1735">
        <v>38</v>
      </c>
    </row>
    <row r="1736" spans="1:2" x14ac:dyDescent="0.3">
      <c r="A1736" s="3">
        <v>17058</v>
      </c>
      <c r="B1736">
        <v>36.25</v>
      </c>
    </row>
    <row r="1737" spans="1:2" x14ac:dyDescent="0.3">
      <c r="A1737" s="4" t="s">
        <v>425</v>
      </c>
      <c r="B1737">
        <v>21</v>
      </c>
    </row>
    <row r="1738" spans="1:2" x14ac:dyDescent="0.3">
      <c r="A1738" s="4" t="s">
        <v>401</v>
      </c>
      <c r="B1738">
        <v>49</v>
      </c>
    </row>
    <row r="1739" spans="1:2" x14ac:dyDescent="0.3">
      <c r="A1739" s="4" t="s">
        <v>419</v>
      </c>
      <c r="B1739">
        <v>54</v>
      </c>
    </row>
    <row r="1740" spans="1:2" x14ac:dyDescent="0.3">
      <c r="A1740" s="4" t="s">
        <v>433</v>
      </c>
      <c r="B1740">
        <v>4</v>
      </c>
    </row>
    <row r="1741" spans="1:2" x14ac:dyDescent="0.3">
      <c r="A1741" s="4" t="s">
        <v>429</v>
      </c>
      <c r="B1741">
        <v>5</v>
      </c>
    </row>
    <row r="1742" spans="1:2" x14ac:dyDescent="0.3">
      <c r="A1742" s="4" t="s">
        <v>380</v>
      </c>
      <c r="B1742">
        <v>39</v>
      </c>
    </row>
    <row r="1743" spans="1:2" x14ac:dyDescent="0.3">
      <c r="A1743" s="4" t="s">
        <v>383</v>
      </c>
      <c r="B1743">
        <v>61</v>
      </c>
    </row>
    <row r="1744" spans="1:2" x14ac:dyDescent="0.3">
      <c r="A1744" s="4" t="s">
        <v>417</v>
      </c>
      <c r="B1744">
        <v>57</v>
      </c>
    </row>
    <row r="1745" spans="1:2" x14ac:dyDescent="0.3">
      <c r="A1745" s="4" t="s">
        <v>412</v>
      </c>
      <c r="B1745">
        <v>29</v>
      </c>
    </row>
    <row r="1746" spans="1:2" x14ac:dyDescent="0.3">
      <c r="A1746" s="4" t="s">
        <v>391</v>
      </c>
      <c r="B1746">
        <v>39</v>
      </c>
    </row>
    <row r="1747" spans="1:2" x14ac:dyDescent="0.3">
      <c r="A1747" s="4" t="s">
        <v>387</v>
      </c>
      <c r="B1747">
        <v>53</v>
      </c>
    </row>
    <row r="1748" spans="1:2" x14ac:dyDescent="0.3">
      <c r="A1748" s="4" t="s">
        <v>423</v>
      </c>
      <c r="B1748">
        <v>29</v>
      </c>
    </row>
    <row r="1749" spans="1:2" x14ac:dyDescent="0.3">
      <c r="A1749" s="4" t="s">
        <v>399</v>
      </c>
      <c r="B1749">
        <v>43</v>
      </c>
    </row>
    <row r="1750" spans="1:2" x14ac:dyDescent="0.3">
      <c r="A1750" s="4" t="s">
        <v>435</v>
      </c>
      <c r="B1750">
        <v>2</v>
      </c>
    </row>
    <row r="1751" spans="1:2" x14ac:dyDescent="0.3">
      <c r="A1751" s="4" t="s">
        <v>395</v>
      </c>
      <c r="B1751">
        <v>53</v>
      </c>
    </row>
    <row r="1752" spans="1:2" x14ac:dyDescent="0.3">
      <c r="A1752" s="4" t="s">
        <v>406</v>
      </c>
      <c r="B1752">
        <v>36</v>
      </c>
    </row>
    <row r="1753" spans="1:2" x14ac:dyDescent="0.3">
      <c r="A1753" s="4" t="s">
        <v>427</v>
      </c>
      <c r="B1753">
        <v>17</v>
      </c>
    </row>
    <row r="1754" spans="1:2" x14ac:dyDescent="0.3">
      <c r="A1754" s="4" t="s">
        <v>414</v>
      </c>
      <c r="B1754">
        <v>29</v>
      </c>
    </row>
    <row r="1755" spans="1:2" x14ac:dyDescent="0.3">
      <c r="A1755" s="4" t="s">
        <v>393</v>
      </c>
      <c r="B1755">
        <v>62</v>
      </c>
    </row>
    <row r="1756" spans="1:2" x14ac:dyDescent="0.3">
      <c r="A1756" s="4" t="s">
        <v>421</v>
      </c>
      <c r="B1756">
        <v>42</v>
      </c>
    </row>
    <row r="1757" spans="1:2" x14ac:dyDescent="0.3">
      <c r="A1757" s="4" t="s">
        <v>408</v>
      </c>
      <c r="B1757">
        <v>30</v>
      </c>
    </row>
    <row r="1758" spans="1:2" x14ac:dyDescent="0.3">
      <c r="A1758" s="4" t="s">
        <v>403</v>
      </c>
      <c r="B1758">
        <v>46</v>
      </c>
    </row>
    <row r="1759" spans="1:2" x14ac:dyDescent="0.3">
      <c r="A1759" s="4" t="s">
        <v>410</v>
      </c>
      <c r="B1759">
        <v>24</v>
      </c>
    </row>
    <row r="1760" spans="1:2" x14ac:dyDescent="0.3">
      <c r="A1760" s="4" t="s">
        <v>397</v>
      </c>
      <c r="B1760">
        <v>41</v>
      </c>
    </row>
    <row r="1761" spans="1:2" x14ac:dyDescent="0.3">
      <c r="A1761" s="4" t="s">
        <v>431</v>
      </c>
      <c r="B1761">
        <v>0</v>
      </c>
    </row>
    <row r="1762" spans="1:2" x14ac:dyDescent="0.3">
      <c r="A1762" s="4" t="s">
        <v>404</v>
      </c>
      <c r="B1762">
        <v>35</v>
      </c>
    </row>
    <row r="1763" spans="1:2" x14ac:dyDescent="0.3">
      <c r="A1763" s="4" t="s">
        <v>385</v>
      </c>
      <c r="B1763">
        <v>62</v>
      </c>
    </row>
    <row r="1764" spans="1:2" x14ac:dyDescent="0.3">
      <c r="A1764" s="4" t="s">
        <v>415</v>
      </c>
      <c r="B1764">
        <v>53</v>
      </c>
    </row>
    <row r="1765" spans="1:2" x14ac:dyDescent="0.3">
      <c r="A1765" s="3">
        <v>20665</v>
      </c>
      <c r="B1765">
        <v>7.625</v>
      </c>
    </row>
    <row r="1766" spans="1:2" x14ac:dyDescent="0.3">
      <c r="A1766" s="4" t="s">
        <v>41</v>
      </c>
      <c r="B1766">
        <v>1</v>
      </c>
    </row>
    <row r="1767" spans="1:2" x14ac:dyDescent="0.3">
      <c r="A1767" s="4" t="s">
        <v>58</v>
      </c>
      <c r="B1767">
        <v>11</v>
      </c>
    </row>
    <row r="1768" spans="1:2" x14ac:dyDescent="0.3">
      <c r="A1768" s="4" t="s">
        <v>64</v>
      </c>
      <c r="B1768">
        <v>15</v>
      </c>
    </row>
    <row r="1769" spans="1:2" x14ac:dyDescent="0.3">
      <c r="A1769" s="4" t="s">
        <v>44</v>
      </c>
      <c r="B1769">
        <v>3</v>
      </c>
    </row>
    <row r="1770" spans="1:2" x14ac:dyDescent="0.3">
      <c r="A1770" s="4" t="s">
        <v>54</v>
      </c>
      <c r="B1770">
        <v>7</v>
      </c>
    </row>
    <row r="1771" spans="1:2" x14ac:dyDescent="0.3">
      <c r="A1771" s="4" t="s">
        <v>81</v>
      </c>
      <c r="B1771">
        <v>0</v>
      </c>
    </row>
    <row r="1772" spans="1:2" x14ac:dyDescent="0.3">
      <c r="A1772" s="4" t="s">
        <v>50</v>
      </c>
      <c r="B1772">
        <v>7</v>
      </c>
    </row>
    <row r="1773" spans="1:2" x14ac:dyDescent="0.3">
      <c r="A1773" s="4" t="s">
        <v>75</v>
      </c>
      <c r="B1773">
        <v>17</v>
      </c>
    </row>
    <row r="1774" spans="1:2" x14ac:dyDescent="0.3">
      <c r="A1774" s="3">
        <v>20666</v>
      </c>
      <c r="B1774">
        <v>6</v>
      </c>
    </row>
    <row r="1775" spans="1:2" x14ac:dyDescent="0.3">
      <c r="A1775" s="4" t="s">
        <v>41</v>
      </c>
      <c r="B1775">
        <v>4</v>
      </c>
    </row>
    <row r="1776" spans="1:2" x14ac:dyDescent="0.3">
      <c r="A1776" s="4" t="s">
        <v>58</v>
      </c>
      <c r="B1776">
        <v>9</v>
      </c>
    </row>
    <row r="1777" spans="1:2" x14ac:dyDescent="0.3">
      <c r="A1777" s="4" t="s">
        <v>64</v>
      </c>
      <c r="B1777">
        <v>2</v>
      </c>
    </row>
    <row r="1778" spans="1:2" x14ac:dyDescent="0.3">
      <c r="A1778" s="4" t="s">
        <v>44</v>
      </c>
      <c r="B1778">
        <v>20</v>
      </c>
    </row>
    <row r="1779" spans="1:2" x14ac:dyDescent="0.3">
      <c r="A1779" s="4" t="s">
        <v>54</v>
      </c>
      <c r="B1779">
        <v>3</v>
      </c>
    </row>
    <row r="1780" spans="1:2" x14ac:dyDescent="0.3">
      <c r="A1780" s="4" t="s">
        <v>81</v>
      </c>
      <c r="B1780">
        <v>0</v>
      </c>
    </row>
    <row r="1781" spans="1:2" x14ac:dyDescent="0.3">
      <c r="A1781" s="4" t="s">
        <v>50</v>
      </c>
      <c r="B1781">
        <v>10</v>
      </c>
    </row>
    <row r="1782" spans="1:2" x14ac:dyDescent="0.3">
      <c r="A1782" s="4" t="s">
        <v>75</v>
      </c>
      <c r="B1782">
        <v>0</v>
      </c>
    </row>
    <row r="1783" spans="1:2" x14ac:dyDescent="0.3">
      <c r="A1783" s="3">
        <v>22221</v>
      </c>
      <c r="B1783">
        <v>5.7</v>
      </c>
    </row>
    <row r="1784" spans="1:2" x14ac:dyDescent="0.3">
      <c r="A1784" s="4" t="s">
        <v>107</v>
      </c>
      <c r="B1784">
        <v>0</v>
      </c>
    </row>
    <row r="1785" spans="1:2" x14ac:dyDescent="0.3">
      <c r="A1785" s="4" t="s">
        <v>101</v>
      </c>
      <c r="B1785">
        <v>12</v>
      </c>
    </row>
    <row r="1786" spans="1:2" x14ac:dyDescent="0.3">
      <c r="A1786" s="4" t="s">
        <v>556</v>
      </c>
      <c r="B1786">
        <v>12</v>
      </c>
    </row>
    <row r="1787" spans="1:2" x14ac:dyDescent="0.3">
      <c r="A1787" s="4" t="s">
        <v>380</v>
      </c>
      <c r="B1787">
        <v>1</v>
      </c>
    </row>
    <row r="1788" spans="1:2" x14ac:dyDescent="0.3">
      <c r="A1788" s="4" t="s">
        <v>105</v>
      </c>
      <c r="B1788">
        <v>14</v>
      </c>
    </row>
    <row r="1789" spans="1:2" x14ac:dyDescent="0.3">
      <c r="A1789" s="4" t="s">
        <v>109</v>
      </c>
      <c r="B1789">
        <v>0</v>
      </c>
    </row>
    <row r="1790" spans="1:2" x14ac:dyDescent="0.3">
      <c r="A1790" s="4" t="s">
        <v>554</v>
      </c>
      <c r="B1790">
        <v>0</v>
      </c>
    </row>
    <row r="1791" spans="1:2" x14ac:dyDescent="0.3">
      <c r="A1791" s="4" t="s">
        <v>387</v>
      </c>
      <c r="B1791">
        <v>9</v>
      </c>
    </row>
    <row r="1792" spans="1:2" x14ac:dyDescent="0.3">
      <c r="A1792" s="4" t="s">
        <v>393</v>
      </c>
      <c r="B1792">
        <v>0</v>
      </c>
    </row>
    <row r="1793" spans="1:2" x14ac:dyDescent="0.3">
      <c r="A1793" s="4" t="s">
        <v>103</v>
      </c>
      <c r="B1793">
        <v>9</v>
      </c>
    </row>
    <row r="1794" spans="1:2" x14ac:dyDescent="0.3">
      <c r="A1794" s="3">
        <v>22222</v>
      </c>
      <c r="B1794">
        <v>15</v>
      </c>
    </row>
    <row r="1795" spans="1:2" x14ac:dyDescent="0.3">
      <c r="A1795" s="4" t="s">
        <v>107</v>
      </c>
      <c r="B1795">
        <v>16</v>
      </c>
    </row>
    <row r="1796" spans="1:2" x14ac:dyDescent="0.3">
      <c r="A1796" s="4" t="s">
        <v>101</v>
      </c>
      <c r="B1796">
        <v>23</v>
      </c>
    </row>
    <row r="1797" spans="1:2" x14ac:dyDescent="0.3">
      <c r="A1797" s="4" t="s">
        <v>556</v>
      </c>
      <c r="B1797">
        <v>22</v>
      </c>
    </row>
    <row r="1798" spans="1:2" x14ac:dyDescent="0.3">
      <c r="A1798" s="4" t="s">
        <v>380</v>
      </c>
      <c r="B1798">
        <v>0</v>
      </c>
    </row>
    <row r="1799" spans="1:2" x14ac:dyDescent="0.3">
      <c r="A1799" s="4" t="s">
        <v>105</v>
      </c>
      <c r="B1799">
        <v>13</v>
      </c>
    </row>
    <row r="1800" spans="1:2" x14ac:dyDescent="0.3">
      <c r="A1800" s="4" t="s">
        <v>109</v>
      </c>
      <c r="B1800">
        <v>1</v>
      </c>
    </row>
    <row r="1801" spans="1:2" x14ac:dyDescent="0.3">
      <c r="A1801" s="4" t="s">
        <v>554</v>
      </c>
      <c r="B1801">
        <v>25</v>
      </c>
    </row>
    <row r="1802" spans="1:2" x14ac:dyDescent="0.3">
      <c r="A1802" s="4" t="s">
        <v>387</v>
      </c>
      <c r="B1802">
        <v>22</v>
      </c>
    </row>
    <row r="1803" spans="1:2" x14ac:dyDescent="0.3">
      <c r="A1803" s="4" t="s">
        <v>393</v>
      </c>
      <c r="B1803">
        <v>23</v>
      </c>
    </row>
    <row r="1804" spans="1:2" x14ac:dyDescent="0.3">
      <c r="A1804" s="4" t="s">
        <v>103</v>
      </c>
      <c r="B1804">
        <v>5</v>
      </c>
    </row>
    <row r="1805" spans="1:2" x14ac:dyDescent="0.3">
      <c r="A1805" s="3">
        <v>22225</v>
      </c>
      <c r="B1805">
        <v>8.5714285714285712</v>
      </c>
    </row>
    <row r="1806" spans="1:2" x14ac:dyDescent="0.3">
      <c r="A1806" s="4" t="s">
        <v>380</v>
      </c>
      <c r="B1806">
        <v>2</v>
      </c>
    </row>
    <row r="1807" spans="1:2" x14ac:dyDescent="0.3">
      <c r="A1807" s="4" t="s">
        <v>383</v>
      </c>
      <c r="B1807">
        <v>5</v>
      </c>
    </row>
    <row r="1808" spans="1:2" x14ac:dyDescent="0.3">
      <c r="A1808" s="4" t="s">
        <v>387</v>
      </c>
      <c r="B1808">
        <v>12</v>
      </c>
    </row>
    <row r="1809" spans="1:2" x14ac:dyDescent="0.3">
      <c r="A1809" s="4" t="s">
        <v>656</v>
      </c>
      <c r="B1809">
        <v>16</v>
      </c>
    </row>
    <row r="1810" spans="1:2" x14ac:dyDescent="0.3">
      <c r="A1810" s="4" t="s">
        <v>471</v>
      </c>
      <c r="B1810">
        <v>16</v>
      </c>
    </row>
    <row r="1811" spans="1:2" x14ac:dyDescent="0.3">
      <c r="A1811" s="4" t="s">
        <v>473</v>
      </c>
      <c r="B1811">
        <v>3</v>
      </c>
    </row>
    <row r="1812" spans="1:2" x14ac:dyDescent="0.3">
      <c r="A1812" s="4" t="s">
        <v>385</v>
      </c>
      <c r="B1812">
        <v>6</v>
      </c>
    </row>
    <row r="1813" spans="1:2" x14ac:dyDescent="0.3">
      <c r="A1813" s="3">
        <v>22226</v>
      </c>
      <c r="B1813">
        <v>8.8571428571428577</v>
      </c>
    </row>
    <row r="1814" spans="1:2" x14ac:dyDescent="0.3">
      <c r="A1814" s="4" t="s">
        <v>380</v>
      </c>
      <c r="B1814">
        <v>13</v>
      </c>
    </row>
    <row r="1815" spans="1:2" x14ac:dyDescent="0.3">
      <c r="A1815" s="4" t="s">
        <v>383</v>
      </c>
      <c r="B1815">
        <v>19</v>
      </c>
    </row>
    <row r="1816" spans="1:2" x14ac:dyDescent="0.3">
      <c r="A1816" s="4" t="s">
        <v>387</v>
      </c>
      <c r="B1816">
        <v>0</v>
      </c>
    </row>
    <row r="1817" spans="1:2" x14ac:dyDescent="0.3">
      <c r="A1817" s="4" t="s">
        <v>656</v>
      </c>
      <c r="B1817">
        <v>6</v>
      </c>
    </row>
    <row r="1818" spans="1:2" x14ac:dyDescent="0.3">
      <c r="A1818" s="4" t="s">
        <v>471</v>
      </c>
      <c r="B1818">
        <v>5</v>
      </c>
    </row>
    <row r="1819" spans="1:2" x14ac:dyDescent="0.3">
      <c r="A1819" s="4" t="s">
        <v>473</v>
      </c>
      <c r="B1819">
        <v>1</v>
      </c>
    </row>
    <row r="1820" spans="1:2" x14ac:dyDescent="0.3">
      <c r="A1820" s="4" t="s">
        <v>385</v>
      </c>
      <c r="B1820">
        <v>18</v>
      </c>
    </row>
    <row r="1821" spans="1:2" x14ac:dyDescent="0.3">
      <c r="A1821" s="3">
        <v>22301</v>
      </c>
      <c r="B1821">
        <v>9.1666666666666661</v>
      </c>
    </row>
    <row r="1822" spans="1:2" x14ac:dyDescent="0.3">
      <c r="A1822" s="4" t="s">
        <v>309</v>
      </c>
      <c r="B1822">
        <v>14</v>
      </c>
    </row>
    <row r="1823" spans="1:2" x14ac:dyDescent="0.3">
      <c r="A1823" s="4" t="s">
        <v>305</v>
      </c>
      <c r="B1823">
        <v>19</v>
      </c>
    </row>
    <row r="1824" spans="1:2" x14ac:dyDescent="0.3">
      <c r="A1824" s="4" t="s">
        <v>115</v>
      </c>
      <c r="B1824">
        <v>0</v>
      </c>
    </row>
    <row r="1825" spans="1:2" x14ac:dyDescent="0.3">
      <c r="A1825" s="4" t="s">
        <v>311</v>
      </c>
      <c r="B1825">
        <v>10</v>
      </c>
    </row>
    <row r="1826" spans="1:2" x14ac:dyDescent="0.3">
      <c r="A1826" s="4" t="s">
        <v>307</v>
      </c>
      <c r="B1826">
        <v>5</v>
      </c>
    </row>
    <row r="1827" spans="1:2" x14ac:dyDescent="0.3">
      <c r="A1827" s="4" t="s">
        <v>313</v>
      </c>
      <c r="B1827">
        <v>7</v>
      </c>
    </row>
    <row r="1828" spans="1:2" x14ac:dyDescent="0.3">
      <c r="A1828" s="3">
        <v>22302</v>
      </c>
      <c r="B1828">
        <v>10.5</v>
      </c>
    </row>
    <row r="1829" spans="1:2" x14ac:dyDescent="0.3">
      <c r="A1829" s="4" t="s">
        <v>309</v>
      </c>
      <c r="B1829">
        <v>11</v>
      </c>
    </row>
    <row r="1830" spans="1:2" x14ac:dyDescent="0.3">
      <c r="A1830" s="4" t="s">
        <v>305</v>
      </c>
      <c r="B1830">
        <v>21</v>
      </c>
    </row>
    <row r="1831" spans="1:2" x14ac:dyDescent="0.3">
      <c r="A1831" s="4" t="s">
        <v>115</v>
      </c>
      <c r="B1831">
        <v>0</v>
      </c>
    </row>
    <row r="1832" spans="1:2" x14ac:dyDescent="0.3">
      <c r="A1832" s="4" t="s">
        <v>311</v>
      </c>
      <c r="B1832">
        <v>15</v>
      </c>
    </row>
    <row r="1833" spans="1:2" x14ac:dyDescent="0.3">
      <c r="A1833" s="4" t="s">
        <v>307</v>
      </c>
      <c r="B1833">
        <v>15</v>
      </c>
    </row>
    <row r="1834" spans="1:2" x14ac:dyDescent="0.3">
      <c r="A1834" s="4" t="s">
        <v>313</v>
      </c>
      <c r="B1834">
        <v>1</v>
      </c>
    </row>
    <row r="1835" spans="1:2" x14ac:dyDescent="0.3">
      <c r="A1835" s="3">
        <v>22601</v>
      </c>
      <c r="B1835">
        <v>51.913043478260867</v>
      </c>
    </row>
    <row r="1836" spans="1:2" x14ac:dyDescent="0.3">
      <c r="A1836" s="4" t="s">
        <v>486</v>
      </c>
      <c r="B1836">
        <v>66</v>
      </c>
    </row>
    <row r="1837" spans="1:2" x14ac:dyDescent="0.3">
      <c r="A1837" s="4" t="s">
        <v>738</v>
      </c>
      <c r="B1837">
        <v>90</v>
      </c>
    </row>
    <row r="1838" spans="1:2" x14ac:dyDescent="0.3">
      <c r="A1838" s="4" t="s">
        <v>660</v>
      </c>
      <c r="B1838">
        <v>64</v>
      </c>
    </row>
    <row r="1839" spans="1:2" x14ac:dyDescent="0.3">
      <c r="A1839" s="4" t="s">
        <v>18</v>
      </c>
      <c r="B1839">
        <v>0</v>
      </c>
    </row>
    <row r="1840" spans="1:2" x14ac:dyDescent="0.3">
      <c r="A1840" s="4" t="s">
        <v>193</v>
      </c>
      <c r="B1840">
        <v>63</v>
      </c>
    </row>
    <row r="1841" spans="1:2" x14ac:dyDescent="0.3">
      <c r="A1841" s="4" t="s">
        <v>13</v>
      </c>
      <c r="B1841">
        <v>1</v>
      </c>
    </row>
    <row r="1842" spans="1:2" x14ac:dyDescent="0.3">
      <c r="A1842" s="4" t="s">
        <v>654</v>
      </c>
      <c r="B1842">
        <v>59</v>
      </c>
    </row>
    <row r="1843" spans="1:2" x14ac:dyDescent="0.3">
      <c r="A1843" s="4" t="s">
        <v>662</v>
      </c>
      <c r="B1843">
        <v>65</v>
      </c>
    </row>
    <row r="1844" spans="1:2" x14ac:dyDescent="0.3">
      <c r="A1844" s="4" t="s">
        <v>488</v>
      </c>
      <c r="B1844">
        <v>70</v>
      </c>
    </row>
    <row r="1845" spans="1:2" x14ac:dyDescent="0.3">
      <c r="A1845" s="4" t="s">
        <v>734</v>
      </c>
      <c r="B1845">
        <v>62</v>
      </c>
    </row>
    <row r="1846" spans="1:2" x14ac:dyDescent="0.3">
      <c r="A1846" s="4" t="s">
        <v>22</v>
      </c>
      <c r="B1846">
        <v>0</v>
      </c>
    </row>
    <row r="1847" spans="1:2" x14ac:dyDescent="0.3">
      <c r="A1847" s="4" t="s">
        <v>475</v>
      </c>
      <c r="B1847">
        <v>67</v>
      </c>
    </row>
    <row r="1848" spans="1:2" x14ac:dyDescent="0.3">
      <c r="A1848" s="4" t="s">
        <v>20</v>
      </c>
      <c r="B1848">
        <v>55</v>
      </c>
    </row>
    <row r="1849" spans="1:2" x14ac:dyDescent="0.3">
      <c r="A1849" s="4" t="s">
        <v>191</v>
      </c>
      <c r="B1849">
        <v>73</v>
      </c>
    </row>
    <row r="1850" spans="1:2" x14ac:dyDescent="0.3">
      <c r="A1850" s="4" t="s">
        <v>195</v>
      </c>
      <c r="B1850">
        <v>59</v>
      </c>
    </row>
    <row r="1851" spans="1:2" x14ac:dyDescent="0.3">
      <c r="A1851" s="4" t="s">
        <v>730</v>
      </c>
      <c r="B1851">
        <v>59</v>
      </c>
    </row>
    <row r="1852" spans="1:2" x14ac:dyDescent="0.3">
      <c r="A1852" s="4" t="s">
        <v>484</v>
      </c>
      <c r="B1852">
        <v>61</v>
      </c>
    </row>
    <row r="1853" spans="1:2" x14ac:dyDescent="0.3">
      <c r="A1853" s="4" t="s">
        <v>482</v>
      </c>
      <c r="B1853">
        <v>61</v>
      </c>
    </row>
    <row r="1854" spans="1:2" x14ac:dyDescent="0.3">
      <c r="A1854" s="4" t="s">
        <v>736</v>
      </c>
      <c r="B1854">
        <v>0</v>
      </c>
    </row>
    <row r="1855" spans="1:2" x14ac:dyDescent="0.3">
      <c r="A1855" s="4" t="s">
        <v>740</v>
      </c>
      <c r="B1855">
        <v>40</v>
      </c>
    </row>
    <row r="1856" spans="1:2" x14ac:dyDescent="0.3">
      <c r="A1856" s="4" t="s">
        <v>473</v>
      </c>
      <c r="B1856">
        <v>66</v>
      </c>
    </row>
    <row r="1857" spans="1:2" x14ac:dyDescent="0.3">
      <c r="A1857" s="4" t="s">
        <v>476</v>
      </c>
      <c r="B1857">
        <v>54</v>
      </c>
    </row>
    <row r="1858" spans="1:2" x14ac:dyDescent="0.3">
      <c r="A1858" s="4" t="s">
        <v>732</v>
      </c>
      <c r="B1858">
        <v>59</v>
      </c>
    </row>
    <row r="1859" spans="1:2" x14ac:dyDescent="0.3">
      <c r="A1859" s="3">
        <v>22602</v>
      </c>
      <c r="B1859">
        <v>10.583333333333334</v>
      </c>
    </row>
    <row r="1860" spans="1:2" x14ac:dyDescent="0.3">
      <c r="A1860" s="4" t="s">
        <v>486</v>
      </c>
      <c r="B1860">
        <v>17</v>
      </c>
    </row>
    <row r="1861" spans="1:2" x14ac:dyDescent="0.3">
      <c r="A1861" s="4" t="s">
        <v>738</v>
      </c>
      <c r="B1861">
        <v>0</v>
      </c>
    </row>
    <row r="1862" spans="1:2" x14ac:dyDescent="0.3">
      <c r="A1862" s="4" t="s">
        <v>660</v>
      </c>
      <c r="B1862">
        <v>21</v>
      </c>
    </row>
    <row r="1863" spans="1:2" x14ac:dyDescent="0.3">
      <c r="A1863" s="4" t="s">
        <v>18</v>
      </c>
      <c r="B1863">
        <v>0</v>
      </c>
    </row>
    <row r="1864" spans="1:2" x14ac:dyDescent="0.3">
      <c r="A1864" s="4" t="s">
        <v>193</v>
      </c>
      <c r="B1864">
        <v>8</v>
      </c>
    </row>
    <row r="1865" spans="1:2" x14ac:dyDescent="0.3">
      <c r="A1865" s="4" t="s">
        <v>13</v>
      </c>
      <c r="B1865">
        <v>10</v>
      </c>
    </row>
    <row r="1866" spans="1:2" x14ac:dyDescent="0.3">
      <c r="A1866" s="4" t="s">
        <v>654</v>
      </c>
      <c r="B1866">
        <v>18</v>
      </c>
    </row>
    <row r="1867" spans="1:2" x14ac:dyDescent="0.3">
      <c r="A1867" s="4" t="s">
        <v>662</v>
      </c>
      <c r="B1867">
        <v>0</v>
      </c>
    </row>
    <row r="1868" spans="1:2" x14ac:dyDescent="0.3">
      <c r="A1868" s="4" t="s">
        <v>488</v>
      </c>
      <c r="B1868">
        <v>15</v>
      </c>
    </row>
    <row r="1869" spans="1:2" x14ac:dyDescent="0.3">
      <c r="A1869" s="4" t="s">
        <v>734</v>
      </c>
      <c r="B1869">
        <v>12</v>
      </c>
    </row>
    <row r="1870" spans="1:2" x14ac:dyDescent="0.3">
      <c r="A1870" s="4" t="s">
        <v>22</v>
      </c>
      <c r="B1870">
        <v>2</v>
      </c>
    </row>
    <row r="1871" spans="1:2" x14ac:dyDescent="0.3">
      <c r="A1871" s="4" t="s">
        <v>475</v>
      </c>
      <c r="B1871">
        <v>26</v>
      </c>
    </row>
    <row r="1872" spans="1:2" x14ac:dyDescent="0.3">
      <c r="A1872" s="4" t="s">
        <v>20</v>
      </c>
      <c r="B1872">
        <v>5</v>
      </c>
    </row>
    <row r="1873" spans="1:2" x14ac:dyDescent="0.3">
      <c r="A1873" s="4" t="s">
        <v>191</v>
      </c>
      <c r="B1873">
        <v>4</v>
      </c>
    </row>
    <row r="1874" spans="1:2" x14ac:dyDescent="0.3">
      <c r="A1874" s="4" t="s">
        <v>195</v>
      </c>
      <c r="B1874">
        <v>12</v>
      </c>
    </row>
    <row r="1875" spans="1:2" x14ac:dyDescent="0.3">
      <c r="A1875" s="4" t="s">
        <v>730</v>
      </c>
      <c r="B1875">
        <v>8</v>
      </c>
    </row>
    <row r="1876" spans="1:2" x14ac:dyDescent="0.3">
      <c r="A1876" s="4" t="s">
        <v>484</v>
      </c>
      <c r="B1876">
        <v>0</v>
      </c>
    </row>
    <row r="1877" spans="1:2" x14ac:dyDescent="0.3">
      <c r="A1877" s="4" t="s">
        <v>35</v>
      </c>
      <c r="B1877">
        <v>19</v>
      </c>
    </row>
    <row r="1878" spans="1:2" x14ac:dyDescent="0.3">
      <c r="A1878" s="4" t="s">
        <v>482</v>
      </c>
      <c r="B1878">
        <v>13</v>
      </c>
    </row>
    <row r="1879" spans="1:2" x14ac:dyDescent="0.3">
      <c r="A1879" s="4" t="s">
        <v>736</v>
      </c>
      <c r="B1879">
        <v>13</v>
      </c>
    </row>
    <row r="1880" spans="1:2" x14ac:dyDescent="0.3">
      <c r="A1880" s="4" t="s">
        <v>740</v>
      </c>
      <c r="B1880">
        <v>2</v>
      </c>
    </row>
    <row r="1881" spans="1:2" x14ac:dyDescent="0.3">
      <c r="A1881" s="4" t="s">
        <v>473</v>
      </c>
      <c r="B1881">
        <v>30</v>
      </c>
    </row>
    <row r="1882" spans="1:2" x14ac:dyDescent="0.3">
      <c r="A1882" s="4" t="s">
        <v>476</v>
      </c>
      <c r="B1882">
        <v>0</v>
      </c>
    </row>
    <row r="1883" spans="1:2" x14ac:dyDescent="0.3">
      <c r="A1883" s="4" t="s">
        <v>732</v>
      </c>
      <c r="B1883">
        <v>19</v>
      </c>
    </row>
    <row r="1884" spans="1:2" x14ac:dyDescent="0.3">
      <c r="A1884" s="3">
        <v>22651</v>
      </c>
      <c r="B1884">
        <v>11.315789473684211</v>
      </c>
    </row>
    <row r="1885" spans="1:2" x14ac:dyDescent="0.3">
      <c r="A1885" s="4" t="s">
        <v>18</v>
      </c>
      <c r="B1885">
        <v>15</v>
      </c>
    </row>
    <row r="1886" spans="1:2" x14ac:dyDescent="0.3">
      <c r="A1886" s="4" t="s">
        <v>13</v>
      </c>
      <c r="B1886">
        <v>3</v>
      </c>
    </row>
    <row r="1887" spans="1:2" x14ac:dyDescent="0.3">
      <c r="A1887" s="4" t="s">
        <v>58</v>
      </c>
      <c r="B1887">
        <v>17</v>
      </c>
    </row>
    <row r="1888" spans="1:2" x14ac:dyDescent="0.3">
      <c r="A1888" s="4" t="s">
        <v>442</v>
      </c>
      <c r="B1888">
        <v>24</v>
      </c>
    </row>
    <row r="1889" spans="1:2" x14ac:dyDescent="0.3">
      <c r="A1889" s="4" t="s">
        <v>22</v>
      </c>
      <c r="B1889">
        <v>12</v>
      </c>
    </row>
    <row r="1890" spans="1:2" x14ac:dyDescent="0.3">
      <c r="A1890" s="4" t="s">
        <v>452</v>
      </c>
      <c r="B1890">
        <v>11</v>
      </c>
    </row>
    <row r="1891" spans="1:2" x14ac:dyDescent="0.3">
      <c r="A1891" s="4" t="s">
        <v>20</v>
      </c>
      <c r="B1891">
        <v>18</v>
      </c>
    </row>
    <row r="1892" spans="1:2" x14ac:dyDescent="0.3">
      <c r="A1892" s="4" t="s">
        <v>450</v>
      </c>
      <c r="B1892">
        <v>13</v>
      </c>
    </row>
    <row r="1893" spans="1:2" x14ac:dyDescent="0.3">
      <c r="A1893" s="4" t="s">
        <v>444</v>
      </c>
      <c r="B1893">
        <v>17</v>
      </c>
    </row>
    <row r="1894" spans="1:2" x14ac:dyDescent="0.3">
      <c r="A1894" s="4" t="s">
        <v>448</v>
      </c>
      <c r="B1894">
        <v>13</v>
      </c>
    </row>
    <row r="1895" spans="1:2" x14ac:dyDescent="0.3">
      <c r="A1895" s="4" t="s">
        <v>454</v>
      </c>
      <c r="B1895">
        <v>14</v>
      </c>
    </row>
    <row r="1896" spans="1:2" x14ac:dyDescent="0.3">
      <c r="A1896" s="4" t="s">
        <v>270</v>
      </c>
      <c r="B1896">
        <v>0</v>
      </c>
    </row>
    <row r="1897" spans="1:2" x14ac:dyDescent="0.3">
      <c r="A1897" s="4" t="s">
        <v>456</v>
      </c>
      <c r="B1897">
        <v>0</v>
      </c>
    </row>
    <row r="1898" spans="1:2" x14ac:dyDescent="0.3">
      <c r="A1898" s="4" t="s">
        <v>462</v>
      </c>
      <c r="B1898">
        <v>1</v>
      </c>
    </row>
    <row r="1899" spans="1:2" x14ac:dyDescent="0.3">
      <c r="A1899" s="4" t="s">
        <v>460</v>
      </c>
      <c r="B1899">
        <v>8</v>
      </c>
    </row>
    <row r="1900" spans="1:2" x14ac:dyDescent="0.3">
      <c r="A1900" s="4" t="s">
        <v>446</v>
      </c>
      <c r="B1900">
        <v>14</v>
      </c>
    </row>
    <row r="1901" spans="1:2" x14ac:dyDescent="0.3">
      <c r="A1901" s="4" t="s">
        <v>24</v>
      </c>
      <c r="B1901">
        <v>14</v>
      </c>
    </row>
    <row r="1902" spans="1:2" x14ac:dyDescent="0.3">
      <c r="A1902" s="4" t="s">
        <v>440</v>
      </c>
      <c r="B1902">
        <v>8</v>
      </c>
    </row>
    <row r="1903" spans="1:2" x14ac:dyDescent="0.3">
      <c r="A1903" s="4" t="s">
        <v>458</v>
      </c>
      <c r="B1903">
        <v>13</v>
      </c>
    </row>
    <row r="1904" spans="1:2" x14ac:dyDescent="0.3">
      <c r="A1904" s="3">
        <v>22652</v>
      </c>
      <c r="B1904">
        <v>7.05</v>
      </c>
    </row>
    <row r="1905" spans="1:2" x14ac:dyDescent="0.3">
      <c r="A1905" s="4" t="s">
        <v>18</v>
      </c>
      <c r="B1905">
        <v>10</v>
      </c>
    </row>
    <row r="1906" spans="1:2" x14ac:dyDescent="0.3">
      <c r="A1906" s="4" t="s">
        <v>13</v>
      </c>
      <c r="B1906">
        <v>1</v>
      </c>
    </row>
    <row r="1907" spans="1:2" x14ac:dyDescent="0.3">
      <c r="A1907" s="4" t="s">
        <v>58</v>
      </c>
      <c r="B1907">
        <v>5</v>
      </c>
    </row>
    <row r="1908" spans="1:2" x14ac:dyDescent="0.3">
      <c r="A1908" s="4" t="s">
        <v>442</v>
      </c>
      <c r="B1908">
        <v>5</v>
      </c>
    </row>
    <row r="1909" spans="1:2" x14ac:dyDescent="0.3">
      <c r="A1909" s="4" t="s">
        <v>22</v>
      </c>
      <c r="B1909">
        <v>3</v>
      </c>
    </row>
    <row r="1910" spans="1:2" x14ac:dyDescent="0.3">
      <c r="A1910" s="4" t="s">
        <v>452</v>
      </c>
      <c r="B1910">
        <v>7</v>
      </c>
    </row>
    <row r="1911" spans="1:2" x14ac:dyDescent="0.3">
      <c r="A1911" s="4" t="s">
        <v>20</v>
      </c>
      <c r="B1911">
        <v>7</v>
      </c>
    </row>
    <row r="1912" spans="1:2" x14ac:dyDescent="0.3">
      <c r="A1912" s="4" t="s">
        <v>450</v>
      </c>
      <c r="B1912">
        <v>11</v>
      </c>
    </row>
    <row r="1913" spans="1:2" x14ac:dyDescent="0.3">
      <c r="A1913" s="4" t="s">
        <v>444</v>
      </c>
      <c r="B1913">
        <v>6</v>
      </c>
    </row>
    <row r="1914" spans="1:2" x14ac:dyDescent="0.3">
      <c r="A1914" s="4" t="s">
        <v>448</v>
      </c>
      <c r="B1914">
        <v>13</v>
      </c>
    </row>
    <row r="1915" spans="1:2" x14ac:dyDescent="0.3">
      <c r="A1915" s="4" t="s">
        <v>454</v>
      </c>
      <c r="B1915">
        <v>11</v>
      </c>
    </row>
    <row r="1916" spans="1:2" x14ac:dyDescent="0.3">
      <c r="A1916" s="4" t="s">
        <v>270</v>
      </c>
      <c r="B1916">
        <v>1</v>
      </c>
    </row>
    <row r="1917" spans="1:2" x14ac:dyDescent="0.3">
      <c r="A1917" s="4" t="s">
        <v>456</v>
      </c>
      <c r="B1917">
        <v>7</v>
      </c>
    </row>
    <row r="1918" spans="1:2" x14ac:dyDescent="0.3">
      <c r="A1918" s="4" t="s">
        <v>462</v>
      </c>
      <c r="B1918">
        <v>3</v>
      </c>
    </row>
    <row r="1919" spans="1:2" x14ac:dyDescent="0.3">
      <c r="A1919" s="4" t="s">
        <v>35</v>
      </c>
      <c r="B1919">
        <v>18</v>
      </c>
    </row>
    <row r="1920" spans="1:2" x14ac:dyDescent="0.3">
      <c r="A1920" s="4" t="s">
        <v>460</v>
      </c>
      <c r="B1920">
        <v>1</v>
      </c>
    </row>
    <row r="1921" spans="1:2" x14ac:dyDescent="0.3">
      <c r="A1921" s="4" t="s">
        <v>446</v>
      </c>
      <c r="B1921">
        <v>13</v>
      </c>
    </row>
    <row r="1922" spans="1:2" x14ac:dyDescent="0.3">
      <c r="A1922" s="4" t="s">
        <v>24</v>
      </c>
      <c r="B1922">
        <v>5</v>
      </c>
    </row>
    <row r="1923" spans="1:2" x14ac:dyDescent="0.3">
      <c r="A1923" s="4" t="s">
        <v>440</v>
      </c>
      <c r="B1923">
        <v>12</v>
      </c>
    </row>
    <row r="1924" spans="1:2" x14ac:dyDescent="0.3">
      <c r="A1924" s="4" t="s">
        <v>458</v>
      </c>
      <c r="B1924">
        <v>2</v>
      </c>
    </row>
    <row r="1925" spans="1:2" x14ac:dyDescent="0.3">
      <c r="A1925" s="3" t="s">
        <v>1091</v>
      </c>
      <c r="B1925">
        <v>33.354644808743167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F548-F49F-47C7-A335-198F214DA4DD}">
  <dimension ref="A1:L1831"/>
  <sheetViews>
    <sheetView zoomScale="95" workbookViewId="0">
      <selection activeCell="D22" sqref="D22"/>
    </sheetView>
  </sheetViews>
  <sheetFormatPr defaultRowHeight="14.4" x14ac:dyDescent="0.3"/>
  <cols>
    <col min="1" max="1" width="14.77734375" bestFit="1" customWidth="1"/>
    <col min="2" max="2" width="20.77734375" bestFit="1" customWidth="1"/>
    <col min="3" max="3" width="14.109375" bestFit="1" customWidth="1"/>
    <col min="4" max="4" width="26.109375" bestFit="1" customWidth="1"/>
    <col min="5" max="5" width="23.5546875" bestFit="1" customWidth="1"/>
    <col min="6" max="6" width="15.6640625" bestFit="1" customWidth="1"/>
    <col min="7" max="7" width="17" bestFit="1" customWidth="1"/>
    <col min="8" max="8" width="21.21875" bestFit="1" customWidth="1"/>
    <col min="9" max="9" width="24.109375" bestFit="1" customWidth="1"/>
    <col min="10" max="10" width="15.44140625" bestFit="1" customWidth="1"/>
    <col min="11" max="11" width="59.21875" bestFit="1" customWidth="1"/>
    <col min="12" max="12" width="17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1093</v>
      </c>
    </row>
    <row r="2" spans="1:12" x14ac:dyDescent="0.3">
      <c r="A2">
        <v>11013</v>
      </c>
      <c r="B2" t="s">
        <v>893</v>
      </c>
      <c r="C2" t="s">
        <v>31</v>
      </c>
      <c r="D2" t="s">
        <v>32</v>
      </c>
      <c r="E2">
        <v>0</v>
      </c>
      <c r="F2">
        <v>86.67</v>
      </c>
      <c r="G2">
        <v>13.33</v>
      </c>
      <c r="H2">
        <v>0</v>
      </c>
      <c r="I2">
        <v>0</v>
      </c>
      <c r="J2" s="1">
        <v>45928.086180613427</v>
      </c>
      <c r="K2" t="s">
        <v>894</v>
      </c>
      <c r="L2">
        <f>COUNTIF($A$2:A2,A2)</f>
        <v>1</v>
      </c>
    </row>
    <row r="3" spans="1:12" x14ac:dyDescent="0.3">
      <c r="A3">
        <v>11013</v>
      </c>
      <c r="B3" t="s">
        <v>893</v>
      </c>
      <c r="C3" t="s">
        <v>661</v>
      </c>
      <c r="D3" t="s">
        <v>662</v>
      </c>
      <c r="E3">
        <v>18</v>
      </c>
      <c r="F3">
        <v>83.33</v>
      </c>
      <c r="G3">
        <v>6.67</v>
      </c>
      <c r="H3">
        <v>10</v>
      </c>
      <c r="I3">
        <v>0</v>
      </c>
      <c r="J3" s="1">
        <v>45928.085900520833</v>
      </c>
      <c r="K3" t="s">
        <v>894</v>
      </c>
      <c r="L3">
        <f>COUNTIF($A$2:A3,A3)</f>
        <v>2</v>
      </c>
    </row>
    <row r="4" spans="1:12" x14ac:dyDescent="0.3">
      <c r="A4">
        <v>11013</v>
      </c>
      <c r="B4" t="s">
        <v>893</v>
      </c>
      <c r="C4" t="s">
        <v>905</v>
      </c>
      <c r="D4" t="s">
        <v>906</v>
      </c>
      <c r="E4">
        <v>14</v>
      </c>
      <c r="F4">
        <v>83.33</v>
      </c>
      <c r="G4">
        <v>10</v>
      </c>
      <c r="H4">
        <v>6.67</v>
      </c>
      <c r="I4">
        <v>0</v>
      </c>
      <c r="J4" s="1">
        <v>45928.086037083332</v>
      </c>
      <c r="K4" t="s">
        <v>894</v>
      </c>
      <c r="L4">
        <f>COUNTIF($A$2:A4,A4)</f>
        <v>3</v>
      </c>
    </row>
    <row r="5" spans="1:12" x14ac:dyDescent="0.3">
      <c r="A5">
        <v>11013</v>
      </c>
      <c r="B5" t="s">
        <v>893</v>
      </c>
      <c r="C5" t="s">
        <v>465</v>
      </c>
      <c r="D5" t="s">
        <v>466</v>
      </c>
      <c r="E5">
        <v>0</v>
      </c>
      <c r="F5">
        <v>80</v>
      </c>
      <c r="G5">
        <v>6.67</v>
      </c>
      <c r="H5">
        <v>13.33</v>
      </c>
      <c r="I5">
        <v>0</v>
      </c>
      <c r="J5" s="1">
        <v>45928.085338819445</v>
      </c>
      <c r="K5" t="s">
        <v>894</v>
      </c>
      <c r="L5">
        <f>COUNTIF($A$2:A5,A5)</f>
        <v>4</v>
      </c>
    </row>
    <row r="6" spans="1:12" x14ac:dyDescent="0.3">
      <c r="A6">
        <v>11013</v>
      </c>
      <c r="B6" t="s">
        <v>893</v>
      </c>
      <c r="C6" t="s">
        <v>384</v>
      </c>
      <c r="D6" t="s">
        <v>385</v>
      </c>
      <c r="E6">
        <v>26</v>
      </c>
      <c r="F6">
        <v>76.67</v>
      </c>
      <c r="G6">
        <v>10</v>
      </c>
      <c r="H6">
        <v>13.33</v>
      </c>
      <c r="I6">
        <v>0</v>
      </c>
      <c r="J6" s="1">
        <v>45928.085384386577</v>
      </c>
      <c r="K6" t="s">
        <v>894</v>
      </c>
      <c r="L6">
        <f>COUNTIF($A$2:A6,A6)</f>
        <v>5</v>
      </c>
    </row>
    <row r="7" spans="1:12" x14ac:dyDescent="0.3">
      <c r="A7">
        <v>11013</v>
      </c>
      <c r="B7" t="s">
        <v>893</v>
      </c>
      <c r="C7" t="s">
        <v>476</v>
      </c>
      <c r="D7" t="s">
        <v>476</v>
      </c>
      <c r="E7">
        <v>26</v>
      </c>
      <c r="F7">
        <v>70</v>
      </c>
      <c r="G7">
        <v>16.670000000000002</v>
      </c>
      <c r="H7">
        <v>13.33</v>
      </c>
      <c r="I7">
        <v>0</v>
      </c>
      <c r="J7" s="1">
        <v>45928.085680868055</v>
      </c>
      <c r="K7" t="s">
        <v>894</v>
      </c>
      <c r="L7">
        <f>COUNTIF($A$2:A7,A7)</f>
        <v>6</v>
      </c>
    </row>
    <row r="8" spans="1:12" x14ac:dyDescent="0.3">
      <c r="A8">
        <v>11013</v>
      </c>
      <c r="B8" t="s">
        <v>893</v>
      </c>
      <c r="C8" t="s">
        <v>899</v>
      </c>
      <c r="D8" t="s">
        <v>900</v>
      </c>
      <c r="E8">
        <v>29</v>
      </c>
      <c r="F8">
        <v>63.33</v>
      </c>
      <c r="G8">
        <v>23.33</v>
      </c>
      <c r="H8">
        <v>13.33</v>
      </c>
      <c r="I8">
        <v>0.01</v>
      </c>
      <c r="J8" s="1">
        <v>45928.085742118055</v>
      </c>
      <c r="K8" t="s">
        <v>894</v>
      </c>
      <c r="L8">
        <f>COUNTIF($A$2:A8,A8)</f>
        <v>7</v>
      </c>
    </row>
    <row r="9" spans="1:12" x14ac:dyDescent="0.3">
      <c r="A9">
        <v>11013</v>
      </c>
      <c r="B9" t="s">
        <v>893</v>
      </c>
      <c r="C9" t="s">
        <v>481</v>
      </c>
      <c r="D9" t="s">
        <v>482</v>
      </c>
      <c r="E9">
        <v>28</v>
      </c>
      <c r="F9">
        <v>63.33</v>
      </c>
      <c r="G9">
        <v>23.33</v>
      </c>
      <c r="H9">
        <v>13.33</v>
      </c>
      <c r="I9">
        <v>0.01</v>
      </c>
      <c r="J9" s="1">
        <v>45928.085759780093</v>
      </c>
      <c r="K9" t="s">
        <v>894</v>
      </c>
      <c r="L9">
        <f>COUNTIF($A$2:A9,A9)</f>
        <v>8</v>
      </c>
    </row>
    <row r="10" spans="1:12" x14ac:dyDescent="0.3">
      <c r="A10">
        <v>11013</v>
      </c>
      <c r="B10" t="s">
        <v>893</v>
      </c>
      <c r="C10" t="s">
        <v>386</v>
      </c>
      <c r="D10" t="s">
        <v>387</v>
      </c>
      <c r="E10">
        <v>30</v>
      </c>
      <c r="F10">
        <v>60</v>
      </c>
      <c r="G10">
        <v>26.67</v>
      </c>
      <c r="H10">
        <v>13.33</v>
      </c>
      <c r="I10">
        <v>0</v>
      </c>
      <c r="J10" s="1">
        <v>45928.085428124999</v>
      </c>
      <c r="K10" t="s">
        <v>894</v>
      </c>
      <c r="L10">
        <f>COUNTIF($A$2:A10,A10)</f>
        <v>9</v>
      </c>
    </row>
    <row r="11" spans="1:12" x14ac:dyDescent="0.3">
      <c r="A11">
        <v>11013</v>
      </c>
      <c r="B11" t="s">
        <v>893</v>
      </c>
      <c r="C11" t="s">
        <v>477</v>
      </c>
      <c r="D11" t="s">
        <v>478</v>
      </c>
      <c r="E11">
        <v>31</v>
      </c>
      <c r="F11">
        <v>60</v>
      </c>
      <c r="G11">
        <v>26.67</v>
      </c>
      <c r="H11">
        <v>13.33</v>
      </c>
      <c r="I11">
        <v>0</v>
      </c>
      <c r="J11" s="1">
        <v>45928.085723472221</v>
      </c>
      <c r="K11" t="s">
        <v>894</v>
      </c>
      <c r="L11">
        <f>COUNTIF($A$2:A11,A11)</f>
        <v>10</v>
      </c>
    </row>
    <row r="12" spans="1:12" x14ac:dyDescent="0.3">
      <c r="A12">
        <v>11013</v>
      </c>
      <c r="B12" t="s">
        <v>893</v>
      </c>
      <c r="C12" t="s">
        <v>483</v>
      </c>
      <c r="D12" t="s">
        <v>484</v>
      </c>
      <c r="E12">
        <v>31</v>
      </c>
      <c r="F12">
        <v>60</v>
      </c>
      <c r="G12">
        <v>26.67</v>
      </c>
      <c r="H12">
        <v>13.33</v>
      </c>
      <c r="I12">
        <v>0</v>
      </c>
      <c r="J12" s="1">
        <v>45928.08580291667</v>
      </c>
      <c r="K12" t="s">
        <v>894</v>
      </c>
      <c r="L12">
        <f>COUNTIF($A$2:A12,A12)</f>
        <v>11</v>
      </c>
    </row>
    <row r="13" spans="1:12" x14ac:dyDescent="0.3">
      <c r="A13">
        <v>11013</v>
      </c>
      <c r="B13" t="s">
        <v>893</v>
      </c>
      <c r="C13" t="s">
        <v>487</v>
      </c>
      <c r="D13" t="s">
        <v>488</v>
      </c>
      <c r="E13">
        <v>29</v>
      </c>
      <c r="F13">
        <v>56.67</v>
      </c>
      <c r="G13">
        <v>33.33</v>
      </c>
      <c r="H13">
        <v>10</v>
      </c>
      <c r="I13">
        <v>0</v>
      </c>
      <c r="J13" s="1">
        <v>45928.085835729165</v>
      </c>
      <c r="K13" t="s">
        <v>894</v>
      </c>
      <c r="L13">
        <f>COUNTIF($A$2:A13,A13)</f>
        <v>12</v>
      </c>
    </row>
    <row r="14" spans="1:12" x14ac:dyDescent="0.3">
      <c r="A14">
        <v>11013</v>
      </c>
      <c r="B14" t="s">
        <v>893</v>
      </c>
      <c r="C14" t="s">
        <v>659</v>
      </c>
      <c r="D14" t="s">
        <v>660</v>
      </c>
      <c r="E14">
        <v>28</v>
      </c>
      <c r="F14">
        <v>56.67</v>
      </c>
      <c r="G14">
        <v>33.33</v>
      </c>
      <c r="H14">
        <v>10</v>
      </c>
      <c r="I14">
        <v>0</v>
      </c>
      <c r="J14" s="1">
        <v>45928.085857430553</v>
      </c>
      <c r="K14" t="s">
        <v>894</v>
      </c>
      <c r="L14">
        <f>COUNTIF($A$2:A14,A14)</f>
        <v>13</v>
      </c>
    </row>
    <row r="15" spans="1:12" x14ac:dyDescent="0.3">
      <c r="A15">
        <v>11013</v>
      </c>
      <c r="B15" t="s">
        <v>893</v>
      </c>
      <c r="C15" t="s">
        <v>735</v>
      </c>
      <c r="D15" t="s">
        <v>736</v>
      </c>
      <c r="E15">
        <v>0</v>
      </c>
      <c r="F15">
        <v>46.67</v>
      </c>
      <c r="G15">
        <v>43.33</v>
      </c>
      <c r="H15">
        <v>10</v>
      </c>
      <c r="I15">
        <v>0</v>
      </c>
      <c r="J15" s="1">
        <v>45928.08592769676</v>
      </c>
      <c r="K15" t="s">
        <v>894</v>
      </c>
      <c r="L15">
        <f>COUNTIF($A$2:A15,A15)</f>
        <v>14</v>
      </c>
    </row>
    <row r="16" spans="1:12" x14ac:dyDescent="0.3">
      <c r="A16">
        <v>11013</v>
      </c>
      <c r="B16" t="s">
        <v>893</v>
      </c>
      <c r="C16" t="s">
        <v>485</v>
      </c>
      <c r="D16" t="s">
        <v>486</v>
      </c>
      <c r="E16">
        <v>36</v>
      </c>
      <c r="F16">
        <v>43.33</v>
      </c>
      <c r="G16">
        <v>43.33</v>
      </c>
      <c r="H16">
        <v>13.33</v>
      </c>
      <c r="I16">
        <v>0.01</v>
      </c>
      <c r="J16" s="1">
        <v>45928.085819803244</v>
      </c>
      <c r="K16" t="s">
        <v>894</v>
      </c>
      <c r="L16">
        <f>COUNTIF($A$2:A16,A16)</f>
        <v>15</v>
      </c>
    </row>
    <row r="17" spans="1:12" x14ac:dyDescent="0.3">
      <c r="A17">
        <v>11013</v>
      </c>
      <c r="B17" t="s">
        <v>893</v>
      </c>
      <c r="C17" t="s">
        <v>23</v>
      </c>
      <c r="D17" t="s">
        <v>24</v>
      </c>
      <c r="E17">
        <v>0</v>
      </c>
      <c r="F17">
        <v>43.33</v>
      </c>
      <c r="G17">
        <v>40</v>
      </c>
      <c r="H17">
        <v>16.670000000000002</v>
      </c>
      <c r="I17">
        <v>0</v>
      </c>
      <c r="J17" s="1">
        <v>45928.086100335648</v>
      </c>
      <c r="K17" t="s">
        <v>894</v>
      </c>
      <c r="L17">
        <f>COUNTIF($A$2:A17,A17)</f>
        <v>16</v>
      </c>
    </row>
    <row r="18" spans="1:12" x14ac:dyDescent="0.3">
      <c r="A18">
        <v>11013</v>
      </c>
      <c r="B18" t="s">
        <v>893</v>
      </c>
      <c r="C18" t="s">
        <v>25</v>
      </c>
      <c r="D18" t="s">
        <v>26</v>
      </c>
      <c r="E18">
        <v>26</v>
      </c>
      <c r="F18">
        <v>40</v>
      </c>
      <c r="G18">
        <v>43.33</v>
      </c>
      <c r="H18">
        <v>16.670000000000002</v>
      </c>
      <c r="I18">
        <v>0</v>
      </c>
      <c r="J18" s="1">
        <v>45928.086118993058</v>
      </c>
      <c r="K18" t="s">
        <v>894</v>
      </c>
      <c r="L18">
        <f>COUNTIF($A$2:A18,A18)</f>
        <v>17</v>
      </c>
    </row>
    <row r="19" spans="1:12" x14ac:dyDescent="0.3">
      <c r="A19">
        <v>11013</v>
      </c>
      <c r="B19" t="s">
        <v>893</v>
      </c>
      <c r="C19" t="s">
        <v>733</v>
      </c>
      <c r="D19" t="s">
        <v>734</v>
      </c>
      <c r="E19">
        <v>0</v>
      </c>
      <c r="F19">
        <v>36.67</v>
      </c>
      <c r="G19">
        <v>50</v>
      </c>
      <c r="H19">
        <v>13.33</v>
      </c>
      <c r="I19">
        <v>0</v>
      </c>
      <c r="J19" s="1">
        <v>45928.08595364583</v>
      </c>
      <c r="K19" t="s">
        <v>894</v>
      </c>
      <c r="L19">
        <f>COUNTIF($A$2:A19,A19)</f>
        <v>18</v>
      </c>
    </row>
    <row r="20" spans="1:12" x14ac:dyDescent="0.3">
      <c r="A20">
        <v>11013</v>
      </c>
      <c r="B20" t="s">
        <v>893</v>
      </c>
      <c r="C20" t="s">
        <v>901</v>
      </c>
      <c r="D20" t="s">
        <v>902</v>
      </c>
      <c r="E20">
        <v>0</v>
      </c>
      <c r="F20">
        <v>36.67</v>
      </c>
      <c r="G20">
        <v>53.33</v>
      </c>
      <c r="H20">
        <v>10</v>
      </c>
      <c r="I20">
        <v>0</v>
      </c>
      <c r="J20" s="1">
        <v>45928.085977048613</v>
      </c>
      <c r="K20" t="s">
        <v>894</v>
      </c>
      <c r="L20">
        <f>COUNTIF($A$2:A20,A20)</f>
        <v>19</v>
      </c>
    </row>
    <row r="21" spans="1:12" x14ac:dyDescent="0.3">
      <c r="A21">
        <v>11013</v>
      </c>
      <c r="B21" t="s">
        <v>893</v>
      </c>
      <c r="C21" t="s">
        <v>903</v>
      </c>
      <c r="D21" t="s">
        <v>904</v>
      </c>
      <c r="E21">
        <v>30</v>
      </c>
      <c r="F21">
        <v>26.67</v>
      </c>
      <c r="G21">
        <v>63.33</v>
      </c>
      <c r="H21">
        <v>10</v>
      </c>
      <c r="I21">
        <v>0</v>
      </c>
      <c r="J21" s="1">
        <v>45928.085995254631</v>
      </c>
      <c r="K21" t="s">
        <v>894</v>
      </c>
      <c r="L21">
        <f>COUNTIF($A$2:A21,A21)</f>
        <v>20</v>
      </c>
    </row>
    <row r="22" spans="1:12" x14ac:dyDescent="0.3">
      <c r="A22">
        <v>11013</v>
      </c>
      <c r="B22" t="s">
        <v>893</v>
      </c>
      <c r="C22" t="s">
        <v>27</v>
      </c>
      <c r="D22" t="s">
        <v>28</v>
      </c>
      <c r="E22">
        <v>31</v>
      </c>
      <c r="F22">
        <v>23.33</v>
      </c>
      <c r="G22">
        <v>63.33</v>
      </c>
      <c r="H22">
        <v>13.33</v>
      </c>
      <c r="I22">
        <v>0.01</v>
      </c>
      <c r="J22" s="1">
        <v>45928.086137939812</v>
      </c>
      <c r="K22" t="s">
        <v>894</v>
      </c>
      <c r="L22">
        <f>COUNTIF($A$2:A22,A22)</f>
        <v>21</v>
      </c>
    </row>
    <row r="23" spans="1:12" x14ac:dyDescent="0.3">
      <c r="A23">
        <v>11013</v>
      </c>
      <c r="B23" t="s">
        <v>893</v>
      </c>
      <c r="C23" t="s">
        <v>472</v>
      </c>
      <c r="D23" t="s">
        <v>473</v>
      </c>
      <c r="E23">
        <v>51</v>
      </c>
      <c r="F23">
        <v>20</v>
      </c>
      <c r="G23">
        <v>63.33</v>
      </c>
      <c r="H23">
        <v>16.670000000000002</v>
      </c>
      <c r="I23">
        <v>0</v>
      </c>
      <c r="J23" s="1">
        <v>45928.085506932868</v>
      </c>
      <c r="K23" t="s">
        <v>894</v>
      </c>
      <c r="L23">
        <f>COUNTIF($A$2:A23,A23)</f>
        <v>22</v>
      </c>
    </row>
    <row r="24" spans="1:12" x14ac:dyDescent="0.3">
      <c r="A24">
        <v>11013</v>
      </c>
      <c r="B24" t="s">
        <v>893</v>
      </c>
      <c r="C24" t="s">
        <v>657</v>
      </c>
      <c r="D24" t="s">
        <v>658</v>
      </c>
      <c r="E24">
        <v>54</v>
      </c>
      <c r="F24">
        <v>13.33</v>
      </c>
      <c r="G24">
        <v>70</v>
      </c>
      <c r="H24">
        <v>16.670000000000002</v>
      </c>
      <c r="I24">
        <v>0</v>
      </c>
      <c r="J24" s="1">
        <v>45928.085636678239</v>
      </c>
      <c r="K24" t="s">
        <v>894</v>
      </c>
      <c r="L24">
        <f>COUNTIF($A$2:A24,A24)</f>
        <v>23</v>
      </c>
    </row>
    <row r="25" spans="1:12" x14ac:dyDescent="0.3">
      <c r="A25">
        <v>11013</v>
      </c>
      <c r="B25" t="s">
        <v>893</v>
      </c>
      <c r="C25" t="s">
        <v>895</v>
      </c>
      <c r="D25" t="s">
        <v>896</v>
      </c>
      <c r="E25">
        <v>63</v>
      </c>
      <c r="F25">
        <v>10</v>
      </c>
      <c r="G25">
        <v>60</v>
      </c>
      <c r="H25">
        <v>30</v>
      </c>
      <c r="I25">
        <v>0</v>
      </c>
      <c r="J25" s="1">
        <v>45928.085527881944</v>
      </c>
      <c r="K25" t="s">
        <v>894</v>
      </c>
      <c r="L25">
        <f>COUNTIF($A$2:A25,A25)</f>
        <v>24</v>
      </c>
    </row>
    <row r="26" spans="1:12" x14ac:dyDescent="0.3">
      <c r="A26">
        <v>11013</v>
      </c>
      <c r="B26" t="s">
        <v>893</v>
      </c>
      <c r="C26" t="s">
        <v>907</v>
      </c>
      <c r="D26" t="s">
        <v>908</v>
      </c>
      <c r="E26">
        <v>0</v>
      </c>
      <c r="F26">
        <v>10</v>
      </c>
      <c r="G26">
        <v>70</v>
      </c>
      <c r="H26">
        <v>20</v>
      </c>
      <c r="I26">
        <v>0</v>
      </c>
      <c r="J26" s="1">
        <v>45928.086060624999</v>
      </c>
      <c r="K26" t="s">
        <v>894</v>
      </c>
      <c r="L26">
        <f>COUNTIF($A$2:A26,A26)</f>
        <v>25</v>
      </c>
    </row>
    <row r="27" spans="1:12" x14ac:dyDescent="0.3">
      <c r="A27">
        <v>11013</v>
      </c>
      <c r="B27" t="s">
        <v>893</v>
      </c>
      <c r="C27" t="s">
        <v>897</v>
      </c>
      <c r="D27" t="s">
        <v>898</v>
      </c>
      <c r="E27">
        <v>67</v>
      </c>
      <c r="F27">
        <v>6.67</v>
      </c>
      <c r="G27">
        <v>56.67</v>
      </c>
      <c r="H27">
        <v>36.67</v>
      </c>
      <c r="I27">
        <v>0</v>
      </c>
      <c r="J27" s="1">
        <v>45928.085573009259</v>
      </c>
      <c r="K27" t="s">
        <v>894</v>
      </c>
      <c r="L27">
        <f>COUNTIF($A$2:A27,A27)</f>
        <v>26</v>
      </c>
    </row>
    <row r="28" spans="1:12" x14ac:dyDescent="0.3">
      <c r="A28">
        <v>11013</v>
      </c>
      <c r="B28" t="s">
        <v>893</v>
      </c>
      <c r="C28" t="s">
        <v>474</v>
      </c>
      <c r="D28" t="s">
        <v>475</v>
      </c>
      <c r="E28">
        <v>66</v>
      </c>
      <c r="F28">
        <v>6.67</v>
      </c>
      <c r="G28">
        <v>56.67</v>
      </c>
      <c r="H28">
        <v>36.67</v>
      </c>
      <c r="I28">
        <v>0</v>
      </c>
      <c r="J28" s="1">
        <v>45928.085616585646</v>
      </c>
      <c r="K28" t="s">
        <v>894</v>
      </c>
      <c r="L28">
        <f>COUNTIF($A$2:A28,A28)</f>
        <v>27</v>
      </c>
    </row>
    <row r="29" spans="1:12" x14ac:dyDescent="0.3">
      <c r="A29">
        <v>11013</v>
      </c>
      <c r="B29" t="s">
        <v>893</v>
      </c>
      <c r="C29" t="s">
        <v>655</v>
      </c>
      <c r="D29" t="s">
        <v>656</v>
      </c>
      <c r="E29">
        <v>60</v>
      </c>
      <c r="F29">
        <v>3.33</v>
      </c>
      <c r="G29">
        <v>70</v>
      </c>
      <c r="H29">
        <v>26.67</v>
      </c>
      <c r="I29">
        <v>0</v>
      </c>
      <c r="J29" s="1">
        <v>45928.085483252318</v>
      </c>
      <c r="K29" t="s">
        <v>894</v>
      </c>
      <c r="L29">
        <f>COUNTIF($A$2:A29,A29)</f>
        <v>28</v>
      </c>
    </row>
    <row r="30" spans="1:12" x14ac:dyDescent="0.3">
      <c r="A30">
        <v>11013</v>
      </c>
      <c r="B30" t="s">
        <v>893</v>
      </c>
      <c r="C30" t="s">
        <v>909</v>
      </c>
      <c r="D30" t="s">
        <v>910</v>
      </c>
      <c r="E30">
        <v>61</v>
      </c>
      <c r="F30">
        <v>3.33</v>
      </c>
      <c r="G30">
        <v>53.33</v>
      </c>
      <c r="H30">
        <v>43.33</v>
      </c>
      <c r="I30">
        <v>0.01</v>
      </c>
      <c r="J30" s="1">
        <v>45928.086077905093</v>
      </c>
      <c r="K30" t="s">
        <v>894</v>
      </c>
      <c r="L30">
        <f>COUNTIF($A$2:A30,A30)</f>
        <v>29</v>
      </c>
    </row>
    <row r="31" spans="1:12" x14ac:dyDescent="0.3">
      <c r="A31">
        <v>11013</v>
      </c>
      <c r="B31" t="s">
        <v>893</v>
      </c>
      <c r="C31" t="s">
        <v>470</v>
      </c>
      <c r="D31" t="s">
        <v>471</v>
      </c>
      <c r="E31">
        <v>0</v>
      </c>
      <c r="F31">
        <v>0</v>
      </c>
      <c r="G31">
        <v>80</v>
      </c>
      <c r="H31">
        <v>20</v>
      </c>
      <c r="I31">
        <v>0</v>
      </c>
      <c r="J31" s="1">
        <v>45928.08546065972</v>
      </c>
      <c r="K31" t="s">
        <v>894</v>
      </c>
      <c r="L31">
        <f>COUNTIF($A$2:A31,A31)</f>
        <v>30</v>
      </c>
    </row>
    <row r="32" spans="1:12" x14ac:dyDescent="0.3">
      <c r="A32">
        <v>11014</v>
      </c>
      <c r="B32" t="s">
        <v>893</v>
      </c>
      <c r="C32" t="s">
        <v>31</v>
      </c>
      <c r="D32" t="s">
        <v>32</v>
      </c>
      <c r="E32">
        <v>1</v>
      </c>
      <c r="F32">
        <v>100</v>
      </c>
      <c r="G32">
        <v>0</v>
      </c>
      <c r="H32">
        <v>0</v>
      </c>
      <c r="I32">
        <v>0</v>
      </c>
      <c r="J32" s="1">
        <v>45928.086265451391</v>
      </c>
      <c r="K32" t="s">
        <v>911</v>
      </c>
      <c r="L32">
        <f>COUNTIF($A$2:A32,A32)</f>
        <v>1</v>
      </c>
    </row>
    <row r="33" spans="1:12" x14ac:dyDescent="0.3">
      <c r="A33">
        <v>11014</v>
      </c>
      <c r="B33" t="s">
        <v>893</v>
      </c>
      <c r="C33" t="s">
        <v>25</v>
      </c>
      <c r="D33" t="s">
        <v>26</v>
      </c>
      <c r="E33">
        <v>9</v>
      </c>
      <c r="F33">
        <v>93.33</v>
      </c>
      <c r="G33">
        <v>6.67</v>
      </c>
      <c r="H33">
        <v>0</v>
      </c>
      <c r="I33">
        <v>0</v>
      </c>
      <c r="J33" s="1">
        <v>45928.086331157407</v>
      </c>
      <c r="K33" t="s">
        <v>911</v>
      </c>
      <c r="L33">
        <f>COUNTIF($A$2:A33,A33)</f>
        <v>2</v>
      </c>
    </row>
    <row r="34" spans="1:12" x14ac:dyDescent="0.3">
      <c r="A34">
        <v>11014</v>
      </c>
      <c r="B34" t="s">
        <v>893</v>
      </c>
      <c r="C34" t="s">
        <v>653</v>
      </c>
      <c r="D34" t="s">
        <v>654</v>
      </c>
      <c r="E34">
        <v>8</v>
      </c>
      <c r="F34">
        <v>93.33</v>
      </c>
      <c r="G34">
        <v>3.33</v>
      </c>
      <c r="H34">
        <v>3.33</v>
      </c>
      <c r="I34">
        <v>0.01</v>
      </c>
      <c r="J34" s="1">
        <v>45928.087057777775</v>
      </c>
      <c r="K34" t="s">
        <v>911</v>
      </c>
      <c r="L34">
        <f>COUNTIF($A$2:A34,A34)</f>
        <v>3</v>
      </c>
    </row>
    <row r="35" spans="1:12" x14ac:dyDescent="0.3">
      <c r="A35">
        <v>11014</v>
      </c>
      <c r="B35" t="s">
        <v>893</v>
      </c>
      <c r="C35" t="s">
        <v>27</v>
      </c>
      <c r="D35" t="s">
        <v>28</v>
      </c>
      <c r="E35">
        <v>0</v>
      </c>
      <c r="F35">
        <v>83.33</v>
      </c>
      <c r="G35">
        <v>16.670000000000002</v>
      </c>
      <c r="H35">
        <v>0</v>
      </c>
      <c r="I35">
        <v>0</v>
      </c>
      <c r="J35" s="1">
        <v>45928.086286585647</v>
      </c>
      <c r="K35" t="s">
        <v>911</v>
      </c>
      <c r="L35">
        <f>COUNTIF($A$2:A35,A35)</f>
        <v>4</v>
      </c>
    </row>
    <row r="36" spans="1:12" x14ac:dyDescent="0.3">
      <c r="A36">
        <v>11014</v>
      </c>
      <c r="B36" t="s">
        <v>893</v>
      </c>
      <c r="C36" t="s">
        <v>23</v>
      </c>
      <c r="D36" t="s">
        <v>24</v>
      </c>
      <c r="E36">
        <v>14</v>
      </c>
      <c r="F36">
        <v>83.33</v>
      </c>
      <c r="G36">
        <v>13.33</v>
      </c>
      <c r="H36">
        <v>3.33</v>
      </c>
      <c r="I36">
        <v>0.01</v>
      </c>
      <c r="J36" s="1">
        <v>45928.086350405094</v>
      </c>
      <c r="K36" t="s">
        <v>911</v>
      </c>
      <c r="L36">
        <f>COUNTIF($A$2:A36,A36)</f>
        <v>5</v>
      </c>
    </row>
    <row r="37" spans="1:12" x14ac:dyDescent="0.3">
      <c r="A37">
        <v>11014</v>
      </c>
      <c r="B37" t="s">
        <v>893</v>
      </c>
      <c r="C37" t="s">
        <v>661</v>
      </c>
      <c r="D37" t="s">
        <v>662</v>
      </c>
      <c r="E37">
        <v>0</v>
      </c>
      <c r="F37">
        <v>80</v>
      </c>
      <c r="G37">
        <v>16.670000000000002</v>
      </c>
      <c r="H37">
        <v>3.33</v>
      </c>
      <c r="I37">
        <v>0</v>
      </c>
      <c r="J37" s="1">
        <v>45928.086598159724</v>
      </c>
      <c r="K37" t="s">
        <v>911</v>
      </c>
      <c r="L37">
        <f>COUNTIF($A$2:A37,A37)</f>
        <v>6</v>
      </c>
    </row>
    <row r="38" spans="1:12" x14ac:dyDescent="0.3">
      <c r="A38">
        <v>11014</v>
      </c>
      <c r="B38" t="s">
        <v>893</v>
      </c>
      <c r="C38" t="s">
        <v>476</v>
      </c>
      <c r="D38" t="s">
        <v>476</v>
      </c>
      <c r="E38">
        <v>13</v>
      </c>
      <c r="F38">
        <v>76.67</v>
      </c>
      <c r="G38">
        <v>20</v>
      </c>
      <c r="H38">
        <v>3.33</v>
      </c>
      <c r="I38">
        <v>0</v>
      </c>
      <c r="J38" s="1">
        <v>45928.08681847222</v>
      </c>
      <c r="K38" t="s">
        <v>911</v>
      </c>
      <c r="L38">
        <f>COUNTIF($A$2:A38,A38)</f>
        <v>7</v>
      </c>
    </row>
    <row r="39" spans="1:12" x14ac:dyDescent="0.3">
      <c r="A39">
        <v>11014</v>
      </c>
      <c r="B39" t="s">
        <v>893</v>
      </c>
      <c r="C39" t="s">
        <v>657</v>
      </c>
      <c r="D39" t="s">
        <v>658</v>
      </c>
      <c r="E39">
        <v>14</v>
      </c>
      <c r="F39">
        <v>73.33</v>
      </c>
      <c r="G39">
        <v>23.33</v>
      </c>
      <c r="H39">
        <v>3.33</v>
      </c>
      <c r="I39">
        <v>0.01</v>
      </c>
      <c r="J39" s="1">
        <v>45928.08683965278</v>
      </c>
      <c r="K39" t="s">
        <v>911</v>
      </c>
      <c r="L39">
        <f>COUNTIF($A$2:A39,A39)</f>
        <v>8</v>
      </c>
    </row>
    <row r="40" spans="1:12" x14ac:dyDescent="0.3">
      <c r="A40">
        <v>11014</v>
      </c>
      <c r="B40" t="s">
        <v>893</v>
      </c>
      <c r="C40" t="s">
        <v>659</v>
      </c>
      <c r="D40" t="s">
        <v>660</v>
      </c>
      <c r="E40">
        <v>19</v>
      </c>
      <c r="F40">
        <v>70</v>
      </c>
      <c r="G40">
        <v>26.67</v>
      </c>
      <c r="H40">
        <v>3.33</v>
      </c>
      <c r="I40">
        <v>0</v>
      </c>
      <c r="J40" s="1">
        <v>45928.086639247682</v>
      </c>
      <c r="K40" t="s">
        <v>911</v>
      </c>
      <c r="L40">
        <f>COUNTIF($A$2:A40,A40)</f>
        <v>9</v>
      </c>
    </row>
    <row r="41" spans="1:12" x14ac:dyDescent="0.3">
      <c r="A41">
        <v>11014</v>
      </c>
      <c r="B41" t="s">
        <v>893</v>
      </c>
      <c r="C41" t="s">
        <v>474</v>
      </c>
      <c r="D41" t="s">
        <v>475</v>
      </c>
      <c r="E41">
        <v>19</v>
      </c>
      <c r="F41">
        <v>66.67</v>
      </c>
      <c r="G41">
        <v>30</v>
      </c>
      <c r="H41">
        <v>3.33</v>
      </c>
      <c r="I41">
        <v>0</v>
      </c>
      <c r="J41" s="1">
        <v>45928.086880752315</v>
      </c>
      <c r="K41" t="s">
        <v>911</v>
      </c>
      <c r="L41">
        <f>COUNTIF($A$2:A41,A41)</f>
        <v>10</v>
      </c>
    </row>
    <row r="42" spans="1:12" x14ac:dyDescent="0.3">
      <c r="A42">
        <v>11014</v>
      </c>
      <c r="B42" t="s">
        <v>893</v>
      </c>
      <c r="C42" t="s">
        <v>735</v>
      </c>
      <c r="D42" t="s">
        <v>736</v>
      </c>
      <c r="E42">
        <v>24</v>
      </c>
      <c r="F42">
        <v>60</v>
      </c>
      <c r="G42">
        <v>33.33</v>
      </c>
      <c r="H42">
        <v>6.67</v>
      </c>
      <c r="I42">
        <v>0</v>
      </c>
      <c r="J42" s="1">
        <v>45928.086567395832</v>
      </c>
      <c r="K42" t="s">
        <v>911</v>
      </c>
      <c r="L42">
        <f>COUNTIF($A$2:A42,A42)</f>
        <v>11</v>
      </c>
    </row>
    <row r="43" spans="1:12" x14ac:dyDescent="0.3">
      <c r="A43">
        <v>11014</v>
      </c>
      <c r="B43" t="s">
        <v>893</v>
      </c>
      <c r="C43" t="s">
        <v>897</v>
      </c>
      <c r="D43" t="s">
        <v>898</v>
      </c>
      <c r="E43">
        <v>20</v>
      </c>
      <c r="F43">
        <v>56.67</v>
      </c>
      <c r="G43">
        <v>40</v>
      </c>
      <c r="H43">
        <v>3.33</v>
      </c>
      <c r="I43">
        <v>0</v>
      </c>
      <c r="J43" s="1">
        <v>45928.086922002316</v>
      </c>
      <c r="K43" t="s">
        <v>911</v>
      </c>
      <c r="L43">
        <f>COUNTIF($A$2:A43,A43)</f>
        <v>12</v>
      </c>
    </row>
    <row r="44" spans="1:12" x14ac:dyDescent="0.3">
      <c r="A44">
        <v>11014</v>
      </c>
      <c r="B44" t="s">
        <v>893</v>
      </c>
      <c r="C44" t="s">
        <v>465</v>
      </c>
      <c r="D44" t="s">
        <v>466</v>
      </c>
      <c r="E44">
        <v>44</v>
      </c>
      <c r="F44">
        <v>56.67</v>
      </c>
      <c r="G44">
        <v>16.670000000000002</v>
      </c>
      <c r="H44">
        <v>26.67</v>
      </c>
      <c r="I44">
        <v>0</v>
      </c>
      <c r="J44" s="1">
        <v>45928.087185972225</v>
      </c>
      <c r="K44" t="s">
        <v>911</v>
      </c>
      <c r="L44">
        <f>COUNTIF($A$2:A44,A44)</f>
        <v>13</v>
      </c>
    </row>
    <row r="45" spans="1:12" x14ac:dyDescent="0.3">
      <c r="A45">
        <v>11014</v>
      </c>
      <c r="B45" t="s">
        <v>893</v>
      </c>
      <c r="C45" t="s">
        <v>472</v>
      </c>
      <c r="D45" t="s">
        <v>473</v>
      </c>
      <c r="E45">
        <v>27</v>
      </c>
      <c r="F45">
        <v>50</v>
      </c>
      <c r="G45">
        <v>46.67</v>
      </c>
      <c r="H45">
        <v>3.33</v>
      </c>
      <c r="I45">
        <v>0</v>
      </c>
      <c r="J45" s="1">
        <v>45928.086991898148</v>
      </c>
      <c r="K45" t="s">
        <v>911</v>
      </c>
      <c r="L45">
        <f>COUNTIF($A$2:A45,A45)</f>
        <v>14</v>
      </c>
    </row>
    <row r="46" spans="1:12" x14ac:dyDescent="0.3">
      <c r="A46">
        <v>11014</v>
      </c>
      <c r="B46" t="s">
        <v>893</v>
      </c>
      <c r="C46" t="s">
        <v>909</v>
      </c>
      <c r="D46" t="s">
        <v>910</v>
      </c>
      <c r="E46">
        <v>23</v>
      </c>
      <c r="F46">
        <v>43.33</v>
      </c>
      <c r="G46">
        <v>53.33</v>
      </c>
      <c r="H46">
        <v>3.33</v>
      </c>
      <c r="I46">
        <v>0.01</v>
      </c>
      <c r="J46" s="1">
        <v>45928.086367847223</v>
      </c>
      <c r="K46" t="s">
        <v>911</v>
      </c>
      <c r="L46">
        <f>COUNTIF($A$2:A46,A46)</f>
        <v>15</v>
      </c>
    </row>
    <row r="47" spans="1:12" x14ac:dyDescent="0.3">
      <c r="A47">
        <v>11014</v>
      </c>
      <c r="B47" t="s">
        <v>893</v>
      </c>
      <c r="C47" t="s">
        <v>483</v>
      </c>
      <c r="D47" t="s">
        <v>484</v>
      </c>
      <c r="E47">
        <v>32</v>
      </c>
      <c r="F47">
        <v>43.33</v>
      </c>
      <c r="G47">
        <v>50</v>
      </c>
      <c r="H47">
        <v>6.67</v>
      </c>
      <c r="I47">
        <v>0</v>
      </c>
      <c r="J47" s="1">
        <v>45928.086719016203</v>
      </c>
      <c r="K47" t="s">
        <v>911</v>
      </c>
      <c r="L47">
        <f>COUNTIF($A$2:A47,A47)</f>
        <v>16</v>
      </c>
    </row>
    <row r="48" spans="1:12" x14ac:dyDescent="0.3">
      <c r="A48">
        <v>11014</v>
      </c>
      <c r="B48" t="s">
        <v>893</v>
      </c>
      <c r="C48" t="s">
        <v>481</v>
      </c>
      <c r="D48" t="s">
        <v>482</v>
      </c>
      <c r="E48">
        <v>0</v>
      </c>
      <c r="F48">
        <v>43.33</v>
      </c>
      <c r="G48">
        <v>50</v>
      </c>
      <c r="H48">
        <v>6.67</v>
      </c>
      <c r="I48">
        <v>0</v>
      </c>
      <c r="J48" s="1">
        <v>45928.086740983796</v>
      </c>
      <c r="K48" t="s">
        <v>911</v>
      </c>
      <c r="L48">
        <f>COUNTIF($A$2:A48,A48)</f>
        <v>17</v>
      </c>
    </row>
    <row r="49" spans="1:12" x14ac:dyDescent="0.3">
      <c r="A49">
        <v>11014</v>
      </c>
      <c r="B49" t="s">
        <v>893</v>
      </c>
      <c r="C49" t="s">
        <v>470</v>
      </c>
      <c r="D49" t="s">
        <v>471</v>
      </c>
      <c r="E49">
        <v>20</v>
      </c>
      <c r="F49">
        <v>43.33</v>
      </c>
      <c r="G49">
        <v>53.33</v>
      </c>
      <c r="H49">
        <v>3.33</v>
      </c>
      <c r="I49">
        <v>0.01</v>
      </c>
      <c r="J49" s="1">
        <v>45928.087078090277</v>
      </c>
      <c r="K49" t="s">
        <v>911</v>
      </c>
      <c r="L49">
        <f>COUNTIF($A$2:A49,A49)</f>
        <v>18</v>
      </c>
    </row>
    <row r="50" spans="1:12" x14ac:dyDescent="0.3">
      <c r="A50">
        <v>11014</v>
      </c>
      <c r="B50" t="s">
        <v>893</v>
      </c>
      <c r="C50" t="s">
        <v>895</v>
      </c>
      <c r="D50" t="s">
        <v>896</v>
      </c>
      <c r="E50">
        <v>0</v>
      </c>
      <c r="F50">
        <v>33.33</v>
      </c>
      <c r="G50">
        <v>63.33</v>
      </c>
      <c r="H50">
        <v>3.33</v>
      </c>
      <c r="I50">
        <v>0</v>
      </c>
      <c r="J50" s="1">
        <v>45928.086948807868</v>
      </c>
      <c r="K50" t="s">
        <v>911</v>
      </c>
      <c r="L50">
        <f>COUNTIF($A$2:A50,A50)</f>
        <v>19</v>
      </c>
    </row>
    <row r="51" spans="1:12" x14ac:dyDescent="0.3">
      <c r="A51">
        <v>11014</v>
      </c>
      <c r="B51" t="s">
        <v>893</v>
      </c>
      <c r="C51" t="s">
        <v>903</v>
      </c>
      <c r="D51" t="s">
        <v>904</v>
      </c>
      <c r="E51">
        <v>34</v>
      </c>
      <c r="F51">
        <v>30</v>
      </c>
      <c r="G51">
        <v>63.33</v>
      </c>
      <c r="H51">
        <v>6.67</v>
      </c>
      <c r="I51">
        <v>0</v>
      </c>
      <c r="J51" s="1">
        <v>45928.086435069446</v>
      </c>
      <c r="K51" t="s">
        <v>911</v>
      </c>
      <c r="L51">
        <f>COUNTIF($A$2:A51,A51)</f>
        <v>20</v>
      </c>
    </row>
    <row r="52" spans="1:12" x14ac:dyDescent="0.3">
      <c r="A52">
        <v>11014</v>
      </c>
      <c r="B52" t="s">
        <v>893</v>
      </c>
      <c r="C52" t="s">
        <v>907</v>
      </c>
      <c r="D52" t="s">
        <v>908</v>
      </c>
      <c r="E52">
        <v>31</v>
      </c>
      <c r="F52">
        <v>23.33</v>
      </c>
      <c r="G52">
        <v>73.33</v>
      </c>
      <c r="H52">
        <v>3.33</v>
      </c>
      <c r="I52">
        <v>0.01</v>
      </c>
      <c r="J52" s="1">
        <v>45928.086390081022</v>
      </c>
      <c r="K52" t="s">
        <v>911</v>
      </c>
      <c r="L52">
        <f>COUNTIF($A$2:A52,A52)</f>
        <v>21</v>
      </c>
    </row>
    <row r="53" spans="1:12" x14ac:dyDescent="0.3">
      <c r="A53">
        <v>11014</v>
      </c>
      <c r="B53" t="s">
        <v>893</v>
      </c>
      <c r="C53" t="s">
        <v>905</v>
      </c>
      <c r="D53" t="s">
        <v>906</v>
      </c>
      <c r="E53">
        <v>36</v>
      </c>
      <c r="F53">
        <v>23.33</v>
      </c>
      <c r="G53">
        <v>63.33</v>
      </c>
      <c r="H53">
        <v>13.33</v>
      </c>
      <c r="I53">
        <v>0.01</v>
      </c>
      <c r="J53" s="1">
        <v>45928.086457118057</v>
      </c>
      <c r="K53" t="s">
        <v>911</v>
      </c>
      <c r="L53">
        <f>COUNTIF($A$2:A53,A53)</f>
        <v>22</v>
      </c>
    </row>
    <row r="54" spans="1:12" x14ac:dyDescent="0.3">
      <c r="A54">
        <v>11014</v>
      </c>
      <c r="B54" t="s">
        <v>893</v>
      </c>
      <c r="C54" t="s">
        <v>485</v>
      </c>
      <c r="D54" t="s">
        <v>486</v>
      </c>
      <c r="E54">
        <v>40</v>
      </c>
      <c r="F54">
        <v>20</v>
      </c>
      <c r="G54">
        <v>70</v>
      </c>
      <c r="H54">
        <v>10</v>
      </c>
      <c r="I54">
        <v>0</v>
      </c>
      <c r="J54" s="1">
        <v>45928.08667611111</v>
      </c>
      <c r="K54" t="s">
        <v>911</v>
      </c>
      <c r="L54">
        <f>COUNTIF($A$2:A54,A54)</f>
        <v>23</v>
      </c>
    </row>
    <row r="55" spans="1:12" x14ac:dyDescent="0.3">
      <c r="A55">
        <v>11014</v>
      </c>
      <c r="B55" t="s">
        <v>893</v>
      </c>
      <c r="C55" t="s">
        <v>655</v>
      </c>
      <c r="D55" t="s">
        <v>656</v>
      </c>
      <c r="E55">
        <v>37</v>
      </c>
      <c r="F55">
        <v>20</v>
      </c>
      <c r="G55">
        <v>76.67</v>
      </c>
      <c r="H55">
        <v>3.33</v>
      </c>
      <c r="I55">
        <v>0</v>
      </c>
      <c r="J55" s="1">
        <v>45928.087037627316</v>
      </c>
      <c r="K55" t="s">
        <v>911</v>
      </c>
      <c r="L55">
        <f>COUNTIF($A$2:A55,A55)</f>
        <v>24</v>
      </c>
    </row>
    <row r="56" spans="1:12" x14ac:dyDescent="0.3">
      <c r="A56">
        <v>11014</v>
      </c>
      <c r="B56" t="s">
        <v>893</v>
      </c>
      <c r="C56" t="s">
        <v>733</v>
      </c>
      <c r="D56" t="s">
        <v>734</v>
      </c>
      <c r="E56">
        <v>40</v>
      </c>
      <c r="F56">
        <v>16.670000000000002</v>
      </c>
      <c r="G56">
        <v>70</v>
      </c>
      <c r="H56">
        <v>13.33</v>
      </c>
      <c r="I56">
        <v>0</v>
      </c>
      <c r="J56" s="1">
        <v>45928.086516782409</v>
      </c>
      <c r="K56" t="s">
        <v>911</v>
      </c>
      <c r="L56">
        <f>COUNTIF($A$2:A56,A56)</f>
        <v>25</v>
      </c>
    </row>
    <row r="57" spans="1:12" x14ac:dyDescent="0.3">
      <c r="A57">
        <v>11014</v>
      </c>
      <c r="B57" t="s">
        <v>893</v>
      </c>
      <c r="C57" t="s">
        <v>899</v>
      </c>
      <c r="D57" t="s">
        <v>900</v>
      </c>
      <c r="E57">
        <v>45</v>
      </c>
      <c r="F57">
        <v>16.670000000000002</v>
      </c>
      <c r="G57">
        <v>16.670000000000002</v>
      </c>
      <c r="H57">
        <v>6.67</v>
      </c>
      <c r="I57">
        <v>59.99</v>
      </c>
      <c r="J57" s="1">
        <v>45928.08676082176</v>
      </c>
      <c r="K57" t="s">
        <v>911</v>
      </c>
      <c r="L57">
        <f>COUNTIF($A$2:A57,A57)</f>
        <v>26</v>
      </c>
    </row>
    <row r="58" spans="1:12" x14ac:dyDescent="0.3">
      <c r="A58">
        <v>11014</v>
      </c>
      <c r="B58" t="s">
        <v>893</v>
      </c>
      <c r="C58" t="s">
        <v>477</v>
      </c>
      <c r="D58" t="s">
        <v>478</v>
      </c>
      <c r="E58">
        <v>39</v>
      </c>
      <c r="F58">
        <v>16.670000000000002</v>
      </c>
      <c r="G58">
        <v>73.33</v>
      </c>
      <c r="H58">
        <v>10</v>
      </c>
      <c r="I58">
        <v>0</v>
      </c>
      <c r="J58" s="1">
        <v>45928.086778969904</v>
      </c>
      <c r="K58" t="s">
        <v>911</v>
      </c>
      <c r="L58">
        <f>COUNTIF($A$2:A58,A58)</f>
        <v>27</v>
      </c>
    </row>
    <row r="59" spans="1:12" x14ac:dyDescent="0.3">
      <c r="A59">
        <v>11014</v>
      </c>
      <c r="B59" t="s">
        <v>893</v>
      </c>
      <c r="C59" t="s">
        <v>487</v>
      </c>
      <c r="D59" t="s">
        <v>488</v>
      </c>
      <c r="E59">
        <v>39</v>
      </c>
      <c r="F59">
        <v>10</v>
      </c>
      <c r="G59">
        <v>80</v>
      </c>
      <c r="H59">
        <v>10</v>
      </c>
      <c r="I59">
        <v>0</v>
      </c>
      <c r="J59" s="1">
        <v>45928.086656932872</v>
      </c>
      <c r="K59" t="s">
        <v>911</v>
      </c>
      <c r="L59">
        <f>COUNTIF($A$2:A59,A59)</f>
        <v>28</v>
      </c>
    </row>
    <row r="60" spans="1:12" x14ac:dyDescent="0.3">
      <c r="A60">
        <v>11014</v>
      </c>
      <c r="B60" t="s">
        <v>893</v>
      </c>
      <c r="C60" t="s">
        <v>386</v>
      </c>
      <c r="D60" t="s">
        <v>387</v>
      </c>
      <c r="E60">
        <v>60</v>
      </c>
      <c r="F60">
        <v>10</v>
      </c>
      <c r="G60">
        <v>63.33</v>
      </c>
      <c r="H60">
        <v>26.67</v>
      </c>
      <c r="I60">
        <v>0</v>
      </c>
      <c r="J60" s="1">
        <v>45928.087098206015</v>
      </c>
      <c r="K60" t="s">
        <v>911</v>
      </c>
      <c r="L60">
        <f>COUNTIF($A$2:A60,A60)</f>
        <v>29</v>
      </c>
    </row>
    <row r="61" spans="1:12" x14ac:dyDescent="0.3">
      <c r="A61">
        <v>11014</v>
      </c>
      <c r="B61" t="s">
        <v>893</v>
      </c>
      <c r="C61" t="s">
        <v>384</v>
      </c>
      <c r="D61" t="s">
        <v>385</v>
      </c>
      <c r="E61">
        <v>61</v>
      </c>
      <c r="F61">
        <v>6.67</v>
      </c>
      <c r="G61">
        <v>66.67</v>
      </c>
      <c r="H61">
        <v>26.67</v>
      </c>
      <c r="I61">
        <v>0</v>
      </c>
      <c r="J61" s="1">
        <v>45928.087141458331</v>
      </c>
      <c r="K61" t="s">
        <v>911</v>
      </c>
      <c r="L61">
        <f>COUNTIF($A$2:A61,A61)</f>
        <v>30</v>
      </c>
    </row>
    <row r="62" spans="1:12" x14ac:dyDescent="0.3">
      <c r="A62">
        <v>11014</v>
      </c>
      <c r="B62" t="s">
        <v>893</v>
      </c>
      <c r="C62" t="s">
        <v>901</v>
      </c>
      <c r="D62" t="s">
        <v>902</v>
      </c>
      <c r="E62">
        <v>50</v>
      </c>
      <c r="F62">
        <v>3.33</v>
      </c>
      <c r="G62">
        <v>76.67</v>
      </c>
      <c r="H62">
        <v>20</v>
      </c>
      <c r="I62">
        <v>0</v>
      </c>
      <c r="J62" s="1">
        <v>45928.086473993055</v>
      </c>
      <c r="K62" t="s">
        <v>911</v>
      </c>
      <c r="L62">
        <f>COUNTIF($A$2:A62,A62)</f>
        <v>31</v>
      </c>
    </row>
    <row r="63" spans="1:12" x14ac:dyDescent="0.3">
      <c r="A63">
        <v>11027</v>
      </c>
      <c r="B63" t="s">
        <v>912</v>
      </c>
      <c r="C63" t="s">
        <v>382</v>
      </c>
      <c r="D63" t="s">
        <v>383</v>
      </c>
      <c r="E63">
        <v>1</v>
      </c>
      <c r="F63">
        <v>100</v>
      </c>
      <c r="G63">
        <v>0</v>
      </c>
      <c r="H63">
        <v>0</v>
      </c>
      <c r="I63">
        <v>0</v>
      </c>
      <c r="J63" s="1">
        <v>45928.087247662035</v>
      </c>
      <c r="K63" t="s">
        <v>913</v>
      </c>
      <c r="L63">
        <f>COUNTIF($A$2:A63,A63)</f>
        <v>1</v>
      </c>
    </row>
    <row r="64" spans="1:12" x14ac:dyDescent="0.3">
      <c r="A64">
        <v>11027</v>
      </c>
      <c r="B64" t="s">
        <v>912</v>
      </c>
      <c r="C64" t="s">
        <v>384</v>
      </c>
      <c r="D64" t="s">
        <v>385</v>
      </c>
      <c r="E64">
        <v>3</v>
      </c>
      <c r="F64">
        <v>100</v>
      </c>
      <c r="G64">
        <v>0</v>
      </c>
      <c r="H64">
        <v>0</v>
      </c>
      <c r="I64">
        <v>0</v>
      </c>
      <c r="J64" s="1">
        <v>45928.087266666669</v>
      </c>
      <c r="K64" t="s">
        <v>913</v>
      </c>
      <c r="L64">
        <f>COUNTIF($A$2:A64,A64)</f>
        <v>2</v>
      </c>
    </row>
    <row r="65" spans="1:12" x14ac:dyDescent="0.3">
      <c r="A65">
        <v>11027</v>
      </c>
      <c r="B65" t="s">
        <v>912</v>
      </c>
      <c r="C65" t="s">
        <v>954</v>
      </c>
      <c r="D65" t="s">
        <v>955</v>
      </c>
      <c r="E65">
        <v>2</v>
      </c>
      <c r="F65">
        <v>84.62</v>
      </c>
      <c r="G65">
        <v>15.38</v>
      </c>
      <c r="H65">
        <v>0</v>
      </c>
      <c r="I65">
        <v>0</v>
      </c>
      <c r="J65" s="1">
        <v>45928.088047245372</v>
      </c>
      <c r="K65" t="s">
        <v>913</v>
      </c>
      <c r="L65">
        <f>COUNTIF($A$2:A65,A65)</f>
        <v>3</v>
      </c>
    </row>
    <row r="66" spans="1:12" x14ac:dyDescent="0.3">
      <c r="A66">
        <v>11027</v>
      </c>
      <c r="B66" t="s">
        <v>912</v>
      </c>
      <c r="C66" t="s">
        <v>938</v>
      </c>
      <c r="D66" t="s">
        <v>939</v>
      </c>
      <c r="E66">
        <v>12</v>
      </c>
      <c r="F66">
        <v>76.92</v>
      </c>
      <c r="G66">
        <v>23.08</v>
      </c>
      <c r="H66">
        <v>0</v>
      </c>
      <c r="I66">
        <v>0</v>
      </c>
      <c r="J66" s="1">
        <v>45928.087819791668</v>
      </c>
      <c r="K66" t="s">
        <v>913</v>
      </c>
      <c r="L66">
        <f>COUNTIF($A$2:A66,A66)</f>
        <v>4</v>
      </c>
    </row>
    <row r="67" spans="1:12" x14ac:dyDescent="0.3">
      <c r="A67">
        <v>11027</v>
      </c>
      <c r="B67" t="s">
        <v>912</v>
      </c>
      <c r="C67" t="s">
        <v>940</v>
      </c>
      <c r="D67" t="s">
        <v>941</v>
      </c>
      <c r="E67">
        <v>16</v>
      </c>
      <c r="F67">
        <v>69.23</v>
      </c>
      <c r="G67">
        <v>30.77</v>
      </c>
      <c r="H67">
        <v>0</v>
      </c>
      <c r="I67">
        <v>0</v>
      </c>
      <c r="J67" s="1">
        <v>45928.087862453707</v>
      </c>
      <c r="K67" t="s">
        <v>913</v>
      </c>
      <c r="L67">
        <f>COUNTIF($A$2:A67,A67)</f>
        <v>5</v>
      </c>
    </row>
    <row r="68" spans="1:12" x14ac:dyDescent="0.3">
      <c r="A68">
        <v>11027</v>
      </c>
      <c r="B68" t="s">
        <v>912</v>
      </c>
      <c r="C68" t="s">
        <v>386</v>
      </c>
      <c r="D68" t="s">
        <v>387</v>
      </c>
      <c r="E68">
        <v>14</v>
      </c>
      <c r="F68">
        <v>61.54</v>
      </c>
      <c r="G68">
        <v>38.46</v>
      </c>
      <c r="H68">
        <v>0</v>
      </c>
      <c r="I68">
        <v>0</v>
      </c>
      <c r="J68" s="1">
        <v>45928.08728670139</v>
      </c>
      <c r="K68" t="s">
        <v>913</v>
      </c>
      <c r="L68">
        <f>COUNTIF($A$2:A68,A68)</f>
        <v>6</v>
      </c>
    </row>
    <row r="69" spans="1:12" x14ac:dyDescent="0.3">
      <c r="A69">
        <v>11027</v>
      </c>
      <c r="B69" t="s">
        <v>912</v>
      </c>
      <c r="C69" t="s">
        <v>470</v>
      </c>
      <c r="D69" t="s">
        <v>471</v>
      </c>
      <c r="E69">
        <v>21</v>
      </c>
      <c r="F69">
        <v>61.54</v>
      </c>
      <c r="G69">
        <v>30.77</v>
      </c>
      <c r="H69">
        <v>7.69</v>
      </c>
      <c r="I69">
        <v>0</v>
      </c>
      <c r="J69" s="1">
        <v>45928.087382118058</v>
      </c>
      <c r="K69" t="s">
        <v>913</v>
      </c>
      <c r="L69">
        <f>COUNTIF($A$2:A69,A69)</f>
        <v>7</v>
      </c>
    </row>
    <row r="70" spans="1:12" x14ac:dyDescent="0.3">
      <c r="A70">
        <v>11027</v>
      </c>
      <c r="B70" t="s">
        <v>912</v>
      </c>
      <c r="C70" t="s">
        <v>942</v>
      </c>
      <c r="D70" t="s">
        <v>943</v>
      </c>
      <c r="E70">
        <v>18</v>
      </c>
      <c r="F70">
        <v>61.54</v>
      </c>
      <c r="G70">
        <v>38.46</v>
      </c>
      <c r="H70">
        <v>0</v>
      </c>
      <c r="I70">
        <v>0</v>
      </c>
      <c r="J70" s="1">
        <v>45928.087881250001</v>
      </c>
      <c r="K70" t="s">
        <v>913</v>
      </c>
      <c r="L70">
        <f>COUNTIF($A$2:A70,A70)</f>
        <v>8</v>
      </c>
    </row>
    <row r="71" spans="1:12" x14ac:dyDescent="0.3">
      <c r="A71">
        <v>11027</v>
      </c>
      <c r="B71" t="s">
        <v>912</v>
      </c>
      <c r="C71" t="s">
        <v>944</v>
      </c>
      <c r="D71" t="s">
        <v>945</v>
      </c>
      <c r="E71">
        <v>19</v>
      </c>
      <c r="F71">
        <v>61.54</v>
      </c>
      <c r="G71">
        <v>38.46</v>
      </c>
      <c r="H71">
        <v>0</v>
      </c>
      <c r="I71">
        <v>0</v>
      </c>
      <c r="J71" s="1">
        <v>45928.087901469909</v>
      </c>
      <c r="K71" t="s">
        <v>913</v>
      </c>
      <c r="L71">
        <f>COUNTIF($A$2:A71,A71)</f>
        <v>9</v>
      </c>
    </row>
    <row r="72" spans="1:12" x14ac:dyDescent="0.3">
      <c r="A72">
        <v>11027</v>
      </c>
      <c r="B72" t="s">
        <v>912</v>
      </c>
      <c r="C72" t="s">
        <v>946</v>
      </c>
      <c r="D72" t="s">
        <v>947</v>
      </c>
      <c r="E72">
        <v>21</v>
      </c>
      <c r="F72">
        <v>61.54</v>
      </c>
      <c r="G72">
        <v>38.46</v>
      </c>
      <c r="H72">
        <v>0</v>
      </c>
      <c r="I72">
        <v>0</v>
      </c>
      <c r="J72" s="1">
        <v>45928.087920810183</v>
      </c>
      <c r="K72" t="s">
        <v>913</v>
      </c>
      <c r="L72">
        <f>COUNTIF($A$2:A72,A72)</f>
        <v>10</v>
      </c>
    </row>
    <row r="73" spans="1:12" x14ac:dyDescent="0.3">
      <c r="A73">
        <v>11027</v>
      </c>
      <c r="B73" t="s">
        <v>912</v>
      </c>
      <c r="C73" t="s">
        <v>468</v>
      </c>
      <c r="D73" t="s">
        <v>469</v>
      </c>
      <c r="E73">
        <v>17</v>
      </c>
      <c r="F73">
        <v>53.85</v>
      </c>
      <c r="G73">
        <v>46.15</v>
      </c>
      <c r="H73">
        <v>0</v>
      </c>
      <c r="I73">
        <v>0</v>
      </c>
      <c r="J73" s="1">
        <v>45928.087303854169</v>
      </c>
      <c r="K73" t="s">
        <v>913</v>
      </c>
      <c r="L73">
        <f>COUNTIF($A$2:A73,A73)</f>
        <v>11</v>
      </c>
    </row>
    <row r="74" spans="1:12" x14ac:dyDescent="0.3">
      <c r="A74">
        <v>11027</v>
      </c>
      <c r="B74" t="s">
        <v>912</v>
      </c>
      <c r="C74" t="s">
        <v>948</v>
      </c>
      <c r="D74" t="s">
        <v>949</v>
      </c>
      <c r="E74">
        <v>26</v>
      </c>
      <c r="F74">
        <v>46.15</v>
      </c>
      <c r="G74">
        <v>46.15</v>
      </c>
      <c r="H74">
        <v>7.69</v>
      </c>
      <c r="I74">
        <v>0.01</v>
      </c>
      <c r="J74" s="1">
        <v>45928.087940324076</v>
      </c>
      <c r="K74" t="s">
        <v>913</v>
      </c>
      <c r="L74">
        <f>COUNTIF($A$2:A74,A74)</f>
        <v>12</v>
      </c>
    </row>
    <row r="75" spans="1:12" x14ac:dyDescent="0.3">
      <c r="A75">
        <v>11027</v>
      </c>
      <c r="B75" t="s">
        <v>912</v>
      </c>
      <c r="C75" t="s">
        <v>916</v>
      </c>
      <c r="D75" t="s">
        <v>917</v>
      </c>
      <c r="E75">
        <v>18</v>
      </c>
      <c r="F75">
        <v>38.46</v>
      </c>
      <c r="G75">
        <v>61.54</v>
      </c>
      <c r="H75">
        <v>0</v>
      </c>
      <c r="I75">
        <v>0</v>
      </c>
      <c r="J75" s="1">
        <v>45928.087340046295</v>
      </c>
      <c r="K75" t="s">
        <v>913</v>
      </c>
      <c r="L75">
        <f>COUNTIF($A$2:A75,A75)</f>
        <v>13</v>
      </c>
    </row>
    <row r="76" spans="1:12" x14ac:dyDescent="0.3">
      <c r="A76">
        <v>11027</v>
      </c>
      <c r="B76" t="s">
        <v>912</v>
      </c>
      <c r="C76" t="s">
        <v>914</v>
      </c>
      <c r="D76" t="s">
        <v>915</v>
      </c>
      <c r="E76">
        <v>20</v>
      </c>
      <c r="F76">
        <v>30.77</v>
      </c>
      <c r="G76">
        <v>69.23</v>
      </c>
      <c r="H76">
        <v>0</v>
      </c>
      <c r="I76">
        <v>0</v>
      </c>
      <c r="J76" s="1">
        <v>45928.087322002313</v>
      </c>
      <c r="K76" t="s">
        <v>913</v>
      </c>
      <c r="L76">
        <f>COUNTIF($A$2:A76,A76)</f>
        <v>14</v>
      </c>
    </row>
    <row r="77" spans="1:12" x14ac:dyDescent="0.3">
      <c r="A77">
        <v>11027</v>
      </c>
      <c r="B77" t="s">
        <v>912</v>
      </c>
      <c r="C77" t="s">
        <v>653</v>
      </c>
      <c r="D77" t="s">
        <v>654</v>
      </c>
      <c r="E77">
        <v>27</v>
      </c>
      <c r="F77">
        <v>23.08</v>
      </c>
      <c r="G77">
        <v>69.23</v>
      </c>
      <c r="H77">
        <v>7.69</v>
      </c>
      <c r="I77">
        <v>0</v>
      </c>
      <c r="J77" s="1">
        <v>45928.087494502317</v>
      </c>
      <c r="K77" t="s">
        <v>913</v>
      </c>
      <c r="L77">
        <f>COUNTIF($A$2:A77,A77)</f>
        <v>15</v>
      </c>
    </row>
    <row r="78" spans="1:12" x14ac:dyDescent="0.3">
      <c r="A78">
        <v>11027</v>
      </c>
      <c r="B78" t="s">
        <v>912</v>
      </c>
      <c r="C78" t="s">
        <v>926</v>
      </c>
      <c r="D78" t="s">
        <v>927</v>
      </c>
      <c r="E78">
        <v>0</v>
      </c>
      <c r="F78">
        <v>23.08</v>
      </c>
      <c r="G78">
        <v>69.23</v>
      </c>
      <c r="H78">
        <v>7.69</v>
      </c>
      <c r="I78">
        <v>0</v>
      </c>
      <c r="J78" s="1">
        <v>45928.087661770835</v>
      </c>
      <c r="K78" t="s">
        <v>913</v>
      </c>
      <c r="L78">
        <f>COUNTIF($A$2:A78,A78)</f>
        <v>16</v>
      </c>
    </row>
    <row r="79" spans="1:12" x14ac:dyDescent="0.3">
      <c r="A79">
        <v>11027</v>
      </c>
      <c r="B79" t="s">
        <v>912</v>
      </c>
      <c r="C79" t="s">
        <v>918</v>
      </c>
      <c r="D79" t="s">
        <v>919</v>
      </c>
      <c r="E79">
        <v>28</v>
      </c>
      <c r="F79">
        <v>15.38</v>
      </c>
      <c r="G79">
        <v>76.92</v>
      </c>
      <c r="H79">
        <v>7.69</v>
      </c>
      <c r="I79">
        <v>0.01</v>
      </c>
      <c r="J79" s="1">
        <v>45928.087408518521</v>
      </c>
      <c r="K79" t="s">
        <v>913</v>
      </c>
      <c r="L79">
        <f>COUNTIF($A$2:A79,A79)</f>
        <v>17</v>
      </c>
    </row>
    <row r="80" spans="1:12" x14ac:dyDescent="0.3">
      <c r="A80">
        <v>11027</v>
      </c>
      <c r="B80" t="s">
        <v>912</v>
      </c>
      <c r="C80" t="s">
        <v>922</v>
      </c>
      <c r="D80" t="s">
        <v>923</v>
      </c>
      <c r="E80">
        <v>29</v>
      </c>
      <c r="F80">
        <v>15.38</v>
      </c>
      <c r="G80">
        <v>76.92</v>
      </c>
      <c r="H80">
        <v>7.69</v>
      </c>
      <c r="I80">
        <v>0.01</v>
      </c>
      <c r="J80" s="1">
        <v>45928.087514525461</v>
      </c>
      <c r="K80" t="s">
        <v>913</v>
      </c>
      <c r="L80">
        <f>COUNTIF($A$2:A80,A80)</f>
        <v>18</v>
      </c>
    </row>
    <row r="81" spans="1:12" x14ac:dyDescent="0.3">
      <c r="A81">
        <v>11027</v>
      </c>
      <c r="B81" t="s">
        <v>912</v>
      </c>
      <c r="C81" t="s">
        <v>930</v>
      </c>
      <c r="D81" t="s">
        <v>931</v>
      </c>
      <c r="E81">
        <v>34</v>
      </c>
      <c r="F81">
        <v>15.38</v>
      </c>
      <c r="G81">
        <v>69.23</v>
      </c>
      <c r="H81">
        <v>15.38</v>
      </c>
      <c r="I81">
        <v>0.01</v>
      </c>
      <c r="J81" s="1">
        <v>45928.08769615741</v>
      </c>
      <c r="K81" t="s">
        <v>913</v>
      </c>
      <c r="L81">
        <f>COUNTIF($A$2:A81,A81)</f>
        <v>19</v>
      </c>
    </row>
    <row r="82" spans="1:12" x14ac:dyDescent="0.3">
      <c r="A82">
        <v>11027</v>
      </c>
      <c r="B82" t="s">
        <v>912</v>
      </c>
      <c r="C82" t="s">
        <v>950</v>
      </c>
      <c r="D82" t="s">
        <v>951</v>
      </c>
      <c r="E82">
        <v>29</v>
      </c>
      <c r="F82">
        <v>15.38</v>
      </c>
      <c r="G82">
        <v>76.92</v>
      </c>
      <c r="H82">
        <v>7.69</v>
      </c>
      <c r="I82">
        <v>0.01</v>
      </c>
      <c r="J82" s="1">
        <v>45928.087960092591</v>
      </c>
      <c r="K82" t="s">
        <v>913</v>
      </c>
      <c r="L82">
        <f>COUNTIF($A$2:A82,A82)</f>
        <v>20</v>
      </c>
    </row>
    <row r="83" spans="1:12" x14ac:dyDescent="0.3">
      <c r="A83">
        <v>11027</v>
      </c>
      <c r="B83" t="s">
        <v>912</v>
      </c>
      <c r="C83" t="s">
        <v>920</v>
      </c>
      <c r="D83" t="s">
        <v>921</v>
      </c>
      <c r="E83">
        <v>31</v>
      </c>
      <c r="F83">
        <v>7.69</v>
      </c>
      <c r="G83">
        <v>84.62</v>
      </c>
      <c r="H83">
        <v>7.69</v>
      </c>
      <c r="I83">
        <v>0</v>
      </c>
      <c r="J83" s="1">
        <v>45928.087450312501</v>
      </c>
      <c r="K83" t="s">
        <v>913</v>
      </c>
      <c r="L83">
        <f>COUNTIF($A$2:A83,A83)</f>
        <v>21</v>
      </c>
    </row>
    <row r="84" spans="1:12" x14ac:dyDescent="0.3">
      <c r="A84">
        <v>11027</v>
      </c>
      <c r="B84" t="s">
        <v>912</v>
      </c>
      <c r="C84" t="s">
        <v>928</v>
      </c>
      <c r="D84" t="s">
        <v>929</v>
      </c>
      <c r="E84">
        <v>35</v>
      </c>
      <c r="F84">
        <v>7.69</v>
      </c>
      <c r="G84">
        <v>76.92</v>
      </c>
      <c r="H84">
        <v>15.38</v>
      </c>
      <c r="I84">
        <v>0.01</v>
      </c>
      <c r="J84" s="1">
        <v>45928.087679942131</v>
      </c>
      <c r="K84" t="s">
        <v>913</v>
      </c>
      <c r="L84">
        <f>COUNTIF($A$2:A84,A84)</f>
        <v>22</v>
      </c>
    </row>
    <row r="85" spans="1:12" x14ac:dyDescent="0.3">
      <c r="A85">
        <v>11027</v>
      </c>
      <c r="B85" t="s">
        <v>912</v>
      </c>
      <c r="C85" t="s">
        <v>924</v>
      </c>
      <c r="D85" t="s">
        <v>924</v>
      </c>
      <c r="E85">
        <v>41</v>
      </c>
      <c r="F85">
        <v>0</v>
      </c>
      <c r="G85">
        <v>84.62</v>
      </c>
      <c r="H85">
        <v>15.38</v>
      </c>
      <c r="I85">
        <v>0</v>
      </c>
      <c r="J85" s="1">
        <v>45928.087556307873</v>
      </c>
      <c r="K85" t="s">
        <v>913</v>
      </c>
      <c r="L85">
        <f>COUNTIF($A$2:A85,A85)</f>
        <v>23</v>
      </c>
    </row>
    <row r="86" spans="1:12" x14ac:dyDescent="0.3">
      <c r="A86">
        <v>11027</v>
      </c>
      <c r="B86" t="s">
        <v>912</v>
      </c>
      <c r="C86" t="s">
        <v>925</v>
      </c>
      <c r="D86" t="s">
        <v>925</v>
      </c>
      <c r="E86">
        <v>44</v>
      </c>
      <c r="F86">
        <v>0</v>
      </c>
      <c r="G86">
        <v>84.62</v>
      </c>
      <c r="H86">
        <v>15.38</v>
      </c>
      <c r="I86">
        <v>0</v>
      </c>
      <c r="J86" s="1">
        <v>45928.087598715276</v>
      </c>
      <c r="K86" t="s">
        <v>913</v>
      </c>
      <c r="L86">
        <f>COUNTIF($A$2:A86,A86)</f>
        <v>24</v>
      </c>
    </row>
    <row r="87" spans="1:12" x14ac:dyDescent="0.3">
      <c r="A87">
        <v>11027</v>
      </c>
      <c r="B87" t="s">
        <v>912</v>
      </c>
      <c r="C87" t="s">
        <v>655</v>
      </c>
      <c r="D87" t="s">
        <v>656</v>
      </c>
      <c r="E87">
        <v>46</v>
      </c>
      <c r="F87">
        <v>0</v>
      </c>
      <c r="G87">
        <v>84.62</v>
      </c>
      <c r="H87">
        <v>15.38</v>
      </c>
      <c r="I87">
        <v>0</v>
      </c>
      <c r="J87" s="1">
        <v>45928.087640787038</v>
      </c>
      <c r="K87" t="s">
        <v>913</v>
      </c>
      <c r="L87">
        <f>COUNTIF($A$2:A87,A87)</f>
        <v>25</v>
      </c>
    </row>
    <row r="88" spans="1:12" x14ac:dyDescent="0.3">
      <c r="A88">
        <v>11027</v>
      </c>
      <c r="B88" t="s">
        <v>912</v>
      </c>
      <c r="C88" t="s">
        <v>932</v>
      </c>
      <c r="D88" t="s">
        <v>933</v>
      </c>
      <c r="E88">
        <v>44</v>
      </c>
      <c r="F88">
        <v>0</v>
      </c>
      <c r="G88">
        <v>84.62</v>
      </c>
      <c r="H88">
        <v>15.38</v>
      </c>
      <c r="I88">
        <v>0</v>
      </c>
      <c r="J88" s="1">
        <v>45928.08773806713</v>
      </c>
      <c r="K88" t="s">
        <v>913</v>
      </c>
      <c r="L88">
        <f>COUNTIF($A$2:A88,A88)</f>
        <v>26</v>
      </c>
    </row>
    <row r="89" spans="1:12" x14ac:dyDescent="0.3">
      <c r="A89">
        <v>11027</v>
      </c>
      <c r="B89" t="s">
        <v>912</v>
      </c>
      <c r="C89" t="s">
        <v>934</v>
      </c>
      <c r="D89" t="s">
        <v>935</v>
      </c>
      <c r="E89">
        <v>51</v>
      </c>
      <c r="F89">
        <v>0</v>
      </c>
      <c r="G89">
        <v>84.62</v>
      </c>
      <c r="H89">
        <v>15.38</v>
      </c>
      <c r="I89">
        <v>0</v>
      </c>
      <c r="J89" s="1">
        <v>45928.087781574075</v>
      </c>
      <c r="K89" t="s">
        <v>913</v>
      </c>
      <c r="L89">
        <f>COUNTIF($A$2:A89,A89)</f>
        <v>27</v>
      </c>
    </row>
    <row r="90" spans="1:12" x14ac:dyDescent="0.3">
      <c r="A90">
        <v>11027</v>
      </c>
      <c r="B90" t="s">
        <v>912</v>
      </c>
      <c r="C90" t="s">
        <v>936</v>
      </c>
      <c r="D90" t="s">
        <v>937</v>
      </c>
      <c r="E90">
        <v>55</v>
      </c>
      <c r="F90">
        <v>0</v>
      </c>
      <c r="G90">
        <v>76.92</v>
      </c>
      <c r="H90">
        <v>23.08</v>
      </c>
      <c r="I90">
        <v>0</v>
      </c>
      <c r="J90" s="1">
        <v>45928.087799583336</v>
      </c>
      <c r="K90" t="s">
        <v>913</v>
      </c>
      <c r="L90">
        <f>COUNTIF($A$2:A90,A90)</f>
        <v>28</v>
      </c>
    </row>
    <row r="91" spans="1:12" x14ac:dyDescent="0.3">
      <c r="A91">
        <v>11027</v>
      </c>
      <c r="B91" t="s">
        <v>912</v>
      </c>
      <c r="C91" t="s">
        <v>952</v>
      </c>
      <c r="D91" t="s">
        <v>953</v>
      </c>
      <c r="E91">
        <v>38</v>
      </c>
      <c r="F91">
        <v>0</v>
      </c>
      <c r="G91">
        <v>84.62</v>
      </c>
      <c r="H91">
        <v>15.38</v>
      </c>
      <c r="I91">
        <v>0</v>
      </c>
      <c r="J91" s="1">
        <v>45928.088003506942</v>
      </c>
      <c r="K91" t="s">
        <v>913</v>
      </c>
      <c r="L91">
        <f>COUNTIF($A$2:A91,A91)</f>
        <v>29</v>
      </c>
    </row>
    <row r="92" spans="1:12" x14ac:dyDescent="0.3">
      <c r="A92">
        <v>11028</v>
      </c>
      <c r="B92" t="s">
        <v>912</v>
      </c>
      <c r="C92" t="s">
        <v>954</v>
      </c>
      <c r="D92" t="s">
        <v>955</v>
      </c>
      <c r="E92">
        <v>0</v>
      </c>
      <c r="F92">
        <v>100</v>
      </c>
      <c r="G92">
        <v>0</v>
      </c>
      <c r="H92">
        <v>0</v>
      </c>
      <c r="I92">
        <v>0</v>
      </c>
      <c r="J92" s="1">
        <v>45928.088110775461</v>
      </c>
      <c r="K92" t="s">
        <v>956</v>
      </c>
      <c r="L92">
        <f>COUNTIF($A$2:A92,A92)</f>
        <v>1</v>
      </c>
    </row>
    <row r="93" spans="1:12" x14ac:dyDescent="0.3">
      <c r="A93">
        <v>11028</v>
      </c>
      <c r="B93" t="s">
        <v>912</v>
      </c>
      <c r="C93" t="s">
        <v>938</v>
      </c>
      <c r="D93" t="s">
        <v>939</v>
      </c>
      <c r="E93">
        <v>0</v>
      </c>
      <c r="F93">
        <v>100</v>
      </c>
      <c r="G93">
        <v>0</v>
      </c>
      <c r="H93">
        <v>0</v>
      </c>
      <c r="I93">
        <v>0</v>
      </c>
      <c r="J93" s="1">
        <v>45928.088290925924</v>
      </c>
      <c r="K93" t="s">
        <v>956</v>
      </c>
      <c r="L93">
        <f>COUNTIF($A$2:A93,A93)</f>
        <v>2</v>
      </c>
    </row>
    <row r="94" spans="1:12" x14ac:dyDescent="0.3">
      <c r="A94">
        <v>11028</v>
      </c>
      <c r="B94" t="s">
        <v>912</v>
      </c>
      <c r="C94" t="s">
        <v>936</v>
      </c>
      <c r="D94" t="s">
        <v>937</v>
      </c>
      <c r="E94">
        <v>8</v>
      </c>
      <c r="F94">
        <v>100</v>
      </c>
      <c r="G94">
        <v>0</v>
      </c>
      <c r="H94">
        <v>0</v>
      </c>
      <c r="I94">
        <v>0</v>
      </c>
      <c r="J94" s="1">
        <v>45928.08830938657</v>
      </c>
      <c r="K94" t="s">
        <v>956</v>
      </c>
      <c r="L94">
        <f>COUNTIF($A$2:A94,A94)</f>
        <v>3</v>
      </c>
    </row>
    <row r="95" spans="1:12" x14ac:dyDescent="0.3">
      <c r="A95">
        <v>11028</v>
      </c>
      <c r="B95" t="s">
        <v>912</v>
      </c>
      <c r="C95" t="s">
        <v>926</v>
      </c>
      <c r="D95" t="s">
        <v>927</v>
      </c>
      <c r="E95">
        <v>5</v>
      </c>
      <c r="F95">
        <v>100</v>
      </c>
      <c r="G95">
        <v>0</v>
      </c>
      <c r="H95">
        <v>0</v>
      </c>
      <c r="I95">
        <v>0</v>
      </c>
      <c r="J95" s="1">
        <v>45928.088410381948</v>
      </c>
      <c r="K95" t="s">
        <v>956</v>
      </c>
      <c r="L95">
        <f>COUNTIF($A$2:A95,A95)</f>
        <v>4</v>
      </c>
    </row>
    <row r="96" spans="1:12" x14ac:dyDescent="0.3">
      <c r="A96">
        <v>11028</v>
      </c>
      <c r="B96" t="s">
        <v>912</v>
      </c>
      <c r="C96" t="s">
        <v>940</v>
      </c>
      <c r="D96" t="s">
        <v>941</v>
      </c>
      <c r="E96">
        <v>6</v>
      </c>
      <c r="F96">
        <v>92.31</v>
      </c>
      <c r="G96">
        <v>7.69</v>
      </c>
      <c r="H96">
        <v>0</v>
      </c>
      <c r="I96">
        <v>0</v>
      </c>
      <c r="J96" s="1">
        <v>45928.088269282409</v>
      </c>
      <c r="K96" t="s">
        <v>956</v>
      </c>
      <c r="L96">
        <f>COUNTIF($A$2:A96,A96)</f>
        <v>5</v>
      </c>
    </row>
    <row r="97" spans="1:12" x14ac:dyDescent="0.3">
      <c r="A97">
        <v>11028</v>
      </c>
      <c r="B97" t="s">
        <v>912</v>
      </c>
      <c r="C97" t="s">
        <v>653</v>
      </c>
      <c r="D97" t="s">
        <v>654</v>
      </c>
      <c r="E97">
        <v>6</v>
      </c>
      <c r="F97">
        <v>84.62</v>
      </c>
      <c r="G97">
        <v>15.38</v>
      </c>
      <c r="H97">
        <v>0</v>
      </c>
      <c r="I97">
        <v>0</v>
      </c>
      <c r="J97" s="1">
        <v>45928.088525555555</v>
      </c>
      <c r="K97" t="s">
        <v>956</v>
      </c>
      <c r="L97">
        <f>COUNTIF($A$2:A97,A97)</f>
        <v>6</v>
      </c>
    </row>
    <row r="98" spans="1:12" x14ac:dyDescent="0.3">
      <c r="A98">
        <v>11028</v>
      </c>
      <c r="B98" t="s">
        <v>912</v>
      </c>
      <c r="C98" t="s">
        <v>952</v>
      </c>
      <c r="D98" t="s">
        <v>953</v>
      </c>
      <c r="E98">
        <v>13</v>
      </c>
      <c r="F98">
        <v>76.92</v>
      </c>
      <c r="G98">
        <v>23.08</v>
      </c>
      <c r="H98">
        <v>0</v>
      </c>
      <c r="I98">
        <v>0</v>
      </c>
      <c r="J98" s="1">
        <v>45928.088131122684</v>
      </c>
      <c r="K98" t="s">
        <v>956</v>
      </c>
      <c r="L98">
        <f>COUNTIF($A$2:A98,A98)</f>
        <v>7</v>
      </c>
    </row>
    <row r="99" spans="1:12" x14ac:dyDescent="0.3">
      <c r="A99">
        <v>11028</v>
      </c>
      <c r="B99" t="s">
        <v>912</v>
      </c>
      <c r="C99" t="s">
        <v>946</v>
      </c>
      <c r="D99" t="s">
        <v>947</v>
      </c>
      <c r="E99">
        <v>11</v>
      </c>
      <c r="F99">
        <v>76.92</v>
      </c>
      <c r="G99">
        <v>23.08</v>
      </c>
      <c r="H99">
        <v>0</v>
      </c>
      <c r="I99">
        <v>0</v>
      </c>
      <c r="J99" s="1">
        <v>45928.088189780094</v>
      </c>
      <c r="K99" t="s">
        <v>956</v>
      </c>
      <c r="L99">
        <f>COUNTIF($A$2:A99,A99)</f>
        <v>8</v>
      </c>
    </row>
    <row r="100" spans="1:12" x14ac:dyDescent="0.3">
      <c r="A100">
        <v>11028</v>
      </c>
      <c r="B100" t="s">
        <v>912</v>
      </c>
      <c r="C100" t="s">
        <v>944</v>
      </c>
      <c r="D100" t="s">
        <v>945</v>
      </c>
      <c r="E100">
        <v>8</v>
      </c>
      <c r="F100">
        <v>76.92</v>
      </c>
      <c r="G100">
        <v>23.08</v>
      </c>
      <c r="H100">
        <v>0</v>
      </c>
      <c r="I100">
        <v>0</v>
      </c>
      <c r="J100" s="1">
        <v>45928.08820662037</v>
      </c>
      <c r="K100" t="s">
        <v>956</v>
      </c>
      <c r="L100">
        <f>COUNTIF($A$2:A100,A100)</f>
        <v>9</v>
      </c>
    </row>
    <row r="101" spans="1:12" x14ac:dyDescent="0.3">
      <c r="A101">
        <v>11028</v>
      </c>
      <c r="B101" t="s">
        <v>912</v>
      </c>
      <c r="C101" t="s">
        <v>942</v>
      </c>
      <c r="D101" t="s">
        <v>943</v>
      </c>
      <c r="E101">
        <v>7</v>
      </c>
      <c r="F101">
        <v>76.92</v>
      </c>
      <c r="G101">
        <v>23.08</v>
      </c>
      <c r="H101">
        <v>0</v>
      </c>
      <c r="I101">
        <v>0</v>
      </c>
      <c r="J101" s="1">
        <v>45928.088225277781</v>
      </c>
      <c r="K101" t="s">
        <v>956</v>
      </c>
      <c r="L101">
        <f>COUNTIF($A$2:A101,A101)</f>
        <v>10</v>
      </c>
    </row>
    <row r="102" spans="1:12" x14ac:dyDescent="0.3">
      <c r="A102">
        <v>11028</v>
      </c>
      <c r="B102" t="s">
        <v>912</v>
      </c>
      <c r="C102" t="s">
        <v>920</v>
      </c>
      <c r="D102" t="s">
        <v>921</v>
      </c>
      <c r="E102">
        <v>10</v>
      </c>
      <c r="F102">
        <v>76.92</v>
      </c>
      <c r="G102">
        <v>23.08</v>
      </c>
      <c r="H102">
        <v>0</v>
      </c>
      <c r="I102">
        <v>0</v>
      </c>
      <c r="J102" s="1">
        <v>45928.088546701387</v>
      </c>
      <c r="K102" t="s">
        <v>956</v>
      </c>
      <c r="L102">
        <f>COUNTIF($A$2:A102,A102)</f>
        <v>11</v>
      </c>
    </row>
    <row r="103" spans="1:12" x14ac:dyDescent="0.3">
      <c r="A103">
        <v>11028</v>
      </c>
      <c r="B103" t="s">
        <v>912</v>
      </c>
      <c r="C103" t="s">
        <v>468</v>
      </c>
      <c r="D103" t="s">
        <v>469</v>
      </c>
      <c r="E103">
        <v>10</v>
      </c>
      <c r="F103">
        <v>69.23</v>
      </c>
      <c r="G103">
        <v>30.77</v>
      </c>
      <c r="H103">
        <v>0</v>
      </c>
      <c r="I103">
        <v>0</v>
      </c>
      <c r="J103" s="1">
        <v>45928.088671967591</v>
      </c>
      <c r="K103" t="s">
        <v>956</v>
      </c>
      <c r="L103">
        <f>COUNTIF($A$2:A103,A103)</f>
        <v>12</v>
      </c>
    </row>
    <row r="104" spans="1:12" x14ac:dyDescent="0.3">
      <c r="A104">
        <v>11028</v>
      </c>
      <c r="B104" t="s">
        <v>912</v>
      </c>
      <c r="C104" t="s">
        <v>382</v>
      </c>
      <c r="D104" t="s">
        <v>383</v>
      </c>
      <c r="E104">
        <v>15</v>
      </c>
      <c r="F104">
        <v>69.23</v>
      </c>
      <c r="G104">
        <v>30.77</v>
      </c>
      <c r="H104">
        <v>0</v>
      </c>
      <c r="I104">
        <v>0</v>
      </c>
      <c r="J104" s="1">
        <v>45928.088755555553</v>
      </c>
      <c r="K104" t="s">
        <v>956</v>
      </c>
      <c r="L104">
        <f>COUNTIF($A$2:A104,A104)</f>
        <v>13</v>
      </c>
    </row>
    <row r="105" spans="1:12" x14ac:dyDescent="0.3">
      <c r="A105">
        <v>11028</v>
      </c>
      <c r="B105" t="s">
        <v>912</v>
      </c>
      <c r="C105" t="s">
        <v>934</v>
      </c>
      <c r="D105" t="s">
        <v>935</v>
      </c>
      <c r="E105">
        <v>0</v>
      </c>
      <c r="F105">
        <v>61.54</v>
      </c>
      <c r="G105">
        <v>38.46</v>
      </c>
      <c r="H105">
        <v>0</v>
      </c>
      <c r="I105">
        <v>0</v>
      </c>
      <c r="J105" s="1">
        <v>45928.088334594904</v>
      </c>
      <c r="K105" t="s">
        <v>956</v>
      </c>
      <c r="L105">
        <f>COUNTIF($A$2:A105,A105)</f>
        <v>14</v>
      </c>
    </row>
    <row r="106" spans="1:12" x14ac:dyDescent="0.3">
      <c r="A106">
        <v>11028</v>
      </c>
      <c r="B106" t="s">
        <v>912</v>
      </c>
      <c r="C106" t="s">
        <v>918</v>
      </c>
      <c r="D106" t="s">
        <v>919</v>
      </c>
      <c r="E106">
        <v>15</v>
      </c>
      <c r="F106">
        <v>61.54</v>
      </c>
      <c r="G106">
        <v>38.46</v>
      </c>
      <c r="H106">
        <v>0</v>
      </c>
      <c r="I106">
        <v>0</v>
      </c>
      <c r="J106" s="1">
        <v>45928.088567500003</v>
      </c>
      <c r="K106" t="s">
        <v>956</v>
      </c>
      <c r="L106">
        <f>COUNTIF($A$2:A106,A106)</f>
        <v>15</v>
      </c>
    </row>
    <row r="107" spans="1:12" x14ac:dyDescent="0.3">
      <c r="A107">
        <v>11028</v>
      </c>
      <c r="B107" t="s">
        <v>912</v>
      </c>
      <c r="C107" t="s">
        <v>470</v>
      </c>
      <c r="D107" t="s">
        <v>471</v>
      </c>
      <c r="E107">
        <v>18</v>
      </c>
      <c r="F107">
        <v>53.85</v>
      </c>
      <c r="G107">
        <v>46.15</v>
      </c>
      <c r="H107">
        <v>0</v>
      </c>
      <c r="I107">
        <v>0</v>
      </c>
      <c r="J107" s="1">
        <v>45928.088586990743</v>
      </c>
      <c r="K107" t="s">
        <v>956</v>
      </c>
      <c r="L107">
        <f>COUNTIF($A$2:A107,A107)</f>
        <v>16</v>
      </c>
    </row>
    <row r="108" spans="1:12" x14ac:dyDescent="0.3">
      <c r="A108">
        <v>11028</v>
      </c>
      <c r="B108" t="s">
        <v>912</v>
      </c>
      <c r="C108" t="s">
        <v>948</v>
      </c>
      <c r="D108" t="s">
        <v>949</v>
      </c>
      <c r="E108">
        <v>19</v>
      </c>
      <c r="F108">
        <v>46.15</v>
      </c>
      <c r="G108">
        <v>53.85</v>
      </c>
      <c r="H108">
        <v>0</v>
      </c>
      <c r="I108">
        <v>0</v>
      </c>
      <c r="J108" s="1">
        <v>45928.088170115741</v>
      </c>
      <c r="K108" t="s">
        <v>956</v>
      </c>
      <c r="L108">
        <f>COUNTIF($A$2:A108,A108)</f>
        <v>17</v>
      </c>
    </row>
    <row r="109" spans="1:12" x14ac:dyDescent="0.3">
      <c r="A109">
        <v>11028</v>
      </c>
      <c r="B109" t="s">
        <v>912</v>
      </c>
      <c r="C109" t="s">
        <v>922</v>
      </c>
      <c r="D109" t="s">
        <v>923</v>
      </c>
      <c r="E109">
        <v>13</v>
      </c>
      <c r="F109">
        <v>46.15</v>
      </c>
      <c r="G109">
        <v>53.85</v>
      </c>
      <c r="H109">
        <v>0</v>
      </c>
      <c r="I109">
        <v>0</v>
      </c>
      <c r="J109" s="1">
        <v>45928.08848309028</v>
      </c>
      <c r="K109" t="s">
        <v>956</v>
      </c>
      <c r="L109">
        <f>COUNTIF($A$2:A109,A109)</f>
        <v>18</v>
      </c>
    </row>
    <row r="110" spans="1:12" x14ac:dyDescent="0.3">
      <c r="A110">
        <v>11028</v>
      </c>
      <c r="B110" t="s">
        <v>912</v>
      </c>
      <c r="C110" t="s">
        <v>925</v>
      </c>
      <c r="D110" t="s">
        <v>925</v>
      </c>
      <c r="E110">
        <v>26</v>
      </c>
      <c r="F110">
        <v>38.46</v>
      </c>
      <c r="G110">
        <v>61.54</v>
      </c>
      <c r="H110">
        <v>0</v>
      </c>
      <c r="I110">
        <v>0</v>
      </c>
      <c r="J110" s="1">
        <v>45928.088446631948</v>
      </c>
      <c r="K110" t="s">
        <v>956</v>
      </c>
      <c r="L110">
        <f>COUNTIF($A$2:A110,A110)</f>
        <v>19</v>
      </c>
    </row>
    <row r="111" spans="1:12" x14ac:dyDescent="0.3">
      <c r="A111">
        <v>11028</v>
      </c>
      <c r="B111" t="s">
        <v>912</v>
      </c>
      <c r="C111" t="s">
        <v>950</v>
      </c>
      <c r="D111" t="s">
        <v>951</v>
      </c>
      <c r="E111">
        <v>21</v>
      </c>
      <c r="F111">
        <v>30.77</v>
      </c>
      <c r="G111">
        <v>69.23</v>
      </c>
      <c r="H111">
        <v>0</v>
      </c>
      <c r="I111">
        <v>0</v>
      </c>
      <c r="J111" s="1">
        <v>45928.08815077546</v>
      </c>
      <c r="K111" t="s">
        <v>956</v>
      </c>
      <c r="L111">
        <f>COUNTIF($A$2:A111,A111)</f>
        <v>20</v>
      </c>
    </row>
    <row r="112" spans="1:12" x14ac:dyDescent="0.3">
      <c r="A112">
        <v>11028</v>
      </c>
      <c r="B112" t="s">
        <v>912</v>
      </c>
      <c r="C112" t="s">
        <v>932</v>
      </c>
      <c r="D112" t="s">
        <v>933</v>
      </c>
      <c r="E112">
        <v>20</v>
      </c>
      <c r="F112">
        <v>30.77</v>
      </c>
      <c r="G112">
        <v>69.23</v>
      </c>
      <c r="H112">
        <v>0</v>
      </c>
      <c r="I112">
        <v>0</v>
      </c>
      <c r="J112" s="1">
        <v>45928.088352233797</v>
      </c>
      <c r="K112" t="s">
        <v>956</v>
      </c>
      <c r="L112">
        <f>COUNTIF($A$2:A112,A112)</f>
        <v>21</v>
      </c>
    </row>
    <row r="113" spans="1:12" x14ac:dyDescent="0.3">
      <c r="A113">
        <v>11028</v>
      </c>
      <c r="B113" t="s">
        <v>912</v>
      </c>
      <c r="C113" t="s">
        <v>930</v>
      </c>
      <c r="D113" t="s">
        <v>931</v>
      </c>
      <c r="E113">
        <v>0</v>
      </c>
      <c r="F113">
        <v>30.77</v>
      </c>
      <c r="G113">
        <v>69.23</v>
      </c>
      <c r="H113">
        <v>0</v>
      </c>
      <c r="I113">
        <v>0</v>
      </c>
      <c r="J113" s="1">
        <v>45928.088377233798</v>
      </c>
      <c r="K113" t="s">
        <v>956</v>
      </c>
      <c r="L113">
        <f>COUNTIF($A$2:A113,A113)</f>
        <v>22</v>
      </c>
    </row>
    <row r="114" spans="1:12" x14ac:dyDescent="0.3">
      <c r="A114">
        <v>11028</v>
      </c>
      <c r="B114" t="s">
        <v>912</v>
      </c>
      <c r="C114" t="s">
        <v>924</v>
      </c>
      <c r="D114" t="s">
        <v>924</v>
      </c>
      <c r="E114">
        <v>30</v>
      </c>
      <c r="F114">
        <v>30.77</v>
      </c>
      <c r="G114">
        <v>69.23</v>
      </c>
      <c r="H114">
        <v>0</v>
      </c>
      <c r="I114">
        <v>0</v>
      </c>
      <c r="J114" s="1">
        <v>45928.088466921297</v>
      </c>
      <c r="K114" t="s">
        <v>956</v>
      </c>
      <c r="L114">
        <f>COUNTIF($A$2:A114,A114)</f>
        <v>23</v>
      </c>
    </row>
    <row r="115" spans="1:12" x14ac:dyDescent="0.3">
      <c r="A115">
        <v>11028</v>
      </c>
      <c r="B115" t="s">
        <v>912</v>
      </c>
      <c r="C115" t="s">
        <v>655</v>
      </c>
      <c r="D115" t="s">
        <v>656</v>
      </c>
      <c r="E115">
        <v>33</v>
      </c>
      <c r="F115">
        <v>23.08</v>
      </c>
      <c r="G115">
        <v>76.92</v>
      </c>
      <c r="H115">
        <v>0</v>
      </c>
      <c r="I115">
        <v>0</v>
      </c>
      <c r="J115" s="1">
        <v>45928.088429826392</v>
      </c>
      <c r="K115" t="s">
        <v>956</v>
      </c>
      <c r="L115">
        <f>COUNTIF($A$2:A115,A115)</f>
        <v>24</v>
      </c>
    </row>
    <row r="116" spans="1:12" x14ac:dyDescent="0.3">
      <c r="A116">
        <v>11028</v>
      </c>
      <c r="B116" t="s">
        <v>912</v>
      </c>
      <c r="C116" t="s">
        <v>386</v>
      </c>
      <c r="D116" t="s">
        <v>387</v>
      </c>
      <c r="E116">
        <v>29</v>
      </c>
      <c r="F116">
        <v>23.08</v>
      </c>
      <c r="G116">
        <v>76.92</v>
      </c>
      <c r="H116">
        <v>0</v>
      </c>
      <c r="I116">
        <v>0</v>
      </c>
      <c r="J116" s="1">
        <v>45928.088691886573</v>
      </c>
      <c r="K116" t="s">
        <v>956</v>
      </c>
      <c r="L116">
        <f>COUNTIF($A$2:A116,A116)</f>
        <v>25</v>
      </c>
    </row>
    <row r="117" spans="1:12" x14ac:dyDescent="0.3">
      <c r="A117">
        <v>11028</v>
      </c>
      <c r="B117" t="s">
        <v>912</v>
      </c>
      <c r="C117" t="s">
        <v>384</v>
      </c>
      <c r="D117" t="s">
        <v>385</v>
      </c>
      <c r="E117">
        <v>29</v>
      </c>
      <c r="F117">
        <v>15.38</v>
      </c>
      <c r="G117">
        <v>84.62</v>
      </c>
      <c r="H117">
        <v>0</v>
      </c>
      <c r="I117">
        <v>0</v>
      </c>
      <c r="J117" s="1">
        <v>45928.088712037039</v>
      </c>
      <c r="K117" t="s">
        <v>956</v>
      </c>
      <c r="L117">
        <f>COUNTIF($A$2:A117,A117)</f>
        <v>26</v>
      </c>
    </row>
    <row r="118" spans="1:12" x14ac:dyDescent="0.3">
      <c r="A118">
        <v>11028</v>
      </c>
      <c r="B118" t="s">
        <v>912</v>
      </c>
      <c r="C118" t="s">
        <v>928</v>
      </c>
      <c r="D118" t="s">
        <v>929</v>
      </c>
      <c r="E118">
        <v>26</v>
      </c>
      <c r="F118">
        <v>7.69</v>
      </c>
      <c r="G118">
        <v>92.31</v>
      </c>
      <c r="H118">
        <v>0</v>
      </c>
      <c r="I118">
        <v>0</v>
      </c>
      <c r="J118" s="1">
        <v>45928.088394548613</v>
      </c>
      <c r="K118" t="s">
        <v>956</v>
      </c>
      <c r="L118">
        <f>COUNTIF($A$2:A118,A118)</f>
        <v>27</v>
      </c>
    </row>
    <row r="119" spans="1:12" x14ac:dyDescent="0.3">
      <c r="A119">
        <v>11028</v>
      </c>
      <c r="B119" t="s">
        <v>912</v>
      </c>
      <c r="C119" t="s">
        <v>916</v>
      </c>
      <c r="D119" t="s">
        <v>917</v>
      </c>
      <c r="E119">
        <v>0</v>
      </c>
      <c r="F119">
        <v>7.69</v>
      </c>
      <c r="G119">
        <v>92.31</v>
      </c>
      <c r="H119">
        <v>0</v>
      </c>
      <c r="I119">
        <v>0</v>
      </c>
      <c r="J119" s="1">
        <v>45928.088609409722</v>
      </c>
      <c r="K119" t="s">
        <v>956</v>
      </c>
      <c r="L119">
        <f>COUNTIF($A$2:A119,A119)</f>
        <v>28</v>
      </c>
    </row>
    <row r="120" spans="1:12" x14ac:dyDescent="0.3">
      <c r="A120">
        <v>11028</v>
      </c>
      <c r="B120" t="s">
        <v>912</v>
      </c>
      <c r="C120" t="s">
        <v>914</v>
      </c>
      <c r="D120" t="s">
        <v>915</v>
      </c>
      <c r="E120">
        <v>29</v>
      </c>
      <c r="F120">
        <v>7.69</v>
      </c>
      <c r="G120">
        <v>92.31</v>
      </c>
      <c r="H120">
        <v>0</v>
      </c>
      <c r="I120">
        <v>0</v>
      </c>
      <c r="J120" s="1">
        <v>45928.088631307874</v>
      </c>
      <c r="K120" t="s">
        <v>956</v>
      </c>
      <c r="L120">
        <f>COUNTIF($A$2:A120,A120)</f>
        <v>29</v>
      </c>
    </row>
    <row r="121" spans="1:12" x14ac:dyDescent="0.3">
      <c r="A121">
        <v>12001</v>
      </c>
      <c r="B121" t="s">
        <v>315</v>
      </c>
      <c r="C121" t="s">
        <v>316</v>
      </c>
      <c r="D121" t="s">
        <v>317</v>
      </c>
      <c r="E121">
        <v>3</v>
      </c>
      <c r="F121">
        <v>93.33</v>
      </c>
      <c r="G121">
        <v>6.67</v>
      </c>
      <c r="H121">
        <v>0</v>
      </c>
      <c r="I121">
        <v>0</v>
      </c>
      <c r="J121" s="1">
        <v>45927.784660185185</v>
      </c>
      <c r="K121" t="s">
        <v>318</v>
      </c>
      <c r="L121">
        <f>COUNTIF($A$2:A121,A121)</f>
        <v>1</v>
      </c>
    </row>
    <row r="122" spans="1:12" x14ac:dyDescent="0.3">
      <c r="A122">
        <v>12001</v>
      </c>
      <c r="B122" t="s">
        <v>315</v>
      </c>
      <c r="C122" t="s">
        <v>100</v>
      </c>
      <c r="D122" t="s">
        <v>101</v>
      </c>
      <c r="E122">
        <v>0</v>
      </c>
      <c r="F122">
        <v>93.33</v>
      </c>
      <c r="G122">
        <v>6.67</v>
      </c>
      <c r="H122">
        <v>0</v>
      </c>
      <c r="I122">
        <v>0</v>
      </c>
      <c r="J122" s="1">
        <v>45927.784684363425</v>
      </c>
      <c r="K122" t="s">
        <v>318</v>
      </c>
      <c r="L122">
        <f>COUNTIF($A$2:A122,A122)</f>
        <v>2</v>
      </c>
    </row>
    <row r="123" spans="1:12" x14ac:dyDescent="0.3">
      <c r="A123">
        <v>12001</v>
      </c>
      <c r="B123" t="s">
        <v>315</v>
      </c>
      <c r="C123" t="s">
        <v>277</v>
      </c>
      <c r="D123" t="s">
        <v>278</v>
      </c>
      <c r="E123">
        <v>6</v>
      </c>
      <c r="F123">
        <v>90</v>
      </c>
      <c r="G123">
        <v>6.67</v>
      </c>
      <c r="H123">
        <v>3.33</v>
      </c>
      <c r="I123">
        <v>0</v>
      </c>
      <c r="J123" s="1">
        <v>45927.784704513891</v>
      </c>
      <c r="K123" t="s">
        <v>318</v>
      </c>
      <c r="L123">
        <f>COUNTIF($A$2:A123,A123)</f>
        <v>3</v>
      </c>
    </row>
    <row r="124" spans="1:12" x14ac:dyDescent="0.3">
      <c r="A124">
        <v>12001</v>
      </c>
      <c r="B124" t="s">
        <v>315</v>
      </c>
      <c r="C124" t="s">
        <v>110</v>
      </c>
      <c r="D124" t="s">
        <v>111</v>
      </c>
      <c r="E124">
        <v>11</v>
      </c>
      <c r="F124">
        <v>83.33</v>
      </c>
      <c r="G124">
        <v>10</v>
      </c>
      <c r="H124">
        <v>6.67</v>
      </c>
      <c r="I124">
        <v>0</v>
      </c>
      <c r="J124" s="1">
        <v>45927.784978171294</v>
      </c>
      <c r="K124" t="s">
        <v>318</v>
      </c>
      <c r="L124">
        <f>COUNTIF($A$2:A124,A124)</f>
        <v>4</v>
      </c>
    </row>
    <row r="125" spans="1:12" x14ac:dyDescent="0.3">
      <c r="A125">
        <v>12001</v>
      </c>
      <c r="B125" t="s">
        <v>315</v>
      </c>
      <c r="C125" t="s">
        <v>102</v>
      </c>
      <c r="D125" t="s">
        <v>103</v>
      </c>
      <c r="E125">
        <v>18</v>
      </c>
      <c r="F125">
        <v>80</v>
      </c>
      <c r="G125">
        <v>13.33</v>
      </c>
      <c r="H125">
        <v>6.67</v>
      </c>
      <c r="I125">
        <v>0</v>
      </c>
      <c r="J125" s="1">
        <v>45927.784769050922</v>
      </c>
      <c r="K125" t="s">
        <v>318</v>
      </c>
      <c r="L125">
        <f>COUNTIF($A$2:A125,A125)</f>
        <v>5</v>
      </c>
    </row>
    <row r="126" spans="1:12" x14ac:dyDescent="0.3">
      <c r="A126">
        <v>12001</v>
      </c>
      <c r="B126" t="s">
        <v>315</v>
      </c>
      <c r="C126" t="s">
        <v>323</v>
      </c>
      <c r="D126" t="s">
        <v>324</v>
      </c>
      <c r="E126">
        <v>16</v>
      </c>
      <c r="F126">
        <v>80</v>
      </c>
      <c r="G126">
        <v>13.33</v>
      </c>
      <c r="H126">
        <v>6.67</v>
      </c>
      <c r="I126">
        <v>0</v>
      </c>
      <c r="J126" s="1">
        <v>45927.784874363424</v>
      </c>
      <c r="K126" t="s">
        <v>318</v>
      </c>
      <c r="L126">
        <f>COUNTIF($A$2:A126,A126)</f>
        <v>6</v>
      </c>
    </row>
    <row r="127" spans="1:12" x14ac:dyDescent="0.3">
      <c r="A127">
        <v>12001</v>
      </c>
      <c r="B127" t="s">
        <v>315</v>
      </c>
      <c r="C127" t="s">
        <v>106</v>
      </c>
      <c r="D127" t="s">
        <v>107</v>
      </c>
      <c r="E127">
        <v>17</v>
      </c>
      <c r="F127">
        <v>80</v>
      </c>
      <c r="G127">
        <v>13.33</v>
      </c>
      <c r="H127">
        <v>6.67</v>
      </c>
      <c r="I127">
        <v>0</v>
      </c>
      <c r="J127" s="1">
        <v>45927.784890648145</v>
      </c>
      <c r="K127" t="s">
        <v>318</v>
      </c>
      <c r="L127">
        <f>COUNTIF($A$2:A127,A127)</f>
        <v>7</v>
      </c>
    </row>
    <row r="128" spans="1:12" x14ac:dyDescent="0.3">
      <c r="A128">
        <v>12001</v>
      </c>
      <c r="B128" t="s">
        <v>315</v>
      </c>
      <c r="C128" t="s">
        <v>279</v>
      </c>
      <c r="D128" t="s">
        <v>280</v>
      </c>
      <c r="E128">
        <v>22</v>
      </c>
      <c r="F128">
        <v>73.33</v>
      </c>
      <c r="G128">
        <v>20</v>
      </c>
      <c r="H128">
        <v>6.67</v>
      </c>
      <c r="I128">
        <v>0</v>
      </c>
      <c r="J128" s="1">
        <v>45927.784934826392</v>
      </c>
      <c r="K128" t="s">
        <v>318</v>
      </c>
      <c r="L128">
        <f>COUNTIF($A$2:A128,A128)</f>
        <v>8</v>
      </c>
    </row>
    <row r="129" spans="1:12" x14ac:dyDescent="0.3">
      <c r="A129">
        <v>12001</v>
      </c>
      <c r="B129" t="s">
        <v>315</v>
      </c>
      <c r="C129" t="s">
        <v>319</v>
      </c>
      <c r="D129" t="s">
        <v>320</v>
      </c>
      <c r="E129">
        <v>17</v>
      </c>
      <c r="F129">
        <v>70</v>
      </c>
      <c r="G129">
        <v>26.67</v>
      </c>
      <c r="H129">
        <v>3.33</v>
      </c>
      <c r="I129">
        <v>0</v>
      </c>
      <c r="J129" s="1">
        <v>45927.784749502316</v>
      </c>
      <c r="K129" t="s">
        <v>318</v>
      </c>
      <c r="L129">
        <f>COUNTIF($A$2:A129,A129)</f>
        <v>9</v>
      </c>
    </row>
    <row r="130" spans="1:12" x14ac:dyDescent="0.3">
      <c r="A130">
        <v>12001</v>
      </c>
      <c r="B130" t="s">
        <v>315</v>
      </c>
      <c r="C130" t="s">
        <v>104</v>
      </c>
      <c r="D130" t="s">
        <v>105</v>
      </c>
      <c r="E130">
        <v>25</v>
      </c>
      <c r="F130">
        <v>60</v>
      </c>
      <c r="G130">
        <v>33.33</v>
      </c>
      <c r="H130">
        <v>6.67</v>
      </c>
      <c r="I130">
        <v>0</v>
      </c>
      <c r="J130" s="1">
        <v>45927.784811782411</v>
      </c>
      <c r="K130" t="s">
        <v>318</v>
      </c>
      <c r="L130">
        <f>COUNTIF($A$2:A130,A130)</f>
        <v>10</v>
      </c>
    </row>
    <row r="131" spans="1:12" x14ac:dyDescent="0.3">
      <c r="A131">
        <v>12001</v>
      </c>
      <c r="B131" t="s">
        <v>315</v>
      </c>
      <c r="C131" t="s">
        <v>321</v>
      </c>
      <c r="D131" t="s">
        <v>322</v>
      </c>
      <c r="E131">
        <v>28</v>
      </c>
      <c r="F131">
        <v>43.33</v>
      </c>
      <c r="G131">
        <v>50</v>
      </c>
      <c r="H131">
        <v>6.67</v>
      </c>
      <c r="I131">
        <v>0</v>
      </c>
      <c r="J131" s="1">
        <v>45927.784854062498</v>
      </c>
      <c r="K131" t="s">
        <v>318</v>
      </c>
      <c r="L131">
        <f>COUNTIF($A$2:A131,A131)</f>
        <v>11</v>
      </c>
    </row>
    <row r="132" spans="1:12" x14ac:dyDescent="0.3">
      <c r="A132">
        <v>12002</v>
      </c>
      <c r="B132" t="s">
        <v>315</v>
      </c>
      <c r="C132" t="s">
        <v>110</v>
      </c>
      <c r="D132" t="s">
        <v>111</v>
      </c>
      <c r="E132">
        <v>1</v>
      </c>
      <c r="F132">
        <v>100</v>
      </c>
      <c r="G132">
        <v>0</v>
      </c>
      <c r="H132">
        <v>0</v>
      </c>
      <c r="I132">
        <v>0</v>
      </c>
      <c r="J132" s="1">
        <v>45927.785014236113</v>
      </c>
      <c r="K132" t="s">
        <v>325</v>
      </c>
      <c r="L132">
        <f>COUNTIF($A$2:A132,A132)</f>
        <v>1</v>
      </c>
    </row>
    <row r="133" spans="1:12" x14ac:dyDescent="0.3">
      <c r="A133">
        <v>12002</v>
      </c>
      <c r="B133" t="s">
        <v>315</v>
      </c>
      <c r="C133" t="s">
        <v>277</v>
      </c>
      <c r="D133" t="s">
        <v>278</v>
      </c>
      <c r="E133">
        <v>9</v>
      </c>
      <c r="F133">
        <v>83.33</v>
      </c>
      <c r="G133">
        <v>16.670000000000002</v>
      </c>
      <c r="H133">
        <v>0</v>
      </c>
      <c r="I133">
        <v>0</v>
      </c>
      <c r="J133" s="1">
        <v>45927.785172164353</v>
      </c>
      <c r="K133" t="s">
        <v>325</v>
      </c>
      <c r="L133">
        <f>COUNTIF($A$2:A133,A133)</f>
        <v>2</v>
      </c>
    </row>
    <row r="134" spans="1:12" x14ac:dyDescent="0.3">
      <c r="A134">
        <v>12002</v>
      </c>
      <c r="B134" t="s">
        <v>315</v>
      </c>
      <c r="C134" t="s">
        <v>316</v>
      </c>
      <c r="D134" t="s">
        <v>317</v>
      </c>
      <c r="E134">
        <v>3</v>
      </c>
      <c r="F134">
        <v>83.33</v>
      </c>
      <c r="G134">
        <v>16.670000000000002</v>
      </c>
      <c r="H134">
        <v>0</v>
      </c>
      <c r="I134">
        <v>0</v>
      </c>
      <c r="J134" s="1">
        <v>45927.785209386573</v>
      </c>
      <c r="K134" t="s">
        <v>325</v>
      </c>
      <c r="L134">
        <f>COUNTIF($A$2:A134,A134)</f>
        <v>3</v>
      </c>
    </row>
    <row r="135" spans="1:12" x14ac:dyDescent="0.3">
      <c r="A135">
        <v>12002</v>
      </c>
      <c r="B135" t="s">
        <v>315</v>
      </c>
      <c r="C135" t="s">
        <v>102</v>
      </c>
      <c r="D135" t="s">
        <v>103</v>
      </c>
      <c r="E135">
        <v>0</v>
      </c>
      <c r="F135">
        <v>80</v>
      </c>
      <c r="G135">
        <v>20</v>
      </c>
      <c r="H135">
        <v>0</v>
      </c>
      <c r="I135">
        <v>0</v>
      </c>
      <c r="J135" s="1">
        <v>45927.785132569443</v>
      </c>
      <c r="K135" t="s">
        <v>325</v>
      </c>
      <c r="L135">
        <f>COUNTIF($A$2:A135,A135)</f>
        <v>4</v>
      </c>
    </row>
    <row r="136" spans="1:12" x14ac:dyDescent="0.3">
      <c r="A136">
        <v>12002</v>
      </c>
      <c r="B136" t="s">
        <v>315</v>
      </c>
      <c r="C136" t="s">
        <v>323</v>
      </c>
      <c r="D136" t="s">
        <v>324</v>
      </c>
      <c r="E136">
        <v>14</v>
      </c>
      <c r="F136">
        <v>66.67</v>
      </c>
      <c r="G136">
        <v>33.33</v>
      </c>
      <c r="H136">
        <v>0</v>
      </c>
      <c r="I136">
        <v>0</v>
      </c>
      <c r="J136" s="1">
        <v>45927.785070520833</v>
      </c>
      <c r="K136" t="s">
        <v>325</v>
      </c>
      <c r="L136">
        <f>COUNTIF($A$2:A136,A136)</f>
        <v>5</v>
      </c>
    </row>
    <row r="137" spans="1:12" x14ac:dyDescent="0.3">
      <c r="A137">
        <v>12002</v>
      </c>
      <c r="B137" t="s">
        <v>315</v>
      </c>
      <c r="C137" t="s">
        <v>100</v>
      </c>
      <c r="D137" t="s">
        <v>101</v>
      </c>
      <c r="E137">
        <v>13</v>
      </c>
      <c r="F137">
        <v>66.67</v>
      </c>
      <c r="G137">
        <v>33.33</v>
      </c>
      <c r="H137">
        <v>0</v>
      </c>
      <c r="I137">
        <v>0</v>
      </c>
      <c r="J137" s="1">
        <v>45927.785191840281</v>
      </c>
      <c r="K137" t="s">
        <v>325</v>
      </c>
      <c r="L137">
        <f>COUNTIF($A$2:A137,A137)</f>
        <v>6</v>
      </c>
    </row>
    <row r="138" spans="1:12" x14ac:dyDescent="0.3">
      <c r="A138">
        <v>12002</v>
      </c>
      <c r="B138" t="s">
        <v>315</v>
      </c>
      <c r="C138" t="s">
        <v>319</v>
      </c>
      <c r="D138" t="s">
        <v>320</v>
      </c>
      <c r="E138">
        <v>0</v>
      </c>
      <c r="F138">
        <v>53.33</v>
      </c>
      <c r="G138">
        <v>46.67</v>
      </c>
      <c r="H138">
        <v>0</v>
      </c>
      <c r="I138">
        <v>0</v>
      </c>
      <c r="J138" s="1">
        <v>45927.785156226855</v>
      </c>
      <c r="K138" t="s">
        <v>325</v>
      </c>
      <c r="L138">
        <f>COUNTIF($A$2:A138,A138)</f>
        <v>7</v>
      </c>
    </row>
    <row r="139" spans="1:12" x14ac:dyDescent="0.3">
      <c r="A139">
        <v>12002</v>
      </c>
      <c r="B139" t="s">
        <v>315</v>
      </c>
      <c r="C139" t="s">
        <v>321</v>
      </c>
      <c r="D139" t="s">
        <v>322</v>
      </c>
      <c r="E139">
        <v>17</v>
      </c>
      <c r="F139">
        <v>46.67</v>
      </c>
      <c r="G139">
        <v>53.33</v>
      </c>
      <c r="H139">
        <v>0</v>
      </c>
      <c r="I139">
        <v>0</v>
      </c>
      <c r="J139" s="1">
        <v>45927.785089155092</v>
      </c>
      <c r="K139" t="s">
        <v>325</v>
      </c>
      <c r="L139">
        <f>COUNTIF($A$2:A139,A139)</f>
        <v>8</v>
      </c>
    </row>
    <row r="140" spans="1:12" x14ac:dyDescent="0.3">
      <c r="A140">
        <v>12002</v>
      </c>
      <c r="B140" t="s">
        <v>315</v>
      </c>
      <c r="C140" t="s">
        <v>279</v>
      </c>
      <c r="D140" t="s">
        <v>280</v>
      </c>
      <c r="E140">
        <v>17</v>
      </c>
      <c r="F140">
        <v>40</v>
      </c>
      <c r="G140">
        <v>60</v>
      </c>
      <c r="H140">
        <v>0</v>
      </c>
      <c r="I140">
        <v>0</v>
      </c>
      <c r="J140" s="1">
        <v>45927.785033877313</v>
      </c>
      <c r="K140" t="s">
        <v>325</v>
      </c>
      <c r="L140">
        <f>COUNTIF($A$2:A140,A140)</f>
        <v>9</v>
      </c>
    </row>
    <row r="141" spans="1:12" x14ac:dyDescent="0.3">
      <c r="A141">
        <v>12002</v>
      </c>
      <c r="B141" t="s">
        <v>315</v>
      </c>
      <c r="C141" t="s">
        <v>104</v>
      </c>
      <c r="D141" t="s">
        <v>105</v>
      </c>
      <c r="E141">
        <v>0</v>
      </c>
      <c r="F141">
        <v>36.67</v>
      </c>
      <c r="G141">
        <v>63.33</v>
      </c>
      <c r="H141">
        <v>0</v>
      </c>
      <c r="I141">
        <v>0</v>
      </c>
      <c r="J141" s="1">
        <v>45927.785113761573</v>
      </c>
      <c r="K141" t="s">
        <v>325</v>
      </c>
      <c r="L141">
        <f>COUNTIF($A$2:A141,A141)</f>
        <v>10</v>
      </c>
    </row>
    <row r="142" spans="1:12" x14ac:dyDescent="0.3">
      <c r="A142">
        <v>12002</v>
      </c>
      <c r="B142" t="s">
        <v>315</v>
      </c>
      <c r="C142" t="s">
        <v>106</v>
      </c>
      <c r="D142" t="s">
        <v>107</v>
      </c>
      <c r="E142">
        <v>22</v>
      </c>
      <c r="F142">
        <v>3.33</v>
      </c>
      <c r="G142">
        <v>96.67</v>
      </c>
      <c r="H142">
        <v>0</v>
      </c>
      <c r="I142">
        <v>0</v>
      </c>
      <c r="J142" s="1">
        <v>45927.785051203704</v>
      </c>
      <c r="K142" t="s">
        <v>325</v>
      </c>
      <c r="L142">
        <f>COUNTIF($A$2:A142,A142)</f>
        <v>11</v>
      </c>
    </row>
    <row r="143" spans="1:12" x14ac:dyDescent="0.3">
      <c r="A143">
        <v>12009</v>
      </c>
      <c r="B143" t="s">
        <v>315</v>
      </c>
      <c r="C143" t="s">
        <v>287</v>
      </c>
      <c r="D143" t="s">
        <v>288</v>
      </c>
      <c r="E143">
        <v>1</v>
      </c>
      <c r="F143">
        <v>100</v>
      </c>
      <c r="G143">
        <v>0</v>
      </c>
      <c r="H143">
        <v>0</v>
      </c>
      <c r="I143">
        <v>0</v>
      </c>
      <c r="J143" s="1">
        <v>45928.07566328704</v>
      </c>
      <c r="K143" t="s">
        <v>742</v>
      </c>
      <c r="L143">
        <f>COUNTIF($A$2:A143,A143)</f>
        <v>1</v>
      </c>
    </row>
    <row r="144" spans="1:12" x14ac:dyDescent="0.3">
      <c r="A144">
        <v>12009</v>
      </c>
      <c r="B144" t="s">
        <v>315</v>
      </c>
      <c r="C144" t="s">
        <v>294</v>
      </c>
      <c r="D144" t="s">
        <v>295</v>
      </c>
      <c r="E144">
        <v>7</v>
      </c>
      <c r="F144">
        <v>96</v>
      </c>
      <c r="G144">
        <v>4</v>
      </c>
      <c r="H144">
        <v>0</v>
      </c>
      <c r="I144">
        <v>0</v>
      </c>
      <c r="J144" s="1">
        <v>45928.075754282407</v>
      </c>
      <c r="K144" t="s">
        <v>742</v>
      </c>
      <c r="L144">
        <f>COUNTIF($A$2:A144,A144)</f>
        <v>2</v>
      </c>
    </row>
    <row r="145" spans="1:12" x14ac:dyDescent="0.3">
      <c r="A145">
        <v>12009</v>
      </c>
      <c r="B145" t="s">
        <v>315</v>
      </c>
      <c r="C145" t="s">
        <v>745</v>
      </c>
      <c r="D145" t="s">
        <v>746</v>
      </c>
      <c r="E145">
        <v>7</v>
      </c>
      <c r="F145">
        <v>96</v>
      </c>
      <c r="G145">
        <v>4</v>
      </c>
      <c r="H145">
        <v>0</v>
      </c>
      <c r="I145">
        <v>0</v>
      </c>
      <c r="J145" s="1">
        <v>45928.075789722221</v>
      </c>
      <c r="K145" t="s">
        <v>742</v>
      </c>
      <c r="L145">
        <f>COUNTIF($A$2:A145,A145)</f>
        <v>3</v>
      </c>
    </row>
    <row r="146" spans="1:12" x14ac:dyDescent="0.3">
      <c r="A146">
        <v>12009</v>
      </c>
      <c r="B146" t="s">
        <v>315</v>
      </c>
      <c r="C146" t="s">
        <v>743</v>
      </c>
      <c r="D146" t="s">
        <v>744</v>
      </c>
      <c r="E146">
        <v>8</v>
      </c>
      <c r="F146">
        <v>92</v>
      </c>
      <c r="G146">
        <v>8</v>
      </c>
      <c r="H146">
        <v>0</v>
      </c>
      <c r="I146">
        <v>0</v>
      </c>
      <c r="J146" s="1">
        <v>45928.075773460645</v>
      </c>
      <c r="K146" t="s">
        <v>742</v>
      </c>
      <c r="L146">
        <f>COUNTIF($A$2:A146,A146)</f>
        <v>4</v>
      </c>
    </row>
    <row r="147" spans="1:12" x14ac:dyDescent="0.3">
      <c r="A147">
        <v>12009</v>
      </c>
      <c r="B147" t="s">
        <v>315</v>
      </c>
      <c r="C147" t="s">
        <v>747</v>
      </c>
      <c r="D147" t="s">
        <v>748</v>
      </c>
      <c r="E147">
        <v>0</v>
      </c>
      <c r="F147">
        <v>92</v>
      </c>
      <c r="G147">
        <v>8</v>
      </c>
      <c r="H147">
        <v>0</v>
      </c>
      <c r="I147">
        <v>0</v>
      </c>
      <c r="J147" s="1">
        <v>45928.075809768518</v>
      </c>
      <c r="K147" t="s">
        <v>742</v>
      </c>
      <c r="L147">
        <f>COUNTIF($A$2:A147,A147)</f>
        <v>5</v>
      </c>
    </row>
    <row r="148" spans="1:12" x14ac:dyDescent="0.3">
      <c r="A148">
        <v>12009</v>
      </c>
      <c r="B148" t="s">
        <v>315</v>
      </c>
      <c r="C148" t="s">
        <v>292</v>
      </c>
      <c r="D148" t="s">
        <v>293</v>
      </c>
      <c r="E148">
        <v>10</v>
      </c>
      <c r="F148">
        <v>84</v>
      </c>
      <c r="G148">
        <v>16</v>
      </c>
      <c r="H148">
        <v>0</v>
      </c>
      <c r="I148">
        <v>0</v>
      </c>
      <c r="J148" s="1">
        <v>45928.075717708336</v>
      </c>
      <c r="K148" t="s">
        <v>742</v>
      </c>
      <c r="L148">
        <f>COUNTIF($A$2:A148,A148)</f>
        <v>6</v>
      </c>
    </row>
    <row r="149" spans="1:12" x14ac:dyDescent="0.3">
      <c r="A149">
        <v>12009</v>
      </c>
      <c r="B149" t="s">
        <v>315</v>
      </c>
      <c r="C149" t="s">
        <v>290</v>
      </c>
      <c r="D149" t="s">
        <v>291</v>
      </c>
      <c r="E149">
        <v>13</v>
      </c>
      <c r="F149">
        <v>72</v>
      </c>
      <c r="G149">
        <v>28</v>
      </c>
      <c r="H149">
        <v>0</v>
      </c>
      <c r="I149">
        <v>0</v>
      </c>
      <c r="J149" s="1">
        <v>45928.075678402776</v>
      </c>
      <c r="K149" t="s">
        <v>742</v>
      </c>
      <c r="L149">
        <f>COUNTIF($A$2:A149,A149)</f>
        <v>7</v>
      </c>
    </row>
    <row r="150" spans="1:12" x14ac:dyDescent="0.3">
      <c r="A150">
        <v>12009</v>
      </c>
      <c r="B150" t="s">
        <v>315</v>
      </c>
      <c r="C150" t="s">
        <v>524</v>
      </c>
      <c r="D150" t="s">
        <v>525</v>
      </c>
      <c r="E150">
        <v>13</v>
      </c>
      <c r="F150">
        <v>72</v>
      </c>
      <c r="G150">
        <v>28</v>
      </c>
      <c r="H150">
        <v>0</v>
      </c>
      <c r="I150">
        <v>0</v>
      </c>
      <c r="J150" s="1">
        <v>45928.075736724539</v>
      </c>
      <c r="K150" t="s">
        <v>742</v>
      </c>
      <c r="L150">
        <f>COUNTIF($A$2:A150,A150)</f>
        <v>8</v>
      </c>
    </row>
    <row r="151" spans="1:12" x14ac:dyDescent="0.3">
      <c r="A151">
        <v>12009</v>
      </c>
      <c r="B151" t="s">
        <v>315</v>
      </c>
      <c r="C151" t="s">
        <v>519</v>
      </c>
      <c r="D151" t="s">
        <v>519</v>
      </c>
      <c r="E151">
        <v>19</v>
      </c>
      <c r="F151">
        <v>16</v>
      </c>
      <c r="G151">
        <v>84</v>
      </c>
      <c r="H151">
        <v>0</v>
      </c>
      <c r="I151">
        <v>0</v>
      </c>
      <c r="J151" s="1">
        <v>45928.075699456022</v>
      </c>
      <c r="K151" t="s">
        <v>742</v>
      </c>
      <c r="L151">
        <f>COUNTIF($A$2:A151,A151)</f>
        <v>9</v>
      </c>
    </row>
    <row r="152" spans="1:12" x14ac:dyDescent="0.3">
      <c r="A152">
        <v>12010</v>
      </c>
      <c r="B152" t="s">
        <v>315</v>
      </c>
      <c r="C152" t="s">
        <v>747</v>
      </c>
      <c r="D152" t="s">
        <v>748</v>
      </c>
      <c r="E152">
        <v>0</v>
      </c>
      <c r="F152">
        <v>100</v>
      </c>
      <c r="G152">
        <v>0</v>
      </c>
      <c r="H152">
        <v>0</v>
      </c>
      <c r="I152">
        <v>0</v>
      </c>
      <c r="J152" s="1">
        <v>45928.075851284724</v>
      </c>
      <c r="K152" t="s">
        <v>749</v>
      </c>
      <c r="L152">
        <f>COUNTIF($A$2:A152,A152)</f>
        <v>1</v>
      </c>
    </row>
    <row r="153" spans="1:12" x14ac:dyDescent="0.3">
      <c r="A153">
        <v>12010</v>
      </c>
      <c r="B153" t="s">
        <v>315</v>
      </c>
      <c r="C153" t="s">
        <v>524</v>
      </c>
      <c r="D153" t="s">
        <v>525</v>
      </c>
      <c r="E153">
        <v>0</v>
      </c>
      <c r="F153">
        <v>100</v>
      </c>
      <c r="G153">
        <v>0</v>
      </c>
      <c r="H153">
        <v>0</v>
      </c>
      <c r="I153">
        <v>0</v>
      </c>
      <c r="J153" s="1">
        <v>45928.075924722223</v>
      </c>
      <c r="K153" t="s">
        <v>749</v>
      </c>
      <c r="L153">
        <f>COUNTIF($A$2:A153,A153)</f>
        <v>2</v>
      </c>
    </row>
    <row r="154" spans="1:12" x14ac:dyDescent="0.3">
      <c r="A154">
        <v>12010</v>
      </c>
      <c r="B154" t="s">
        <v>315</v>
      </c>
      <c r="C154" t="s">
        <v>292</v>
      </c>
      <c r="D154" t="s">
        <v>293</v>
      </c>
      <c r="E154">
        <v>3</v>
      </c>
      <c r="F154">
        <v>100</v>
      </c>
      <c r="G154">
        <v>0</v>
      </c>
      <c r="H154">
        <v>0</v>
      </c>
      <c r="I154">
        <v>0</v>
      </c>
      <c r="J154" s="1">
        <v>45928.075942523152</v>
      </c>
      <c r="K154" t="s">
        <v>749</v>
      </c>
      <c r="L154">
        <f>COUNTIF($A$2:A154,A154)</f>
        <v>3</v>
      </c>
    </row>
    <row r="155" spans="1:12" x14ac:dyDescent="0.3">
      <c r="A155">
        <v>12010</v>
      </c>
      <c r="B155" t="s">
        <v>315</v>
      </c>
      <c r="C155" t="s">
        <v>519</v>
      </c>
      <c r="D155" t="s">
        <v>519</v>
      </c>
      <c r="E155">
        <v>0</v>
      </c>
      <c r="F155">
        <v>100</v>
      </c>
      <c r="G155">
        <v>0</v>
      </c>
      <c r="H155">
        <v>0</v>
      </c>
      <c r="I155">
        <v>0</v>
      </c>
      <c r="J155" s="1">
        <v>45928.07596548611</v>
      </c>
      <c r="K155" t="s">
        <v>749</v>
      </c>
      <c r="L155">
        <f>COUNTIF($A$2:A155,A155)</f>
        <v>4</v>
      </c>
    </row>
    <row r="156" spans="1:12" x14ac:dyDescent="0.3">
      <c r="A156">
        <v>12010</v>
      </c>
      <c r="B156" t="s">
        <v>315</v>
      </c>
      <c r="C156" t="s">
        <v>743</v>
      </c>
      <c r="D156" t="s">
        <v>744</v>
      </c>
      <c r="E156">
        <v>5</v>
      </c>
      <c r="F156">
        <v>96</v>
      </c>
      <c r="G156">
        <v>4</v>
      </c>
      <c r="H156">
        <v>0</v>
      </c>
      <c r="I156">
        <v>0</v>
      </c>
      <c r="J156" s="1">
        <v>45928.075884918981</v>
      </c>
      <c r="K156" t="s">
        <v>749</v>
      </c>
      <c r="L156">
        <f>COUNTIF($A$2:A156,A156)</f>
        <v>5</v>
      </c>
    </row>
    <row r="157" spans="1:12" x14ac:dyDescent="0.3">
      <c r="A157">
        <v>12010</v>
      </c>
      <c r="B157" t="s">
        <v>315</v>
      </c>
      <c r="C157" t="s">
        <v>294</v>
      </c>
      <c r="D157" t="s">
        <v>295</v>
      </c>
      <c r="E157">
        <v>5</v>
      </c>
      <c r="F157">
        <v>96</v>
      </c>
      <c r="G157">
        <v>4</v>
      </c>
      <c r="H157">
        <v>0</v>
      </c>
      <c r="I157">
        <v>0</v>
      </c>
      <c r="J157" s="1">
        <v>45928.075902164353</v>
      </c>
      <c r="K157" t="s">
        <v>749</v>
      </c>
      <c r="L157">
        <f>COUNTIF($A$2:A157,A157)</f>
        <v>6</v>
      </c>
    </row>
    <row r="158" spans="1:12" x14ac:dyDescent="0.3">
      <c r="A158">
        <v>12010</v>
      </c>
      <c r="B158" t="s">
        <v>315</v>
      </c>
      <c r="C158" t="s">
        <v>287</v>
      </c>
      <c r="D158" t="s">
        <v>288</v>
      </c>
      <c r="E158">
        <v>2</v>
      </c>
      <c r="F158">
        <v>96</v>
      </c>
      <c r="G158">
        <v>4</v>
      </c>
      <c r="H158">
        <v>0</v>
      </c>
      <c r="I158">
        <v>0</v>
      </c>
      <c r="J158" s="1">
        <v>45928.076005092589</v>
      </c>
      <c r="K158" t="s">
        <v>749</v>
      </c>
      <c r="L158">
        <f>COUNTIF($A$2:A158,A158)</f>
        <v>7</v>
      </c>
    </row>
    <row r="159" spans="1:12" x14ac:dyDescent="0.3">
      <c r="A159">
        <v>12010</v>
      </c>
      <c r="B159" t="s">
        <v>315</v>
      </c>
      <c r="C159" t="s">
        <v>745</v>
      </c>
      <c r="D159" t="s">
        <v>746</v>
      </c>
      <c r="E159">
        <v>9</v>
      </c>
      <c r="F159">
        <v>84</v>
      </c>
      <c r="G159">
        <v>16</v>
      </c>
      <c r="H159">
        <v>0</v>
      </c>
      <c r="I159">
        <v>0</v>
      </c>
      <c r="J159" s="1">
        <v>45928.075869675929</v>
      </c>
      <c r="K159" t="s">
        <v>749</v>
      </c>
      <c r="L159">
        <f>COUNTIF($A$2:A159,A159)</f>
        <v>8</v>
      </c>
    </row>
    <row r="160" spans="1:12" x14ac:dyDescent="0.3">
      <c r="A160">
        <v>12010</v>
      </c>
      <c r="B160" t="s">
        <v>315</v>
      </c>
      <c r="C160" t="s">
        <v>290</v>
      </c>
      <c r="D160" t="s">
        <v>291</v>
      </c>
      <c r="E160">
        <v>21</v>
      </c>
      <c r="F160">
        <v>12</v>
      </c>
      <c r="G160">
        <v>88</v>
      </c>
      <c r="H160">
        <v>0</v>
      </c>
      <c r="I160">
        <v>0</v>
      </c>
      <c r="J160" s="1">
        <v>45928.075984409719</v>
      </c>
      <c r="K160" t="s">
        <v>749</v>
      </c>
      <c r="L160">
        <f>COUNTIF($A$2:A160,A160)</f>
        <v>9</v>
      </c>
    </row>
    <row r="161" spans="1:12" x14ac:dyDescent="0.3">
      <c r="A161">
        <v>12019</v>
      </c>
      <c r="B161" t="s">
        <v>315</v>
      </c>
      <c r="C161" t="s">
        <v>114</v>
      </c>
      <c r="D161" t="s">
        <v>115</v>
      </c>
      <c r="E161">
        <v>1</v>
      </c>
      <c r="F161">
        <v>100</v>
      </c>
      <c r="G161">
        <v>0</v>
      </c>
      <c r="H161">
        <v>0</v>
      </c>
      <c r="I161">
        <v>0</v>
      </c>
      <c r="J161" s="1">
        <v>45928.076049363422</v>
      </c>
      <c r="K161" t="s">
        <v>750</v>
      </c>
      <c r="L161">
        <f>COUNTIF($A$2:A161,A161)</f>
        <v>1</v>
      </c>
    </row>
    <row r="162" spans="1:12" x14ac:dyDescent="0.3">
      <c r="A162">
        <v>12019</v>
      </c>
      <c r="B162" t="s">
        <v>315</v>
      </c>
      <c r="C162" t="s">
        <v>757</v>
      </c>
      <c r="D162" t="s">
        <v>758</v>
      </c>
      <c r="E162">
        <v>3</v>
      </c>
      <c r="F162">
        <v>100</v>
      </c>
      <c r="G162">
        <v>0</v>
      </c>
      <c r="H162">
        <v>0</v>
      </c>
      <c r="I162">
        <v>0</v>
      </c>
      <c r="J162" s="1">
        <v>45928.076124837964</v>
      </c>
      <c r="K162" t="s">
        <v>750</v>
      </c>
      <c r="L162">
        <f>COUNTIF($A$2:A162,A162)</f>
        <v>2</v>
      </c>
    </row>
    <row r="163" spans="1:12" x14ac:dyDescent="0.3">
      <c r="A163">
        <v>12019</v>
      </c>
      <c r="B163" t="s">
        <v>315</v>
      </c>
      <c r="C163" t="s">
        <v>761</v>
      </c>
      <c r="D163" t="s">
        <v>762</v>
      </c>
      <c r="E163">
        <v>1</v>
      </c>
      <c r="F163">
        <v>100</v>
      </c>
      <c r="G163">
        <v>0</v>
      </c>
      <c r="H163">
        <v>0</v>
      </c>
      <c r="I163">
        <v>0</v>
      </c>
      <c r="J163" s="1">
        <v>45928.076161712961</v>
      </c>
      <c r="K163" t="s">
        <v>750</v>
      </c>
      <c r="L163">
        <f>COUNTIF($A$2:A163,A163)</f>
        <v>3</v>
      </c>
    </row>
    <row r="164" spans="1:12" x14ac:dyDescent="0.3">
      <c r="A164">
        <v>12019</v>
      </c>
      <c r="B164" t="s">
        <v>315</v>
      </c>
      <c r="C164" t="s">
        <v>759</v>
      </c>
      <c r="D164" t="s">
        <v>760</v>
      </c>
      <c r="E164">
        <v>4</v>
      </c>
      <c r="F164">
        <v>96</v>
      </c>
      <c r="G164">
        <v>4</v>
      </c>
      <c r="H164">
        <v>0</v>
      </c>
      <c r="I164">
        <v>0</v>
      </c>
      <c r="J164" s="1">
        <v>45928.076143032406</v>
      </c>
      <c r="K164" t="s">
        <v>750</v>
      </c>
      <c r="L164">
        <f>COUNTIF($A$2:A164,A164)</f>
        <v>4</v>
      </c>
    </row>
    <row r="165" spans="1:12" x14ac:dyDescent="0.3">
      <c r="A165">
        <v>12019</v>
      </c>
      <c r="B165" t="s">
        <v>315</v>
      </c>
      <c r="C165" t="s">
        <v>764</v>
      </c>
      <c r="D165" t="s">
        <v>765</v>
      </c>
      <c r="E165">
        <v>0</v>
      </c>
      <c r="F165">
        <v>96</v>
      </c>
      <c r="G165">
        <v>4</v>
      </c>
      <c r="H165">
        <v>0</v>
      </c>
      <c r="I165">
        <v>0</v>
      </c>
      <c r="J165" s="1">
        <v>45928.076196805552</v>
      </c>
      <c r="K165" t="s">
        <v>750</v>
      </c>
      <c r="L165">
        <f>COUNTIF($A$2:A165,A165)</f>
        <v>5</v>
      </c>
    </row>
    <row r="166" spans="1:12" x14ac:dyDescent="0.3">
      <c r="A166">
        <v>12019</v>
      </c>
      <c r="B166" t="s">
        <v>315</v>
      </c>
      <c r="C166" t="s">
        <v>763</v>
      </c>
      <c r="D166" t="s">
        <v>763</v>
      </c>
      <c r="E166">
        <v>6</v>
      </c>
      <c r="F166">
        <v>92</v>
      </c>
      <c r="G166">
        <v>8</v>
      </c>
      <c r="H166">
        <v>0</v>
      </c>
      <c r="I166">
        <v>0</v>
      </c>
      <c r="J166" s="1">
        <v>45928.076178067131</v>
      </c>
      <c r="K166" t="s">
        <v>750</v>
      </c>
      <c r="L166">
        <f>COUNTIF($A$2:A166,A166)</f>
        <v>6</v>
      </c>
    </row>
    <row r="167" spans="1:12" x14ac:dyDescent="0.3">
      <c r="A167">
        <v>12019</v>
      </c>
      <c r="B167" t="s">
        <v>315</v>
      </c>
      <c r="C167" t="s">
        <v>751</v>
      </c>
      <c r="D167" t="s">
        <v>752</v>
      </c>
      <c r="E167">
        <v>12</v>
      </c>
      <c r="F167">
        <v>80</v>
      </c>
      <c r="G167">
        <v>20</v>
      </c>
      <c r="H167">
        <v>0</v>
      </c>
      <c r="I167">
        <v>0</v>
      </c>
      <c r="J167" s="1">
        <v>45928.076068576389</v>
      </c>
      <c r="K167" t="s">
        <v>750</v>
      </c>
      <c r="L167">
        <f>COUNTIF($A$2:A167,A167)</f>
        <v>7</v>
      </c>
    </row>
    <row r="168" spans="1:12" x14ac:dyDescent="0.3">
      <c r="A168">
        <v>12019</v>
      </c>
      <c r="B168" t="s">
        <v>315</v>
      </c>
      <c r="C168" t="s">
        <v>753</v>
      </c>
      <c r="D168" t="s">
        <v>754</v>
      </c>
      <c r="E168">
        <v>14</v>
      </c>
      <c r="F168">
        <v>72</v>
      </c>
      <c r="G168">
        <v>28</v>
      </c>
      <c r="H168">
        <v>0</v>
      </c>
      <c r="I168">
        <v>0</v>
      </c>
      <c r="J168" s="1">
        <v>45928.076088344904</v>
      </c>
      <c r="K168" t="s">
        <v>750</v>
      </c>
      <c r="L168">
        <f>COUNTIF($A$2:A168,A168)</f>
        <v>8</v>
      </c>
    </row>
    <row r="169" spans="1:12" x14ac:dyDescent="0.3">
      <c r="A169">
        <v>12019</v>
      </c>
      <c r="B169" t="s">
        <v>315</v>
      </c>
      <c r="C169" t="s">
        <v>755</v>
      </c>
      <c r="D169" t="s">
        <v>756</v>
      </c>
      <c r="E169">
        <v>16</v>
      </c>
      <c r="F169">
        <v>64</v>
      </c>
      <c r="G169">
        <v>36</v>
      </c>
      <c r="H169">
        <v>0</v>
      </c>
      <c r="I169">
        <v>0</v>
      </c>
      <c r="J169" s="1">
        <v>45928.0761074537</v>
      </c>
      <c r="K169" t="s">
        <v>750</v>
      </c>
      <c r="L169">
        <f>COUNTIF($A$2:A169,A169)</f>
        <v>9</v>
      </c>
    </row>
    <row r="170" spans="1:12" x14ac:dyDescent="0.3">
      <c r="A170">
        <v>12020</v>
      </c>
      <c r="B170" t="s">
        <v>315</v>
      </c>
      <c r="C170" t="s">
        <v>763</v>
      </c>
      <c r="D170" t="s">
        <v>763</v>
      </c>
      <c r="E170">
        <v>0</v>
      </c>
      <c r="F170">
        <v>100</v>
      </c>
      <c r="G170">
        <v>0</v>
      </c>
      <c r="H170">
        <v>0</v>
      </c>
      <c r="I170">
        <v>0</v>
      </c>
      <c r="J170" s="1">
        <v>45928.076284189818</v>
      </c>
      <c r="K170" t="s">
        <v>766</v>
      </c>
      <c r="L170">
        <f>COUNTIF($A$2:A170,A170)</f>
        <v>1</v>
      </c>
    </row>
    <row r="171" spans="1:12" x14ac:dyDescent="0.3">
      <c r="A171">
        <v>12020</v>
      </c>
      <c r="B171" t="s">
        <v>315</v>
      </c>
      <c r="C171" t="s">
        <v>764</v>
      </c>
      <c r="D171" t="s">
        <v>765</v>
      </c>
      <c r="E171">
        <v>2</v>
      </c>
      <c r="F171">
        <v>96</v>
      </c>
      <c r="G171">
        <v>4</v>
      </c>
      <c r="H171">
        <v>0</v>
      </c>
      <c r="I171">
        <v>0</v>
      </c>
      <c r="J171" s="1">
        <v>45928.076259791669</v>
      </c>
      <c r="K171" t="s">
        <v>766</v>
      </c>
      <c r="L171">
        <f>COUNTIF($A$2:A171,A171)</f>
        <v>2</v>
      </c>
    </row>
    <row r="172" spans="1:12" x14ac:dyDescent="0.3">
      <c r="A172">
        <v>12020</v>
      </c>
      <c r="B172" t="s">
        <v>315</v>
      </c>
      <c r="C172" t="s">
        <v>757</v>
      </c>
      <c r="D172" t="s">
        <v>758</v>
      </c>
      <c r="E172">
        <v>6</v>
      </c>
      <c r="F172">
        <v>92</v>
      </c>
      <c r="G172">
        <v>8</v>
      </c>
      <c r="H172">
        <v>0</v>
      </c>
      <c r="I172">
        <v>0</v>
      </c>
      <c r="J172" s="1">
        <v>45928.076345138892</v>
      </c>
      <c r="K172" t="s">
        <v>766</v>
      </c>
      <c r="L172">
        <f>COUNTIF($A$2:A172,A172)</f>
        <v>3</v>
      </c>
    </row>
    <row r="173" spans="1:12" x14ac:dyDescent="0.3">
      <c r="A173">
        <v>12020</v>
      </c>
      <c r="B173" t="s">
        <v>315</v>
      </c>
      <c r="C173" t="s">
        <v>761</v>
      </c>
      <c r="D173" t="s">
        <v>762</v>
      </c>
      <c r="E173">
        <v>0</v>
      </c>
      <c r="F173">
        <v>88</v>
      </c>
      <c r="G173">
        <v>12</v>
      </c>
      <c r="H173">
        <v>0</v>
      </c>
      <c r="I173">
        <v>0</v>
      </c>
      <c r="J173" s="1">
        <v>45928.076308761571</v>
      </c>
      <c r="K173" t="s">
        <v>766</v>
      </c>
      <c r="L173">
        <f>COUNTIF($A$2:A173,A173)</f>
        <v>4</v>
      </c>
    </row>
    <row r="174" spans="1:12" x14ac:dyDescent="0.3">
      <c r="A174">
        <v>12020</v>
      </c>
      <c r="B174" t="s">
        <v>315</v>
      </c>
      <c r="C174" t="s">
        <v>759</v>
      </c>
      <c r="D174" t="s">
        <v>760</v>
      </c>
      <c r="E174">
        <v>6</v>
      </c>
      <c r="F174">
        <v>88</v>
      </c>
      <c r="G174">
        <v>12</v>
      </c>
      <c r="H174">
        <v>0</v>
      </c>
      <c r="I174">
        <v>0</v>
      </c>
      <c r="J174" s="1">
        <v>45928.076326192131</v>
      </c>
      <c r="K174" t="s">
        <v>766</v>
      </c>
      <c r="L174">
        <f>COUNTIF($A$2:A174,A174)</f>
        <v>5</v>
      </c>
    </row>
    <row r="175" spans="1:12" x14ac:dyDescent="0.3">
      <c r="A175">
        <v>12020</v>
      </c>
      <c r="B175" t="s">
        <v>315</v>
      </c>
      <c r="C175" t="s">
        <v>114</v>
      </c>
      <c r="D175" t="s">
        <v>115</v>
      </c>
      <c r="E175">
        <v>7</v>
      </c>
      <c r="F175">
        <v>80</v>
      </c>
      <c r="G175">
        <v>16</v>
      </c>
      <c r="H175">
        <v>4</v>
      </c>
      <c r="I175">
        <v>0</v>
      </c>
      <c r="J175" s="1">
        <v>45928.076430613422</v>
      </c>
      <c r="K175" t="s">
        <v>766</v>
      </c>
      <c r="L175">
        <f>COUNTIF($A$2:A175,A175)</f>
        <v>6</v>
      </c>
    </row>
    <row r="176" spans="1:12" x14ac:dyDescent="0.3">
      <c r="A176">
        <v>12020</v>
      </c>
      <c r="B176" t="s">
        <v>315</v>
      </c>
      <c r="C176" t="s">
        <v>755</v>
      </c>
      <c r="D176" t="s">
        <v>756</v>
      </c>
      <c r="E176">
        <v>18</v>
      </c>
      <c r="F176">
        <v>72</v>
      </c>
      <c r="G176">
        <v>24</v>
      </c>
      <c r="H176">
        <v>4</v>
      </c>
      <c r="I176">
        <v>0</v>
      </c>
      <c r="J176" s="1">
        <v>45928.076363460648</v>
      </c>
      <c r="K176" t="s">
        <v>766</v>
      </c>
      <c r="L176">
        <f>COUNTIF($A$2:A176,A176)</f>
        <v>7</v>
      </c>
    </row>
    <row r="177" spans="1:12" x14ac:dyDescent="0.3">
      <c r="A177">
        <v>12020</v>
      </c>
      <c r="B177" t="s">
        <v>315</v>
      </c>
      <c r="C177" t="s">
        <v>751</v>
      </c>
      <c r="D177" t="s">
        <v>752</v>
      </c>
      <c r="E177">
        <v>0</v>
      </c>
      <c r="F177">
        <v>72</v>
      </c>
      <c r="G177">
        <v>24</v>
      </c>
      <c r="H177">
        <v>4</v>
      </c>
      <c r="I177">
        <v>0</v>
      </c>
      <c r="J177" s="1">
        <v>45928.076411666669</v>
      </c>
      <c r="K177" t="s">
        <v>766</v>
      </c>
      <c r="L177">
        <f>COUNTIF($A$2:A177,A177)</f>
        <v>8</v>
      </c>
    </row>
    <row r="178" spans="1:12" x14ac:dyDescent="0.3">
      <c r="A178">
        <v>12020</v>
      </c>
      <c r="B178" t="s">
        <v>315</v>
      </c>
      <c r="C178" t="s">
        <v>753</v>
      </c>
      <c r="D178" t="s">
        <v>754</v>
      </c>
      <c r="E178">
        <v>15</v>
      </c>
      <c r="F178">
        <v>60</v>
      </c>
      <c r="G178">
        <v>36</v>
      </c>
      <c r="H178">
        <v>4</v>
      </c>
      <c r="I178">
        <v>0</v>
      </c>
      <c r="J178" s="1">
        <v>45928.076381412036</v>
      </c>
      <c r="K178" t="s">
        <v>766</v>
      </c>
      <c r="L178">
        <f>COUNTIF($A$2:A178,A178)</f>
        <v>9</v>
      </c>
    </row>
    <row r="179" spans="1:12" x14ac:dyDescent="0.3">
      <c r="A179">
        <v>12049</v>
      </c>
      <c r="B179" t="s">
        <v>767</v>
      </c>
      <c r="C179" t="s">
        <v>102</v>
      </c>
      <c r="D179" t="s">
        <v>103</v>
      </c>
      <c r="E179">
        <v>0</v>
      </c>
      <c r="F179">
        <v>100</v>
      </c>
      <c r="G179">
        <v>0</v>
      </c>
      <c r="H179">
        <v>0</v>
      </c>
      <c r="I179">
        <v>0</v>
      </c>
      <c r="J179" s="1">
        <v>45928.07653244213</v>
      </c>
      <c r="K179" t="s">
        <v>768</v>
      </c>
      <c r="L179">
        <f>COUNTIF($A$2:A179,A179)</f>
        <v>1</v>
      </c>
    </row>
    <row r="180" spans="1:12" x14ac:dyDescent="0.3">
      <c r="A180">
        <v>12049</v>
      </c>
      <c r="B180" t="s">
        <v>767</v>
      </c>
      <c r="C180" t="s">
        <v>106</v>
      </c>
      <c r="D180" t="s">
        <v>107</v>
      </c>
      <c r="E180">
        <v>1</v>
      </c>
      <c r="F180">
        <v>100</v>
      </c>
      <c r="G180">
        <v>0</v>
      </c>
      <c r="H180">
        <v>0</v>
      </c>
      <c r="I180">
        <v>0</v>
      </c>
      <c r="J180" s="1">
        <v>45928.076599340275</v>
      </c>
      <c r="K180" t="s">
        <v>768</v>
      </c>
      <c r="L180">
        <f>COUNTIF($A$2:A180,A180)</f>
        <v>2</v>
      </c>
    </row>
    <row r="181" spans="1:12" x14ac:dyDescent="0.3">
      <c r="A181">
        <v>12049</v>
      </c>
      <c r="B181" t="s">
        <v>767</v>
      </c>
      <c r="C181" t="s">
        <v>104</v>
      </c>
      <c r="D181" t="s">
        <v>105</v>
      </c>
      <c r="E181">
        <v>2</v>
      </c>
      <c r="F181">
        <v>96.15</v>
      </c>
      <c r="G181">
        <v>3.85</v>
      </c>
      <c r="H181">
        <v>0</v>
      </c>
      <c r="I181">
        <v>0</v>
      </c>
      <c r="J181" s="1">
        <v>45928.076577314816</v>
      </c>
      <c r="K181" t="s">
        <v>768</v>
      </c>
      <c r="L181">
        <f>COUNTIF($A$2:A181,A181)</f>
        <v>3</v>
      </c>
    </row>
    <row r="182" spans="1:12" x14ac:dyDescent="0.3">
      <c r="A182">
        <v>12049</v>
      </c>
      <c r="B182" t="s">
        <v>767</v>
      </c>
      <c r="C182" t="s">
        <v>108</v>
      </c>
      <c r="D182" t="s">
        <v>109</v>
      </c>
      <c r="E182">
        <v>0</v>
      </c>
      <c r="F182">
        <v>92.31</v>
      </c>
      <c r="G182">
        <v>7.69</v>
      </c>
      <c r="H182">
        <v>0</v>
      </c>
      <c r="I182">
        <v>0</v>
      </c>
      <c r="J182" s="1">
        <v>45928.076629560186</v>
      </c>
      <c r="K182" t="s">
        <v>768</v>
      </c>
      <c r="L182">
        <f>COUNTIF($A$2:A182,A182)</f>
        <v>4</v>
      </c>
    </row>
    <row r="183" spans="1:12" x14ac:dyDescent="0.3">
      <c r="A183">
        <v>12050</v>
      </c>
      <c r="B183" t="s">
        <v>767</v>
      </c>
      <c r="C183" t="s">
        <v>108</v>
      </c>
      <c r="D183" t="s">
        <v>109</v>
      </c>
      <c r="E183">
        <v>0</v>
      </c>
      <c r="F183">
        <v>100</v>
      </c>
      <c r="G183">
        <v>0</v>
      </c>
      <c r="H183">
        <v>0</v>
      </c>
      <c r="I183">
        <v>0</v>
      </c>
      <c r="J183" s="1">
        <v>45928.0767199537</v>
      </c>
      <c r="K183" t="s">
        <v>769</v>
      </c>
      <c r="L183">
        <f>COUNTIF($A$2:A183,A183)</f>
        <v>1</v>
      </c>
    </row>
    <row r="184" spans="1:12" x14ac:dyDescent="0.3">
      <c r="A184">
        <v>12050</v>
      </c>
      <c r="B184" t="s">
        <v>767</v>
      </c>
      <c r="C184" t="s">
        <v>102</v>
      </c>
      <c r="D184" t="s">
        <v>103</v>
      </c>
      <c r="E184">
        <v>2</v>
      </c>
      <c r="F184">
        <v>92.31</v>
      </c>
      <c r="G184">
        <v>7.69</v>
      </c>
      <c r="H184">
        <v>0</v>
      </c>
      <c r="I184">
        <v>0</v>
      </c>
      <c r="J184" s="1">
        <v>45928.076801724535</v>
      </c>
      <c r="K184" t="s">
        <v>769</v>
      </c>
      <c r="L184">
        <f>COUNTIF($A$2:A184,A184)</f>
        <v>2</v>
      </c>
    </row>
    <row r="185" spans="1:12" x14ac:dyDescent="0.3">
      <c r="A185">
        <v>12050</v>
      </c>
      <c r="B185" t="s">
        <v>767</v>
      </c>
      <c r="C185" t="s">
        <v>106</v>
      </c>
      <c r="D185" t="s">
        <v>107</v>
      </c>
      <c r="E185">
        <v>15</v>
      </c>
      <c r="F185">
        <v>76.92</v>
      </c>
      <c r="G185">
        <v>23.08</v>
      </c>
      <c r="H185">
        <v>0</v>
      </c>
      <c r="I185">
        <v>0</v>
      </c>
      <c r="J185" s="1">
        <v>45928.076735555558</v>
      </c>
      <c r="K185" t="s">
        <v>769</v>
      </c>
      <c r="L185">
        <f>COUNTIF($A$2:A185,A185)</f>
        <v>3</v>
      </c>
    </row>
    <row r="186" spans="1:12" x14ac:dyDescent="0.3">
      <c r="A186">
        <v>12050</v>
      </c>
      <c r="B186" t="s">
        <v>767</v>
      </c>
      <c r="C186" t="s">
        <v>104</v>
      </c>
      <c r="D186" t="s">
        <v>105</v>
      </c>
      <c r="E186">
        <v>19</v>
      </c>
      <c r="F186">
        <v>42.31</v>
      </c>
      <c r="G186">
        <v>57.69</v>
      </c>
      <c r="H186">
        <v>0</v>
      </c>
      <c r="I186">
        <v>0</v>
      </c>
      <c r="J186" s="1">
        <v>45928.076754699076</v>
      </c>
      <c r="K186" t="s">
        <v>769</v>
      </c>
      <c r="L186">
        <f>COUNTIF($A$2:A186,A186)</f>
        <v>4</v>
      </c>
    </row>
    <row r="187" spans="1:12" x14ac:dyDescent="0.3">
      <c r="A187">
        <v>12137</v>
      </c>
      <c r="B187" t="s">
        <v>549</v>
      </c>
      <c r="C187" t="s">
        <v>379</v>
      </c>
      <c r="D187" t="s">
        <v>380</v>
      </c>
      <c r="E187">
        <v>12</v>
      </c>
      <c r="F187">
        <v>96.16</v>
      </c>
      <c r="G187">
        <v>0.82</v>
      </c>
      <c r="H187">
        <v>3.01</v>
      </c>
      <c r="I187">
        <v>0.01</v>
      </c>
      <c r="J187" s="1">
        <v>45928.063440196762</v>
      </c>
      <c r="K187" t="s">
        <v>550</v>
      </c>
      <c r="L187">
        <f>COUNTIF($A$2:A187,A187)</f>
        <v>1</v>
      </c>
    </row>
    <row r="188" spans="1:12" x14ac:dyDescent="0.3">
      <c r="A188">
        <v>12137</v>
      </c>
      <c r="B188" t="s">
        <v>549</v>
      </c>
      <c r="C188" t="s">
        <v>382</v>
      </c>
      <c r="D188" t="s">
        <v>383</v>
      </c>
      <c r="E188">
        <v>17</v>
      </c>
      <c r="F188">
        <v>94.52</v>
      </c>
      <c r="G188">
        <v>2.4700000000000002</v>
      </c>
      <c r="H188">
        <v>3.01</v>
      </c>
      <c r="I188">
        <v>0</v>
      </c>
      <c r="J188" s="1">
        <v>45928.06348394676</v>
      </c>
      <c r="K188" t="s">
        <v>550</v>
      </c>
      <c r="L188">
        <f>COUNTIF($A$2:A188,A188)</f>
        <v>2</v>
      </c>
    </row>
    <row r="189" spans="1:12" x14ac:dyDescent="0.3">
      <c r="A189">
        <v>12137</v>
      </c>
      <c r="B189" t="s">
        <v>549</v>
      </c>
      <c r="C189" t="s">
        <v>559</v>
      </c>
      <c r="D189" t="s">
        <v>560</v>
      </c>
      <c r="E189">
        <v>16</v>
      </c>
      <c r="F189">
        <v>89.32</v>
      </c>
      <c r="G189">
        <v>6.85</v>
      </c>
      <c r="H189">
        <v>3.84</v>
      </c>
      <c r="I189">
        <v>0</v>
      </c>
      <c r="J189" s="1">
        <v>45928.063768692133</v>
      </c>
      <c r="K189" t="s">
        <v>550</v>
      </c>
      <c r="L189">
        <f>COUNTIF($A$2:A189,A189)</f>
        <v>3</v>
      </c>
    </row>
    <row r="190" spans="1:12" x14ac:dyDescent="0.3">
      <c r="A190">
        <v>12137</v>
      </c>
      <c r="B190" t="s">
        <v>549</v>
      </c>
      <c r="C190" t="s">
        <v>98</v>
      </c>
      <c r="D190" t="s">
        <v>99</v>
      </c>
      <c r="E190">
        <v>16</v>
      </c>
      <c r="F190">
        <v>86.03</v>
      </c>
      <c r="G190">
        <v>9.32</v>
      </c>
      <c r="H190">
        <v>4.66</v>
      </c>
      <c r="I190">
        <v>0</v>
      </c>
      <c r="J190" s="1">
        <v>45928.063912442129</v>
      </c>
      <c r="K190" t="s">
        <v>550</v>
      </c>
      <c r="L190">
        <f>COUNTIF($A$2:A190,A190)</f>
        <v>4</v>
      </c>
    </row>
    <row r="191" spans="1:12" x14ac:dyDescent="0.3">
      <c r="A191">
        <v>12137</v>
      </c>
      <c r="B191" t="s">
        <v>549</v>
      </c>
      <c r="C191" t="s">
        <v>277</v>
      </c>
      <c r="D191" t="s">
        <v>278</v>
      </c>
      <c r="E191">
        <v>18</v>
      </c>
      <c r="F191">
        <v>80.819999999999993</v>
      </c>
      <c r="G191">
        <v>12.05</v>
      </c>
      <c r="H191">
        <v>7.12</v>
      </c>
      <c r="I191">
        <v>0.01</v>
      </c>
      <c r="J191" s="1">
        <v>45928.064139074071</v>
      </c>
      <c r="K191" t="s">
        <v>550</v>
      </c>
      <c r="L191">
        <f>COUNTIF($A$2:A191,A191)</f>
        <v>5</v>
      </c>
    </row>
    <row r="192" spans="1:12" x14ac:dyDescent="0.3">
      <c r="A192">
        <v>12137</v>
      </c>
      <c r="B192" t="s">
        <v>549</v>
      </c>
      <c r="C192" t="s">
        <v>323</v>
      </c>
      <c r="D192" t="s">
        <v>324</v>
      </c>
      <c r="E192">
        <v>21</v>
      </c>
      <c r="F192">
        <v>79.45</v>
      </c>
      <c r="G192">
        <v>12.05</v>
      </c>
      <c r="H192">
        <v>8.49</v>
      </c>
      <c r="I192">
        <v>0.01</v>
      </c>
      <c r="J192" s="1">
        <v>45928.064428483798</v>
      </c>
      <c r="K192" t="s">
        <v>550</v>
      </c>
      <c r="L192">
        <f>COUNTIF($A$2:A192,A192)</f>
        <v>6</v>
      </c>
    </row>
    <row r="193" spans="1:12" x14ac:dyDescent="0.3">
      <c r="A193">
        <v>12137</v>
      </c>
      <c r="B193" t="s">
        <v>549</v>
      </c>
      <c r="C193" t="s">
        <v>567</v>
      </c>
      <c r="D193" t="s">
        <v>568</v>
      </c>
      <c r="E193">
        <v>19</v>
      </c>
      <c r="F193">
        <v>78.900000000000006</v>
      </c>
      <c r="G193">
        <v>16.440000000000001</v>
      </c>
      <c r="H193">
        <v>4.66</v>
      </c>
      <c r="I193">
        <v>0</v>
      </c>
      <c r="J193" s="1">
        <v>45928.063957569444</v>
      </c>
      <c r="K193" t="s">
        <v>550</v>
      </c>
      <c r="L193">
        <f>COUNTIF($A$2:A193,A193)</f>
        <v>7</v>
      </c>
    </row>
    <row r="194" spans="1:12" x14ac:dyDescent="0.3">
      <c r="A194">
        <v>12137</v>
      </c>
      <c r="B194" t="s">
        <v>549</v>
      </c>
      <c r="C194" t="s">
        <v>281</v>
      </c>
      <c r="D194" t="s">
        <v>282</v>
      </c>
      <c r="E194">
        <v>26</v>
      </c>
      <c r="F194">
        <v>75.89</v>
      </c>
      <c r="G194">
        <v>14.52</v>
      </c>
      <c r="H194">
        <v>9.59</v>
      </c>
      <c r="I194">
        <v>0</v>
      </c>
      <c r="J194" s="1">
        <v>45928.064611412039</v>
      </c>
      <c r="K194" t="s">
        <v>550</v>
      </c>
      <c r="L194">
        <f>COUNTIF($A$2:A194,A194)</f>
        <v>8</v>
      </c>
    </row>
    <row r="195" spans="1:12" x14ac:dyDescent="0.3">
      <c r="A195">
        <v>12137</v>
      </c>
      <c r="B195" t="s">
        <v>549</v>
      </c>
      <c r="C195" t="s">
        <v>561</v>
      </c>
      <c r="D195" t="s">
        <v>562</v>
      </c>
      <c r="E195">
        <v>20</v>
      </c>
      <c r="F195">
        <v>74.25</v>
      </c>
      <c r="G195">
        <v>21.37</v>
      </c>
      <c r="H195">
        <v>4.38</v>
      </c>
      <c r="I195">
        <v>0</v>
      </c>
      <c r="J195" s="1">
        <v>45928.063818622686</v>
      </c>
      <c r="K195" t="s">
        <v>550</v>
      </c>
      <c r="L195">
        <f>COUNTIF($A$2:A195,A195)</f>
        <v>9</v>
      </c>
    </row>
    <row r="196" spans="1:12" x14ac:dyDescent="0.3">
      <c r="A196">
        <v>12137</v>
      </c>
      <c r="B196" t="s">
        <v>549</v>
      </c>
      <c r="C196" t="s">
        <v>316</v>
      </c>
      <c r="D196" t="s">
        <v>317</v>
      </c>
      <c r="E196">
        <v>19</v>
      </c>
      <c r="F196">
        <v>74.25</v>
      </c>
      <c r="G196">
        <v>21.1</v>
      </c>
      <c r="H196">
        <v>4.66</v>
      </c>
      <c r="I196">
        <v>0</v>
      </c>
      <c r="J196" s="1">
        <v>45928.06400445602</v>
      </c>
      <c r="K196" t="s">
        <v>550</v>
      </c>
      <c r="L196">
        <f>COUNTIF($A$2:A196,A196)</f>
        <v>10</v>
      </c>
    </row>
    <row r="197" spans="1:12" x14ac:dyDescent="0.3">
      <c r="A197">
        <v>12137</v>
      </c>
      <c r="B197" t="s">
        <v>549</v>
      </c>
      <c r="C197" t="s">
        <v>106</v>
      </c>
      <c r="D197" t="s">
        <v>107</v>
      </c>
      <c r="E197">
        <v>26</v>
      </c>
      <c r="F197">
        <v>69.040000000000006</v>
      </c>
      <c r="G197">
        <v>21.64</v>
      </c>
      <c r="H197">
        <v>9.32</v>
      </c>
      <c r="I197">
        <v>0</v>
      </c>
      <c r="J197" s="1">
        <v>45928.064474479164</v>
      </c>
      <c r="K197" t="s">
        <v>550</v>
      </c>
      <c r="L197">
        <f>COUNTIF($A$2:A197,A197)</f>
        <v>11</v>
      </c>
    </row>
    <row r="198" spans="1:12" x14ac:dyDescent="0.3">
      <c r="A198">
        <v>12137</v>
      </c>
      <c r="B198" t="s">
        <v>549</v>
      </c>
      <c r="C198" t="s">
        <v>579</v>
      </c>
      <c r="D198" t="s">
        <v>580</v>
      </c>
      <c r="E198">
        <v>28</v>
      </c>
      <c r="F198">
        <v>64.11</v>
      </c>
      <c r="G198">
        <v>26.3</v>
      </c>
      <c r="H198">
        <v>9.59</v>
      </c>
      <c r="I198">
        <v>0</v>
      </c>
      <c r="J198" s="1">
        <v>45928.064497604166</v>
      </c>
      <c r="K198" t="s">
        <v>550</v>
      </c>
      <c r="L198">
        <f>COUNTIF($A$2:A198,A198)</f>
        <v>12</v>
      </c>
    </row>
    <row r="199" spans="1:12" x14ac:dyDescent="0.3">
      <c r="A199">
        <v>12137</v>
      </c>
      <c r="B199" t="s">
        <v>549</v>
      </c>
      <c r="C199" t="s">
        <v>102</v>
      </c>
      <c r="D199" t="s">
        <v>103</v>
      </c>
      <c r="E199">
        <v>30</v>
      </c>
      <c r="F199">
        <v>55.07</v>
      </c>
      <c r="G199">
        <v>36.99</v>
      </c>
      <c r="H199">
        <v>7.95</v>
      </c>
      <c r="I199">
        <v>0</v>
      </c>
      <c r="J199" s="1">
        <v>45928.064251400465</v>
      </c>
      <c r="K199" t="s">
        <v>550</v>
      </c>
      <c r="L199">
        <f>COUNTIF($A$2:A199,A199)</f>
        <v>13</v>
      </c>
    </row>
    <row r="200" spans="1:12" x14ac:dyDescent="0.3">
      <c r="A200">
        <v>12137</v>
      </c>
      <c r="B200" t="s">
        <v>549</v>
      </c>
      <c r="C200" t="s">
        <v>616</v>
      </c>
      <c r="D200" t="s">
        <v>617</v>
      </c>
      <c r="E200">
        <v>39</v>
      </c>
      <c r="F200">
        <v>53.42</v>
      </c>
      <c r="G200">
        <v>31.23</v>
      </c>
      <c r="H200">
        <v>15.34</v>
      </c>
      <c r="I200">
        <v>0.01</v>
      </c>
      <c r="J200" s="1">
        <v>45928.065307291668</v>
      </c>
      <c r="K200" t="s">
        <v>550</v>
      </c>
      <c r="L200">
        <f>COUNTIF($A$2:A200,A200)</f>
        <v>14</v>
      </c>
    </row>
    <row r="201" spans="1:12" x14ac:dyDescent="0.3">
      <c r="A201">
        <v>12137</v>
      </c>
      <c r="B201" t="s">
        <v>549</v>
      </c>
      <c r="C201" t="s">
        <v>100</v>
      </c>
      <c r="D201" t="s">
        <v>101</v>
      </c>
      <c r="E201">
        <v>26</v>
      </c>
      <c r="F201">
        <v>53.15</v>
      </c>
      <c r="G201">
        <v>42.19</v>
      </c>
      <c r="H201">
        <v>4.66</v>
      </c>
      <c r="I201">
        <v>0</v>
      </c>
      <c r="J201" s="1">
        <v>45928.064048784719</v>
      </c>
      <c r="K201" t="s">
        <v>550</v>
      </c>
      <c r="L201">
        <f>COUNTIF($A$2:A201,A201)</f>
        <v>15</v>
      </c>
    </row>
    <row r="202" spans="1:12" x14ac:dyDescent="0.3">
      <c r="A202">
        <v>12137</v>
      </c>
      <c r="B202" t="s">
        <v>549</v>
      </c>
      <c r="C202" t="s">
        <v>319</v>
      </c>
      <c r="D202" t="s">
        <v>320</v>
      </c>
      <c r="E202">
        <v>28</v>
      </c>
      <c r="F202">
        <v>53.15</v>
      </c>
      <c r="G202">
        <v>38.630000000000003</v>
      </c>
      <c r="H202">
        <v>8.2200000000000006</v>
      </c>
      <c r="I202">
        <v>0</v>
      </c>
      <c r="J202" s="1">
        <v>45928.064184826391</v>
      </c>
      <c r="K202" t="s">
        <v>550</v>
      </c>
      <c r="L202">
        <f>COUNTIF($A$2:A202,A202)</f>
        <v>16</v>
      </c>
    </row>
    <row r="203" spans="1:12" x14ac:dyDescent="0.3">
      <c r="A203">
        <v>12137</v>
      </c>
      <c r="B203" t="s">
        <v>549</v>
      </c>
      <c r="C203" t="s">
        <v>108</v>
      </c>
      <c r="D203" t="s">
        <v>109</v>
      </c>
      <c r="E203">
        <v>36</v>
      </c>
      <c r="F203">
        <v>50.41</v>
      </c>
      <c r="G203">
        <v>38.36</v>
      </c>
      <c r="H203">
        <v>11.23</v>
      </c>
      <c r="I203">
        <v>0</v>
      </c>
      <c r="J203" s="1">
        <v>45928.064658923613</v>
      </c>
      <c r="K203" t="s">
        <v>550</v>
      </c>
      <c r="L203">
        <f>COUNTIF($A$2:A203,A203)</f>
        <v>17</v>
      </c>
    </row>
    <row r="204" spans="1:12" x14ac:dyDescent="0.3">
      <c r="A204">
        <v>12137</v>
      </c>
      <c r="B204" t="s">
        <v>549</v>
      </c>
      <c r="C204" t="s">
        <v>563</v>
      </c>
      <c r="D204" t="s">
        <v>564</v>
      </c>
      <c r="E204">
        <v>28</v>
      </c>
      <c r="F204">
        <v>44.93</v>
      </c>
      <c r="G204">
        <v>49.32</v>
      </c>
      <c r="H204">
        <v>5.75</v>
      </c>
      <c r="I204">
        <v>0</v>
      </c>
      <c r="J204" s="1">
        <v>45928.063842256946</v>
      </c>
      <c r="K204" t="s">
        <v>550</v>
      </c>
      <c r="L204">
        <f>COUNTIF($A$2:A204,A204)</f>
        <v>18</v>
      </c>
    </row>
    <row r="205" spans="1:12" x14ac:dyDescent="0.3">
      <c r="A205">
        <v>12137</v>
      </c>
      <c r="B205" t="s">
        <v>549</v>
      </c>
      <c r="C205" t="s">
        <v>606</v>
      </c>
      <c r="D205" t="s">
        <v>607</v>
      </c>
      <c r="E205">
        <v>49</v>
      </c>
      <c r="F205">
        <v>40.549999999999997</v>
      </c>
      <c r="G205">
        <v>39.450000000000003</v>
      </c>
      <c r="H205">
        <v>20</v>
      </c>
      <c r="I205">
        <v>0</v>
      </c>
      <c r="J205" s="1">
        <v>45928.065137708334</v>
      </c>
      <c r="K205" t="s">
        <v>550</v>
      </c>
      <c r="L205">
        <f>COUNTIF($A$2:A205,A205)</f>
        <v>19</v>
      </c>
    </row>
    <row r="206" spans="1:12" x14ac:dyDescent="0.3">
      <c r="A206">
        <v>12137</v>
      </c>
      <c r="B206" t="s">
        <v>549</v>
      </c>
      <c r="C206" t="s">
        <v>575</v>
      </c>
      <c r="D206" t="s">
        <v>576</v>
      </c>
      <c r="E206">
        <v>35</v>
      </c>
      <c r="F206">
        <v>40.270000000000003</v>
      </c>
      <c r="G206">
        <v>49.59</v>
      </c>
      <c r="H206">
        <v>10.14</v>
      </c>
      <c r="I206">
        <v>0</v>
      </c>
      <c r="J206" s="1">
        <v>45928.064299467595</v>
      </c>
      <c r="K206" t="s">
        <v>550</v>
      </c>
      <c r="L206">
        <f>COUNTIF($A$2:A206,A206)</f>
        <v>20</v>
      </c>
    </row>
    <row r="207" spans="1:12" x14ac:dyDescent="0.3">
      <c r="A207">
        <v>12137</v>
      </c>
      <c r="B207" t="s">
        <v>549</v>
      </c>
      <c r="C207" t="s">
        <v>388</v>
      </c>
      <c r="D207" t="s">
        <v>389</v>
      </c>
      <c r="E207">
        <v>27</v>
      </c>
      <c r="F207">
        <v>39.729999999999997</v>
      </c>
      <c r="G207">
        <v>55.89</v>
      </c>
      <c r="H207">
        <v>3.84</v>
      </c>
      <c r="I207">
        <v>0.54</v>
      </c>
      <c r="J207" s="1">
        <v>45928.063519432872</v>
      </c>
      <c r="K207" t="s">
        <v>550</v>
      </c>
      <c r="L207">
        <f>COUNTIF($A$2:A207,A207)</f>
        <v>21</v>
      </c>
    </row>
    <row r="208" spans="1:12" x14ac:dyDescent="0.3">
      <c r="A208">
        <v>12137</v>
      </c>
      <c r="B208" t="s">
        <v>549</v>
      </c>
      <c r="C208" t="s">
        <v>573</v>
      </c>
      <c r="D208" t="s">
        <v>574</v>
      </c>
      <c r="E208">
        <v>35</v>
      </c>
      <c r="F208">
        <v>38.08</v>
      </c>
      <c r="G208">
        <v>52.88</v>
      </c>
      <c r="H208">
        <v>9.0399999999999991</v>
      </c>
      <c r="I208">
        <v>0</v>
      </c>
      <c r="J208" s="1">
        <v>45928.064205046299</v>
      </c>
      <c r="K208" t="s">
        <v>550</v>
      </c>
      <c r="L208">
        <f>COUNTIF($A$2:A208,A208)</f>
        <v>22</v>
      </c>
    </row>
    <row r="209" spans="1:12" x14ac:dyDescent="0.3">
      <c r="A209">
        <v>12137</v>
      </c>
      <c r="B209" t="s">
        <v>549</v>
      </c>
      <c r="C209" t="s">
        <v>110</v>
      </c>
      <c r="D209" t="s">
        <v>111</v>
      </c>
      <c r="E209">
        <v>43</v>
      </c>
      <c r="F209">
        <v>35.07</v>
      </c>
      <c r="G209">
        <v>51.51</v>
      </c>
      <c r="H209">
        <v>13.42</v>
      </c>
      <c r="I209">
        <v>0</v>
      </c>
      <c r="J209" s="1">
        <v>45928.064702766205</v>
      </c>
      <c r="K209" t="s">
        <v>550</v>
      </c>
      <c r="L209">
        <f>COUNTIF($A$2:A209,A209)</f>
        <v>23</v>
      </c>
    </row>
    <row r="210" spans="1:12" x14ac:dyDescent="0.3">
      <c r="A210">
        <v>12137</v>
      </c>
      <c r="B210" t="s">
        <v>549</v>
      </c>
      <c r="C210" t="s">
        <v>608</v>
      </c>
      <c r="D210" t="s">
        <v>609</v>
      </c>
      <c r="E210">
        <v>57</v>
      </c>
      <c r="F210">
        <v>30.14</v>
      </c>
      <c r="G210">
        <v>45.21</v>
      </c>
      <c r="H210">
        <v>24.66</v>
      </c>
      <c r="I210">
        <v>0</v>
      </c>
      <c r="J210" s="1">
        <v>45928.065183333332</v>
      </c>
      <c r="K210" t="s">
        <v>550</v>
      </c>
      <c r="L210">
        <f>COUNTIF($A$2:A210,A210)</f>
        <v>24</v>
      </c>
    </row>
    <row r="211" spans="1:12" x14ac:dyDescent="0.3">
      <c r="A211">
        <v>12137</v>
      </c>
      <c r="B211" t="s">
        <v>549</v>
      </c>
      <c r="C211" t="s">
        <v>555</v>
      </c>
      <c r="D211" t="s">
        <v>556</v>
      </c>
      <c r="E211">
        <v>35</v>
      </c>
      <c r="F211">
        <v>29.04</v>
      </c>
      <c r="G211">
        <v>64.38</v>
      </c>
      <c r="H211">
        <v>6.58</v>
      </c>
      <c r="I211">
        <v>0</v>
      </c>
      <c r="J211" s="1">
        <v>45928.063675555553</v>
      </c>
      <c r="K211" t="s">
        <v>550</v>
      </c>
      <c r="L211">
        <f>COUNTIF($A$2:A211,A211)</f>
        <v>25</v>
      </c>
    </row>
    <row r="212" spans="1:12" x14ac:dyDescent="0.3">
      <c r="A212">
        <v>12137</v>
      </c>
      <c r="B212" t="s">
        <v>549</v>
      </c>
      <c r="C212" t="s">
        <v>394</v>
      </c>
      <c r="D212" t="s">
        <v>395</v>
      </c>
      <c r="E212">
        <v>33</v>
      </c>
      <c r="F212">
        <v>28.49</v>
      </c>
      <c r="G212">
        <v>66.03</v>
      </c>
      <c r="H212">
        <v>5.21</v>
      </c>
      <c r="I212">
        <v>0.27</v>
      </c>
      <c r="J212" s="1">
        <v>45928.063571296298</v>
      </c>
      <c r="K212" t="s">
        <v>550</v>
      </c>
      <c r="L212">
        <f>COUNTIF($A$2:A212,A212)</f>
        <v>26</v>
      </c>
    </row>
    <row r="213" spans="1:12" x14ac:dyDescent="0.3">
      <c r="A213">
        <v>12137</v>
      </c>
      <c r="B213" t="s">
        <v>549</v>
      </c>
      <c r="C213" t="s">
        <v>610</v>
      </c>
      <c r="D213" t="s">
        <v>611</v>
      </c>
      <c r="E213">
        <v>0</v>
      </c>
      <c r="F213">
        <v>27.67</v>
      </c>
      <c r="G213">
        <v>45.75</v>
      </c>
      <c r="H213">
        <v>26.58</v>
      </c>
      <c r="I213">
        <v>0</v>
      </c>
      <c r="J213" s="1">
        <v>45928.065215902781</v>
      </c>
      <c r="K213" t="s">
        <v>550</v>
      </c>
      <c r="L213">
        <f>COUNTIF($A$2:A213,A213)</f>
        <v>27</v>
      </c>
    </row>
    <row r="214" spans="1:12" x14ac:dyDescent="0.3">
      <c r="A214">
        <v>12137</v>
      </c>
      <c r="B214" t="s">
        <v>549</v>
      </c>
      <c r="C214" t="s">
        <v>392</v>
      </c>
      <c r="D214" t="s">
        <v>393</v>
      </c>
      <c r="E214">
        <v>0</v>
      </c>
      <c r="F214">
        <v>26.3</v>
      </c>
      <c r="G214">
        <v>67.67</v>
      </c>
      <c r="H214">
        <v>5.48</v>
      </c>
      <c r="I214">
        <v>0.55000000000000004</v>
      </c>
      <c r="J214" s="1">
        <v>45928.063549965278</v>
      </c>
      <c r="K214" t="s">
        <v>550</v>
      </c>
      <c r="L214">
        <f>COUNTIF($A$2:A214,A214)</f>
        <v>28</v>
      </c>
    </row>
    <row r="215" spans="1:12" x14ac:dyDescent="0.3">
      <c r="A215">
        <v>12137</v>
      </c>
      <c r="B215" t="s">
        <v>549</v>
      </c>
      <c r="C215" t="s">
        <v>557</v>
      </c>
      <c r="D215" t="s">
        <v>558</v>
      </c>
      <c r="E215">
        <v>35</v>
      </c>
      <c r="F215">
        <v>26.3</v>
      </c>
      <c r="G215">
        <v>67.12</v>
      </c>
      <c r="H215">
        <v>6.58</v>
      </c>
      <c r="I215">
        <v>0</v>
      </c>
      <c r="J215" s="1">
        <v>45928.063720150465</v>
      </c>
      <c r="K215" t="s">
        <v>550</v>
      </c>
      <c r="L215">
        <f>COUNTIF($A$2:A215,A215)</f>
        <v>29</v>
      </c>
    </row>
    <row r="216" spans="1:12" x14ac:dyDescent="0.3">
      <c r="A216">
        <v>12137</v>
      </c>
      <c r="B216" t="s">
        <v>549</v>
      </c>
      <c r="C216" t="s">
        <v>612</v>
      </c>
      <c r="D216" t="s">
        <v>613</v>
      </c>
      <c r="E216">
        <v>0</v>
      </c>
      <c r="F216">
        <v>25.75</v>
      </c>
      <c r="G216">
        <v>43.56</v>
      </c>
      <c r="H216">
        <v>30.68</v>
      </c>
      <c r="I216">
        <v>0</v>
      </c>
      <c r="J216" s="1">
        <v>45928.065247557868</v>
      </c>
      <c r="K216" t="s">
        <v>550</v>
      </c>
      <c r="L216">
        <f>COUNTIF($A$2:A216,A216)</f>
        <v>30</v>
      </c>
    </row>
    <row r="217" spans="1:12" x14ac:dyDescent="0.3">
      <c r="A217">
        <v>12137</v>
      </c>
      <c r="B217" t="s">
        <v>549</v>
      </c>
      <c r="C217" t="s">
        <v>614</v>
      </c>
      <c r="D217" t="s">
        <v>615</v>
      </c>
      <c r="E217">
        <v>66</v>
      </c>
      <c r="F217">
        <v>25.21</v>
      </c>
      <c r="G217">
        <v>40.270000000000003</v>
      </c>
      <c r="H217">
        <v>34.520000000000003</v>
      </c>
      <c r="I217">
        <v>0</v>
      </c>
      <c r="J217" s="1">
        <v>45928.065289849539</v>
      </c>
      <c r="K217" t="s">
        <v>550</v>
      </c>
      <c r="L217">
        <f>COUNTIF($A$2:A217,A217)</f>
        <v>31</v>
      </c>
    </row>
    <row r="218" spans="1:12" x14ac:dyDescent="0.3">
      <c r="A218">
        <v>12137</v>
      </c>
      <c r="B218" t="s">
        <v>549</v>
      </c>
      <c r="C218" t="s">
        <v>577</v>
      </c>
      <c r="D218" t="s">
        <v>578</v>
      </c>
      <c r="E218">
        <v>0</v>
      </c>
      <c r="F218">
        <v>24.93</v>
      </c>
      <c r="G218">
        <v>63.56</v>
      </c>
      <c r="H218">
        <v>11.51</v>
      </c>
      <c r="I218">
        <v>0</v>
      </c>
      <c r="J218" s="1">
        <v>45928.064342349535</v>
      </c>
      <c r="K218" t="s">
        <v>550</v>
      </c>
      <c r="L218">
        <f>COUNTIF($A$2:A218,A218)</f>
        <v>32</v>
      </c>
    </row>
    <row r="219" spans="1:12" x14ac:dyDescent="0.3">
      <c r="A219">
        <v>12137</v>
      </c>
      <c r="B219" t="s">
        <v>549</v>
      </c>
      <c r="C219" t="s">
        <v>386</v>
      </c>
      <c r="D219" t="s">
        <v>387</v>
      </c>
      <c r="E219">
        <v>29</v>
      </c>
      <c r="F219">
        <v>22.19</v>
      </c>
      <c r="G219">
        <v>73.97</v>
      </c>
      <c r="H219">
        <v>3.56</v>
      </c>
      <c r="I219">
        <v>0.28000000000000003</v>
      </c>
      <c r="J219" s="1">
        <v>45928.063502083336</v>
      </c>
      <c r="K219" t="s">
        <v>550</v>
      </c>
      <c r="L219">
        <f>COUNTIF($A$2:A219,A219)</f>
        <v>33</v>
      </c>
    </row>
    <row r="220" spans="1:12" x14ac:dyDescent="0.3">
      <c r="A220">
        <v>12137</v>
      </c>
      <c r="B220" t="s">
        <v>549</v>
      </c>
      <c r="C220" t="s">
        <v>583</v>
      </c>
      <c r="D220" t="s">
        <v>584</v>
      </c>
      <c r="E220">
        <v>49</v>
      </c>
      <c r="F220">
        <v>21.64</v>
      </c>
      <c r="G220">
        <v>62.19</v>
      </c>
      <c r="H220">
        <v>16.16</v>
      </c>
      <c r="I220">
        <v>0.01</v>
      </c>
      <c r="J220" s="1">
        <v>45928.064722974537</v>
      </c>
      <c r="K220" t="s">
        <v>550</v>
      </c>
      <c r="L220">
        <f>COUNTIF($A$2:A220,A220)</f>
        <v>34</v>
      </c>
    </row>
    <row r="221" spans="1:12" x14ac:dyDescent="0.3">
      <c r="A221">
        <v>12137</v>
      </c>
      <c r="B221" t="s">
        <v>549</v>
      </c>
      <c r="C221" t="s">
        <v>279</v>
      </c>
      <c r="D221" t="s">
        <v>280</v>
      </c>
      <c r="E221">
        <v>41</v>
      </c>
      <c r="F221">
        <v>21.37</v>
      </c>
      <c r="G221">
        <v>65.75</v>
      </c>
      <c r="H221">
        <v>12.88</v>
      </c>
      <c r="I221">
        <v>0</v>
      </c>
      <c r="J221" s="1">
        <v>45928.064541817126</v>
      </c>
      <c r="K221" t="s">
        <v>550</v>
      </c>
      <c r="L221">
        <f>COUNTIF($A$2:A221,A221)</f>
        <v>35</v>
      </c>
    </row>
    <row r="222" spans="1:12" x14ac:dyDescent="0.3">
      <c r="A222">
        <v>12137</v>
      </c>
      <c r="B222" t="s">
        <v>549</v>
      </c>
      <c r="C222" t="s">
        <v>569</v>
      </c>
      <c r="D222" t="s">
        <v>570</v>
      </c>
      <c r="E222">
        <v>37</v>
      </c>
      <c r="F222">
        <v>17.809999999999999</v>
      </c>
      <c r="G222">
        <v>73.7</v>
      </c>
      <c r="H222">
        <v>8.49</v>
      </c>
      <c r="I222">
        <v>0</v>
      </c>
      <c r="J222" s="1">
        <v>45928.064097002316</v>
      </c>
      <c r="K222" t="s">
        <v>550</v>
      </c>
      <c r="L222">
        <f>COUNTIF($A$2:A222,A222)</f>
        <v>36</v>
      </c>
    </row>
    <row r="223" spans="1:12" x14ac:dyDescent="0.3">
      <c r="A223">
        <v>12137</v>
      </c>
      <c r="B223" t="s">
        <v>549</v>
      </c>
      <c r="C223" t="s">
        <v>553</v>
      </c>
      <c r="D223" t="s">
        <v>554</v>
      </c>
      <c r="E223">
        <v>40</v>
      </c>
      <c r="F223">
        <v>16.71</v>
      </c>
      <c r="G223">
        <v>76.44</v>
      </c>
      <c r="H223">
        <v>6.85</v>
      </c>
      <c r="I223">
        <v>0</v>
      </c>
      <c r="J223" s="1">
        <v>45928.06363271991</v>
      </c>
      <c r="K223" t="s">
        <v>550</v>
      </c>
      <c r="L223">
        <f>COUNTIF($A$2:A223,A223)</f>
        <v>37</v>
      </c>
    </row>
    <row r="224" spans="1:12" x14ac:dyDescent="0.3">
      <c r="A224">
        <v>12137</v>
      </c>
      <c r="B224" t="s">
        <v>549</v>
      </c>
      <c r="C224" t="s">
        <v>585</v>
      </c>
      <c r="D224" t="s">
        <v>586</v>
      </c>
      <c r="E224">
        <v>55</v>
      </c>
      <c r="F224">
        <v>14.52</v>
      </c>
      <c r="G224">
        <v>62.74</v>
      </c>
      <c r="H224">
        <v>22.74</v>
      </c>
      <c r="I224">
        <v>0</v>
      </c>
      <c r="J224" s="1">
        <v>45928.064768067132</v>
      </c>
      <c r="K224" t="s">
        <v>550</v>
      </c>
      <c r="L224">
        <f>COUNTIF($A$2:A224,A224)</f>
        <v>38</v>
      </c>
    </row>
    <row r="225" spans="1:12" x14ac:dyDescent="0.3">
      <c r="A225">
        <v>12137</v>
      </c>
      <c r="B225" t="s">
        <v>549</v>
      </c>
      <c r="C225" t="s">
        <v>597</v>
      </c>
      <c r="D225" t="s">
        <v>598</v>
      </c>
      <c r="E225">
        <v>62</v>
      </c>
      <c r="F225">
        <v>13.42</v>
      </c>
      <c r="G225">
        <v>55.07</v>
      </c>
      <c r="H225">
        <v>31.51</v>
      </c>
      <c r="I225">
        <v>0</v>
      </c>
      <c r="J225" s="1">
        <v>45928.064977395836</v>
      </c>
      <c r="K225" t="s">
        <v>550</v>
      </c>
      <c r="L225">
        <f>COUNTIF($A$2:A225,A225)</f>
        <v>39</v>
      </c>
    </row>
    <row r="226" spans="1:12" x14ac:dyDescent="0.3">
      <c r="A226">
        <v>12137</v>
      </c>
      <c r="B226" t="s">
        <v>549</v>
      </c>
      <c r="C226" t="s">
        <v>551</v>
      </c>
      <c r="D226" t="s">
        <v>552</v>
      </c>
      <c r="E226">
        <v>40</v>
      </c>
      <c r="F226">
        <v>12.6</v>
      </c>
      <c r="G226">
        <v>81.099999999999994</v>
      </c>
      <c r="H226">
        <v>6.03</v>
      </c>
      <c r="I226">
        <v>0.27</v>
      </c>
      <c r="J226" s="1">
        <v>45928.063591307873</v>
      </c>
      <c r="K226" t="s">
        <v>550</v>
      </c>
      <c r="L226">
        <f>COUNTIF($A$2:A226,A226)</f>
        <v>40</v>
      </c>
    </row>
    <row r="227" spans="1:12" x14ac:dyDescent="0.3">
      <c r="A227">
        <v>12137</v>
      </c>
      <c r="B227" t="s">
        <v>549</v>
      </c>
      <c r="C227" t="s">
        <v>565</v>
      </c>
      <c r="D227" t="s">
        <v>566</v>
      </c>
      <c r="E227">
        <v>37</v>
      </c>
      <c r="F227">
        <v>12.6</v>
      </c>
      <c r="G227">
        <v>80.27</v>
      </c>
      <c r="H227">
        <v>7.12</v>
      </c>
      <c r="I227">
        <v>0.01</v>
      </c>
      <c r="J227" s="1">
        <v>45928.063865011572</v>
      </c>
      <c r="K227" t="s">
        <v>550</v>
      </c>
      <c r="L227">
        <f>COUNTIF($A$2:A227,A227)</f>
        <v>41</v>
      </c>
    </row>
    <row r="228" spans="1:12" x14ac:dyDescent="0.3">
      <c r="A228">
        <v>12137</v>
      </c>
      <c r="B228" t="s">
        <v>549</v>
      </c>
      <c r="C228" t="s">
        <v>599</v>
      </c>
      <c r="D228" t="s">
        <v>600</v>
      </c>
      <c r="E228">
        <v>64</v>
      </c>
      <c r="F228">
        <v>10.41</v>
      </c>
      <c r="G228">
        <v>56.16</v>
      </c>
      <c r="H228">
        <v>33.42</v>
      </c>
      <c r="I228">
        <v>0.01</v>
      </c>
      <c r="J228" s="1">
        <v>45928.064996967594</v>
      </c>
      <c r="K228" t="s">
        <v>550</v>
      </c>
      <c r="L228">
        <f>COUNTIF($A$2:A228,A228)</f>
        <v>42</v>
      </c>
    </row>
    <row r="229" spans="1:12" x14ac:dyDescent="0.3">
      <c r="A229">
        <v>12137</v>
      </c>
      <c r="B229" t="s">
        <v>549</v>
      </c>
      <c r="C229" t="s">
        <v>601</v>
      </c>
      <c r="D229" t="s">
        <v>602</v>
      </c>
      <c r="E229">
        <v>0</v>
      </c>
      <c r="F229">
        <v>10.14</v>
      </c>
      <c r="G229">
        <v>55.34</v>
      </c>
      <c r="H229">
        <v>34.520000000000003</v>
      </c>
      <c r="I229">
        <v>0</v>
      </c>
      <c r="J229" s="1">
        <v>45928.065028599536</v>
      </c>
      <c r="K229" t="s">
        <v>550</v>
      </c>
      <c r="L229">
        <f>COUNTIF($A$2:A229,A229)</f>
        <v>43</v>
      </c>
    </row>
    <row r="230" spans="1:12" x14ac:dyDescent="0.3">
      <c r="A230">
        <v>12137</v>
      </c>
      <c r="B230" t="s">
        <v>549</v>
      </c>
      <c r="C230" t="s">
        <v>603</v>
      </c>
      <c r="D230" t="s">
        <v>604</v>
      </c>
      <c r="E230">
        <v>68</v>
      </c>
      <c r="F230">
        <v>7.95</v>
      </c>
      <c r="G230">
        <v>55.62</v>
      </c>
      <c r="H230">
        <v>36.44</v>
      </c>
      <c r="I230">
        <v>0</v>
      </c>
      <c r="J230" s="1">
        <v>45928.065073530095</v>
      </c>
      <c r="K230" t="s">
        <v>550</v>
      </c>
      <c r="L230">
        <f>COUNTIF($A$2:A230,A230)</f>
        <v>44</v>
      </c>
    </row>
    <row r="231" spans="1:12" x14ac:dyDescent="0.3">
      <c r="A231">
        <v>12137</v>
      </c>
      <c r="B231" t="s">
        <v>549</v>
      </c>
      <c r="C231" t="s">
        <v>591</v>
      </c>
      <c r="D231" t="s">
        <v>592</v>
      </c>
      <c r="E231">
        <v>64</v>
      </c>
      <c r="F231">
        <v>7.67</v>
      </c>
      <c r="G231">
        <v>62.19</v>
      </c>
      <c r="H231">
        <v>30.14</v>
      </c>
      <c r="I231">
        <v>0</v>
      </c>
      <c r="J231" s="1">
        <v>45928.064879201389</v>
      </c>
      <c r="K231" t="s">
        <v>550</v>
      </c>
      <c r="L231">
        <f>COUNTIF($A$2:A231,A231)</f>
        <v>45</v>
      </c>
    </row>
    <row r="232" spans="1:12" x14ac:dyDescent="0.3">
      <c r="A232">
        <v>12137</v>
      </c>
      <c r="B232" t="s">
        <v>549</v>
      </c>
      <c r="C232" t="s">
        <v>571</v>
      </c>
      <c r="D232" t="s">
        <v>572</v>
      </c>
      <c r="E232">
        <v>42</v>
      </c>
      <c r="F232">
        <v>7.12</v>
      </c>
      <c r="G232">
        <v>83.01</v>
      </c>
      <c r="H232">
        <v>9.86</v>
      </c>
      <c r="I232">
        <v>0.01</v>
      </c>
      <c r="J232" s="1">
        <v>45928.064117048612</v>
      </c>
      <c r="K232" t="s">
        <v>550</v>
      </c>
      <c r="L232">
        <f>COUNTIF($A$2:A232,A232)</f>
        <v>46</v>
      </c>
    </row>
    <row r="233" spans="1:12" x14ac:dyDescent="0.3">
      <c r="A233">
        <v>12137</v>
      </c>
      <c r="B233" t="s">
        <v>549</v>
      </c>
      <c r="C233" t="s">
        <v>593</v>
      </c>
      <c r="D233" t="s">
        <v>594</v>
      </c>
      <c r="E233">
        <v>65</v>
      </c>
      <c r="F233">
        <v>7.12</v>
      </c>
      <c r="G233">
        <v>60.82</v>
      </c>
      <c r="H233">
        <v>32.049999999999997</v>
      </c>
      <c r="I233">
        <v>0.01</v>
      </c>
      <c r="J233" s="1">
        <v>45928.06489760417</v>
      </c>
      <c r="K233" t="s">
        <v>550</v>
      </c>
      <c r="L233">
        <f>COUNTIF($A$2:A233,A233)</f>
        <v>47</v>
      </c>
    </row>
    <row r="234" spans="1:12" x14ac:dyDescent="0.3">
      <c r="A234">
        <v>12137</v>
      </c>
      <c r="B234" t="s">
        <v>549</v>
      </c>
      <c r="C234" t="s">
        <v>595</v>
      </c>
      <c r="D234" t="s">
        <v>596</v>
      </c>
      <c r="E234">
        <v>0</v>
      </c>
      <c r="F234">
        <v>7.12</v>
      </c>
      <c r="G234">
        <v>59.73</v>
      </c>
      <c r="H234">
        <v>33.15</v>
      </c>
      <c r="I234">
        <v>0</v>
      </c>
      <c r="J234" s="1">
        <v>45928.064931053239</v>
      </c>
      <c r="K234" t="s">
        <v>550</v>
      </c>
      <c r="L234">
        <f>COUNTIF($A$2:A234,A234)</f>
        <v>48</v>
      </c>
    </row>
    <row r="235" spans="1:12" x14ac:dyDescent="0.3">
      <c r="A235">
        <v>12137</v>
      </c>
      <c r="B235" t="s">
        <v>549</v>
      </c>
      <c r="C235" t="s">
        <v>605</v>
      </c>
      <c r="D235" t="s">
        <v>605</v>
      </c>
      <c r="E235">
        <v>70</v>
      </c>
      <c r="F235">
        <v>6.58</v>
      </c>
      <c r="G235">
        <v>55.07</v>
      </c>
      <c r="H235">
        <v>38.36</v>
      </c>
      <c r="I235">
        <v>0</v>
      </c>
      <c r="J235" s="1">
        <v>45928.065119039355</v>
      </c>
      <c r="K235" t="s">
        <v>550</v>
      </c>
      <c r="L235">
        <f>COUNTIF($A$2:A235,A235)</f>
        <v>49</v>
      </c>
    </row>
    <row r="236" spans="1:12" x14ac:dyDescent="0.3">
      <c r="A236">
        <v>12137</v>
      </c>
      <c r="B236" t="s">
        <v>549</v>
      </c>
      <c r="C236" t="s">
        <v>104</v>
      </c>
      <c r="D236" t="s">
        <v>105</v>
      </c>
      <c r="E236">
        <v>55</v>
      </c>
      <c r="F236">
        <v>5.75</v>
      </c>
      <c r="G236">
        <v>79.45</v>
      </c>
      <c r="H236">
        <v>14.79</v>
      </c>
      <c r="I236">
        <v>0.01</v>
      </c>
      <c r="J236" s="1">
        <v>45928.064361886572</v>
      </c>
      <c r="K236" t="s">
        <v>550</v>
      </c>
      <c r="L236">
        <f>COUNTIF($A$2:A236,A236)</f>
        <v>50</v>
      </c>
    </row>
    <row r="237" spans="1:12" x14ac:dyDescent="0.3">
      <c r="A237">
        <v>12137</v>
      </c>
      <c r="B237" t="s">
        <v>549</v>
      </c>
      <c r="C237" t="s">
        <v>581</v>
      </c>
      <c r="D237" t="s">
        <v>582</v>
      </c>
      <c r="E237">
        <v>48</v>
      </c>
      <c r="F237">
        <v>4.93</v>
      </c>
      <c r="G237">
        <v>81.099999999999994</v>
      </c>
      <c r="H237">
        <v>13.97</v>
      </c>
      <c r="I237">
        <v>0</v>
      </c>
      <c r="J237" s="1">
        <v>45928.064589895832</v>
      </c>
      <c r="K237" t="s">
        <v>550</v>
      </c>
      <c r="L237">
        <f>COUNTIF($A$2:A237,A237)</f>
        <v>51</v>
      </c>
    </row>
    <row r="238" spans="1:12" x14ac:dyDescent="0.3">
      <c r="A238">
        <v>12137</v>
      </c>
      <c r="B238" t="s">
        <v>549</v>
      </c>
      <c r="C238" t="s">
        <v>587</v>
      </c>
      <c r="D238" t="s">
        <v>588</v>
      </c>
      <c r="E238">
        <v>61</v>
      </c>
      <c r="F238">
        <v>4.93</v>
      </c>
      <c r="G238">
        <v>67.95</v>
      </c>
      <c r="H238">
        <v>27.12</v>
      </c>
      <c r="I238">
        <v>0</v>
      </c>
      <c r="J238" s="1">
        <v>45928.064810532407</v>
      </c>
      <c r="K238" t="s">
        <v>550</v>
      </c>
      <c r="L238">
        <f>COUNTIF($A$2:A238,A238)</f>
        <v>52</v>
      </c>
    </row>
    <row r="239" spans="1:12" x14ac:dyDescent="0.3">
      <c r="A239">
        <v>12137</v>
      </c>
      <c r="B239" t="s">
        <v>549</v>
      </c>
      <c r="C239" t="s">
        <v>589</v>
      </c>
      <c r="D239" t="s">
        <v>590</v>
      </c>
      <c r="E239">
        <v>64</v>
      </c>
      <c r="F239">
        <v>3.84</v>
      </c>
      <c r="G239">
        <v>66.03</v>
      </c>
      <c r="H239">
        <v>30.14</v>
      </c>
      <c r="I239">
        <v>0</v>
      </c>
      <c r="J239" s="1">
        <v>45928.064856666664</v>
      </c>
      <c r="K239" t="s">
        <v>550</v>
      </c>
      <c r="L239">
        <f>COUNTIF($A$2:A239,A239)</f>
        <v>53</v>
      </c>
    </row>
    <row r="240" spans="1:12" x14ac:dyDescent="0.3">
      <c r="A240">
        <v>12137</v>
      </c>
      <c r="B240" t="s">
        <v>549</v>
      </c>
      <c r="C240" t="s">
        <v>321</v>
      </c>
      <c r="D240" t="s">
        <v>322</v>
      </c>
      <c r="E240">
        <v>56</v>
      </c>
      <c r="F240">
        <v>1.1000000000000001</v>
      </c>
      <c r="G240">
        <v>81.64</v>
      </c>
      <c r="H240">
        <v>17.260000000000002</v>
      </c>
      <c r="I240">
        <v>0</v>
      </c>
      <c r="J240" s="1">
        <v>45928.064406608799</v>
      </c>
      <c r="K240" t="s">
        <v>550</v>
      </c>
      <c r="L240">
        <f>COUNTIF($A$2:A240,A240)</f>
        <v>54</v>
      </c>
    </row>
    <row r="241" spans="1:12" x14ac:dyDescent="0.3">
      <c r="A241">
        <v>12138</v>
      </c>
      <c r="B241" t="s">
        <v>549</v>
      </c>
      <c r="C241" t="s">
        <v>616</v>
      </c>
      <c r="D241" t="s">
        <v>617</v>
      </c>
      <c r="E241">
        <v>0</v>
      </c>
      <c r="F241">
        <v>98.08</v>
      </c>
      <c r="G241">
        <v>1.64</v>
      </c>
      <c r="H241">
        <v>0.27</v>
      </c>
      <c r="I241">
        <v>0</v>
      </c>
      <c r="J241" s="1">
        <v>45928.065516736111</v>
      </c>
      <c r="K241" t="s">
        <v>618</v>
      </c>
      <c r="L241">
        <f>COUNTIF($A$2:A241,A241)</f>
        <v>1</v>
      </c>
    </row>
    <row r="242" spans="1:12" x14ac:dyDescent="0.3">
      <c r="A242">
        <v>12138</v>
      </c>
      <c r="B242" t="s">
        <v>549</v>
      </c>
      <c r="C242" t="s">
        <v>606</v>
      </c>
      <c r="D242" t="s">
        <v>607</v>
      </c>
      <c r="E242">
        <v>6</v>
      </c>
      <c r="F242">
        <v>96.71</v>
      </c>
      <c r="G242">
        <v>2.74</v>
      </c>
      <c r="H242">
        <v>0.55000000000000004</v>
      </c>
      <c r="I242">
        <v>0</v>
      </c>
      <c r="J242" s="1">
        <v>45928.065730856484</v>
      </c>
      <c r="K242" t="s">
        <v>618</v>
      </c>
      <c r="L242">
        <f>COUNTIF($A$2:A242,A242)</f>
        <v>2</v>
      </c>
    </row>
    <row r="243" spans="1:12" x14ac:dyDescent="0.3">
      <c r="A243">
        <v>12138</v>
      </c>
      <c r="B243" t="s">
        <v>549</v>
      </c>
      <c r="C243" t="s">
        <v>614</v>
      </c>
      <c r="D243" t="s">
        <v>615</v>
      </c>
      <c r="E243">
        <v>12</v>
      </c>
      <c r="F243">
        <v>93.15</v>
      </c>
      <c r="G243">
        <v>6.58</v>
      </c>
      <c r="H243">
        <v>0.27</v>
      </c>
      <c r="I243">
        <v>0</v>
      </c>
      <c r="J243" s="1">
        <v>45928.065561423609</v>
      </c>
      <c r="K243" t="s">
        <v>618</v>
      </c>
      <c r="L243">
        <f>COUNTIF($A$2:A243,A243)</f>
        <v>3</v>
      </c>
    </row>
    <row r="244" spans="1:12" x14ac:dyDescent="0.3">
      <c r="A244">
        <v>12138</v>
      </c>
      <c r="B244" t="s">
        <v>549</v>
      </c>
      <c r="C244" t="s">
        <v>605</v>
      </c>
      <c r="D244" t="s">
        <v>605</v>
      </c>
      <c r="E244">
        <v>13</v>
      </c>
      <c r="F244">
        <v>90.96</v>
      </c>
      <c r="G244">
        <v>8.2200000000000006</v>
      </c>
      <c r="H244">
        <v>0.82</v>
      </c>
      <c r="I244">
        <v>0</v>
      </c>
      <c r="J244" s="1">
        <v>45928.065773935188</v>
      </c>
      <c r="K244" t="s">
        <v>618</v>
      </c>
      <c r="L244">
        <f>COUNTIF($A$2:A244,A244)</f>
        <v>4</v>
      </c>
    </row>
    <row r="245" spans="1:12" x14ac:dyDescent="0.3">
      <c r="A245">
        <v>12138</v>
      </c>
      <c r="B245" t="s">
        <v>549</v>
      </c>
      <c r="C245" t="s">
        <v>603</v>
      </c>
      <c r="D245" t="s">
        <v>604</v>
      </c>
      <c r="E245">
        <v>15</v>
      </c>
      <c r="F245">
        <v>86.58</v>
      </c>
      <c r="G245">
        <v>12.6</v>
      </c>
      <c r="H245">
        <v>0.82</v>
      </c>
      <c r="I245">
        <v>0</v>
      </c>
      <c r="J245" s="1">
        <v>45928.065819027775</v>
      </c>
      <c r="K245" t="s">
        <v>618</v>
      </c>
      <c r="L245">
        <f>COUNTIF($A$2:A245,A245)</f>
        <v>5</v>
      </c>
    </row>
    <row r="246" spans="1:12" x14ac:dyDescent="0.3">
      <c r="A246">
        <v>12138</v>
      </c>
      <c r="B246" t="s">
        <v>549</v>
      </c>
      <c r="C246" t="s">
        <v>608</v>
      </c>
      <c r="D246" t="s">
        <v>609</v>
      </c>
      <c r="E246">
        <v>13</v>
      </c>
      <c r="F246">
        <v>86.3</v>
      </c>
      <c r="G246">
        <v>12.6</v>
      </c>
      <c r="H246">
        <v>1.1000000000000001</v>
      </c>
      <c r="I246">
        <v>0</v>
      </c>
      <c r="J246" s="1">
        <v>45928.065687569448</v>
      </c>
      <c r="K246" t="s">
        <v>618</v>
      </c>
      <c r="L246">
        <f>COUNTIF($A$2:A246,A246)</f>
        <v>6</v>
      </c>
    </row>
    <row r="247" spans="1:12" x14ac:dyDescent="0.3">
      <c r="A247">
        <v>12138</v>
      </c>
      <c r="B247" t="s">
        <v>549</v>
      </c>
      <c r="C247" t="s">
        <v>610</v>
      </c>
      <c r="D247" t="s">
        <v>611</v>
      </c>
      <c r="E247">
        <v>14</v>
      </c>
      <c r="F247">
        <v>86.03</v>
      </c>
      <c r="G247">
        <v>13.15</v>
      </c>
      <c r="H247">
        <v>0.82</v>
      </c>
      <c r="I247">
        <v>0</v>
      </c>
      <c r="J247" s="1">
        <v>45928.065644513888</v>
      </c>
      <c r="K247" t="s">
        <v>618</v>
      </c>
      <c r="L247">
        <f>COUNTIF($A$2:A247,A247)</f>
        <v>7</v>
      </c>
    </row>
    <row r="248" spans="1:12" x14ac:dyDescent="0.3">
      <c r="A248">
        <v>12138</v>
      </c>
      <c r="B248" t="s">
        <v>549</v>
      </c>
      <c r="C248" t="s">
        <v>597</v>
      </c>
      <c r="D248" t="s">
        <v>598</v>
      </c>
      <c r="E248">
        <v>15</v>
      </c>
      <c r="F248">
        <v>85.75</v>
      </c>
      <c r="G248">
        <v>12.33</v>
      </c>
      <c r="H248">
        <v>1.92</v>
      </c>
      <c r="I248">
        <v>0</v>
      </c>
      <c r="J248" s="1">
        <v>45928.065872488427</v>
      </c>
      <c r="K248" t="s">
        <v>618</v>
      </c>
      <c r="L248">
        <f>COUNTIF($A$2:A248,A248)</f>
        <v>8</v>
      </c>
    </row>
    <row r="249" spans="1:12" x14ac:dyDescent="0.3">
      <c r="A249">
        <v>12138</v>
      </c>
      <c r="B249" t="s">
        <v>549</v>
      </c>
      <c r="C249" t="s">
        <v>601</v>
      </c>
      <c r="D249" t="s">
        <v>602</v>
      </c>
      <c r="E249">
        <v>16</v>
      </c>
      <c r="F249">
        <v>84.93</v>
      </c>
      <c r="G249">
        <v>13.42</v>
      </c>
      <c r="H249">
        <v>1.64</v>
      </c>
      <c r="I249">
        <v>0.01</v>
      </c>
      <c r="J249" s="1">
        <v>45928.065837858798</v>
      </c>
      <c r="K249" t="s">
        <v>618</v>
      </c>
      <c r="L249">
        <f>COUNTIF($A$2:A249,A249)</f>
        <v>9</v>
      </c>
    </row>
    <row r="250" spans="1:12" x14ac:dyDescent="0.3">
      <c r="A250">
        <v>12138</v>
      </c>
      <c r="B250" t="s">
        <v>549</v>
      </c>
      <c r="C250" t="s">
        <v>595</v>
      </c>
      <c r="D250" t="s">
        <v>596</v>
      </c>
      <c r="E250">
        <v>15</v>
      </c>
      <c r="F250">
        <v>84.66</v>
      </c>
      <c r="G250">
        <v>12.88</v>
      </c>
      <c r="H250">
        <v>2.4700000000000002</v>
      </c>
      <c r="I250">
        <v>0</v>
      </c>
      <c r="J250" s="1">
        <v>45928.065916446758</v>
      </c>
      <c r="K250" t="s">
        <v>618</v>
      </c>
      <c r="L250">
        <f>COUNTIF($A$2:A250,A250)</f>
        <v>10</v>
      </c>
    </row>
    <row r="251" spans="1:12" x14ac:dyDescent="0.3">
      <c r="A251">
        <v>12138</v>
      </c>
      <c r="B251" t="s">
        <v>549</v>
      </c>
      <c r="C251" t="s">
        <v>585</v>
      </c>
      <c r="D251" t="s">
        <v>586</v>
      </c>
      <c r="E251">
        <v>14</v>
      </c>
      <c r="F251">
        <v>81.92</v>
      </c>
      <c r="G251">
        <v>13.97</v>
      </c>
      <c r="H251">
        <v>4.1100000000000003</v>
      </c>
      <c r="I251">
        <v>0</v>
      </c>
      <c r="J251" s="1">
        <v>45928.066094571761</v>
      </c>
      <c r="K251" t="s">
        <v>618</v>
      </c>
      <c r="L251">
        <f>COUNTIF($A$2:A251,A251)</f>
        <v>11</v>
      </c>
    </row>
    <row r="252" spans="1:12" x14ac:dyDescent="0.3">
      <c r="A252">
        <v>12138</v>
      </c>
      <c r="B252" t="s">
        <v>549</v>
      </c>
      <c r="C252" t="s">
        <v>110</v>
      </c>
      <c r="D252" t="s">
        <v>111</v>
      </c>
      <c r="E252">
        <v>15</v>
      </c>
      <c r="F252">
        <v>81.64</v>
      </c>
      <c r="G252">
        <v>12.88</v>
      </c>
      <c r="H252">
        <v>5.48</v>
      </c>
      <c r="I252">
        <v>0</v>
      </c>
      <c r="J252" s="1">
        <v>45928.06617878472</v>
      </c>
      <c r="K252" t="s">
        <v>618</v>
      </c>
      <c r="L252">
        <f>COUNTIF($A$2:A252,A252)</f>
        <v>12</v>
      </c>
    </row>
    <row r="253" spans="1:12" x14ac:dyDescent="0.3">
      <c r="A253">
        <v>12138</v>
      </c>
      <c r="B253" t="s">
        <v>549</v>
      </c>
      <c r="C253" t="s">
        <v>599</v>
      </c>
      <c r="D253" t="s">
        <v>600</v>
      </c>
      <c r="E253">
        <v>18</v>
      </c>
      <c r="F253">
        <v>79.45</v>
      </c>
      <c r="G253">
        <v>18.899999999999999</v>
      </c>
      <c r="H253">
        <v>1.64</v>
      </c>
      <c r="I253">
        <v>0.01</v>
      </c>
      <c r="J253" s="1">
        <v>45928.065854907407</v>
      </c>
      <c r="K253" t="s">
        <v>618</v>
      </c>
      <c r="L253">
        <f>COUNTIF($A$2:A253,A253)</f>
        <v>13</v>
      </c>
    </row>
    <row r="254" spans="1:12" x14ac:dyDescent="0.3">
      <c r="A254">
        <v>12138</v>
      </c>
      <c r="B254" t="s">
        <v>549</v>
      </c>
      <c r="C254" t="s">
        <v>583</v>
      </c>
      <c r="D254" t="s">
        <v>584</v>
      </c>
      <c r="E254">
        <v>17</v>
      </c>
      <c r="F254">
        <v>76.44</v>
      </c>
      <c r="G254">
        <v>18.36</v>
      </c>
      <c r="H254">
        <v>5.21</v>
      </c>
      <c r="I254">
        <v>0</v>
      </c>
      <c r="J254" s="1">
        <v>45928.066138090275</v>
      </c>
      <c r="K254" t="s">
        <v>618</v>
      </c>
      <c r="L254">
        <f>COUNTIF($A$2:A254,A254)</f>
        <v>14</v>
      </c>
    </row>
    <row r="255" spans="1:12" x14ac:dyDescent="0.3">
      <c r="A255">
        <v>12138</v>
      </c>
      <c r="B255" t="s">
        <v>549</v>
      </c>
      <c r="C255" t="s">
        <v>589</v>
      </c>
      <c r="D255" t="s">
        <v>590</v>
      </c>
      <c r="E255">
        <v>15</v>
      </c>
      <c r="F255">
        <v>75.34</v>
      </c>
      <c r="G255">
        <v>20.27</v>
      </c>
      <c r="H255">
        <v>4.38</v>
      </c>
      <c r="I255">
        <v>0.01</v>
      </c>
      <c r="J255" s="1">
        <v>45928.066009652779</v>
      </c>
      <c r="K255" t="s">
        <v>618</v>
      </c>
      <c r="L255">
        <f>COUNTIF($A$2:A255,A255)</f>
        <v>15</v>
      </c>
    </row>
    <row r="256" spans="1:12" x14ac:dyDescent="0.3">
      <c r="A256">
        <v>12138</v>
      </c>
      <c r="B256" t="s">
        <v>549</v>
      </c>
      <c r="C256" t="s">
        <v>591</v>
      </c>
      <c r="D256" t="s">
        <v>592</v>
      </c>
      <c r="E256">
        <v>0</v>
      </c>
      <c r="F256">
        <v>73.150000000000006</v>
      </c>
      <c r="G256">
        <v>23.01</v>
      </c>
      <c r="H256">
        <v>3.84</v>
      </c>
      <c r="I256">
        <v>0</v>
      </c>
      <c r="J256" s="1">
        <v>45928.065992372685</v>
      </c>
      <c r="K256" t="s">
        <v>618</v>
      </c>
      <c r="L256">
        <f>COUNTIF($A$2:A256,A256)</f>
        <v>16</v>
      </c>
    </row>
    <row r="257" spans="1:12" x14ac:dyDescent="0.3">
      <c r="A257">
        <v>12138</v>
      </c>
      <c r="B257" t="s">
        <v>549</v>
      </c>
      <c r="C257" t="s">
        <v>612</v>
      </c>
      <c r="D257" t="s">
        <v>613</v>
      </c>
      <c r="E257">
        <v>16</v>
      </c>
      <c r="F257">
        <v>69.040000000000006</v>
      </c>
      <c r="G257">
        <v>30.41</v>
      </c>
      <c r="H257">
        <v>0.55000000000000004</v>
      </c>
      <c r="I257">
        <v>0</v>
      </c>
      <c r="J257" s="1">
        <v>45928.065604131945</v>
      </c>
      <c r="K257" t="s">
        <v>618</v>
      </c>
      <c r="L257">
        <f>COUNTIF($A$2:A257,A257)</f>
        <v>17</v>
      </c>
    </row>
    <row r="258" spans="1:12" x14ac:dyDescent="0.3">
      <c r="A258">
        <v>12138</v>
      </c>
      <c r="B258" t="s">
        <v>549</v>
      </c>
      <c r="C258" t="s">
        <v>321</v>
      </c>
      <c r="D258" t="s">
        <v>322</v>
      </c>
      <c r="E258">
        <v>23</v>
      </c>
      <c r="F258">
        <v>69.040000000000006</v>
      </c>
      <c r="G258">
        <v>20.82</v>
      </c>
      <c r="H258">
        <v>10.14</v>
      </c>
      <c r="I258">
        <v>0</v>
      </c>
      <c r="J258" s="1">
        <v>45928.066409594911</v>
      </c>
      <c r="K258" t="s">
        <v>618</v>
      </c>
      <c r="L258">
        <f>COUNTIF($A$2:A258,A258)</f>
        <v>18</v>
      </c>
    </row>
    <row r="259" spans="1:12" x14ac:dyDescent="0.3">
      <c r="A259">
        <v>12138</v>
      </c>
      <c r="B259" t="s">
        <v>549</v>
      </c>
      <c r="C259" t="s">
        <v>587</v>
      </c>
      <c r="D259" t="s">
        <v>588</v>
      </c>
      <c r="E259">
        <v>18</v>
      </c>
      <c r="F259">
        <v>67.400000000000006</v>
      </c>
      <c r="G259">
        <v>27.4</v>
      </c>
      <c r="H259">
        <v>5.21</v>
      </c>
      <c r="I259">
        <v>0</v>
      </c>
      <c r="J259" s="1">
        <v>45928.066053171293</v>
      </c>
      <c r="K259" t="s">
        <v>618</v>
      </c>
      <c r="L259">
        <f>COUNTIF($A$2:A259,A259)</f>
        <v>19</v>
      </c>
    </row>
    <row r="260" spans="1:12" x14ac:dyDescent="0.3">
      <c r="A260">
        <v>12138</v>
      </c>
      <c r="B260" t="s">
        <v>549</v>
      </c>
      <c r="C260" t="s">
        <v>281</v>
      </c>
      <c r="D260" t="s">
        <v>282</v>
      </c>
      <c r="E260">
        <v>25</v>
      </c>
      <c r="F260">
        <v>64.38</v>
      </c>
      <c r="G260">
        <v>22.19</v>
      </c>
      <c r="H260">
        <v>13.42</v>
      </c>
      <c r="I260">
        <v>0.01</v>
      </c>
      <c r="J260" s="1">
        <v>45928.066198912034</v>
      </c>
      <c r="K260" t="s">
        <v>618</v>
      </c>
      <c r="L260">
        <f>COUNTIF($A$2:A260,A260)</f>
        <v>20</v>
      </c>
    </row>
    <row r="261" spans="1:12" x14ac:dyDescent="0.3">
      <c r="A261">
        <v>12138</v>
      </c>
      <c r="B261" t="s">
        <v>549</v>
      </c>
      <c r="C261" t="s">
        <v>581</v>
      </c>
      <c r="D261" t="s">
        <v>582</v>
      </c>
      <c r="E261">
        <v>29</v>
      </c>
      <c r="F261">
        <v>63.56</v>
      </c>
      <c r="G261">
        <v>20</v>
      </c>
      <c r="H261">
        <v>16.440000000000001</v>
      </c>
      <c r="I261">
        <v>0</v>
      </c>
      <c r="J261" s="1">
        <v>45928.066243969908</v>
      </c>
      <c r="K261" t="s">
        <v>618</v>
      </c>
      <c r="L261">
        <f>COUNTIF($A$2:A261,A261)</f>
        <v>21</v>
      </c>
    </row>
    <row r="262" spans="1:12" x14ac:dyDescent="0.3">
      <c r="A262">
        <v>12138</v>
      </c>
      <c r="B262" t="s">
        <v>549</v>
      </c>
      <c r="C262" t="s">
        <v>102</v>
      </c>
      <c r="D262" t="s">
        <v>103</v>
      </c>
      <c r="E262">
        <v>27</v>
      </c>
      <c r="F262">
        <v>63.56</v>
      </c>
      <c r="G262">
        <v>25.21</v>
      </c>
      <c r="H262">
        <v>10.96</v>
      </c>
      <c r="I262">
        <v>0.27</v>
      </c>
      <c r="J262" s="1">
        <v>45928.066493240738</v>
      </c>
      <c r="K262" t="s">
        <v>618</v>
      </c>
      <c r="L262">
        <f>COUNTIF($A$2:A262,A262)</f>
        <v>22</v>
      </c>
    </row>
    <row r="263" spans="1:12" x14ac:dyDescent="0.3">
      <c r="A263">
        <v>12138</v>
      </c>
      <c r="B263" t="s">
        <v>549</v>
      </c>
      <c r="C263" t="s">
        <v>277</v>
      </c>
      <c r="D263" t="s">
        <v>278</v>
      </c>
      <c r="E263">
        <v>34</v>
      </c>
      <c r="F263">
        <v>63.01</v>
      </c>
      <c r="G263">
        <v>21.64</v>
      </c>
      <c r="H263">
        <v>15.34</v>
      </c>
      <c r="I263">
        <v>0.01</v>
      </c>
      <c r="J263" s="1">
        <v>45928.066552962962</v>
      </c>
      <c r="K263" t="s">
        <v>618</v>
      </c>
      <c r="L263">
        <f>COUNTIF($A$2:A263,A263)</f>
        <v>23</v>
      </c>
    </row>
    <row r="264" spans="1:12" x14ac:dyDescent="0.3">
      <c r="A264">
        <v>12138</v>
      </c>
      <c r="B264" t="s">
        <v>549</v>
      </c>
      <c r="C264" t="s">
        <v>559</v>
      </c>
      <c r="D264" t="s">
        <v>560</v>
      </c>
      <c r="E264">
        <v>39</v>
      </c>
      <c r="F264">
        <v>61.37</v>
      </c>
      <c r="G264">
        <v>17.53</v>
      </c>
      <c r="H264">
        <v>21.1</v>
      </c>
      <c r="I264">
        <v>0</v>
      </c>
      <c r="J264" s="1">
        <v>45928.066881562503</v>
      </c>
      <c r="K264" t="s">
        <v>618</v>
      </c>
      <c r="L264">
        <f>COUNTIF($A$2:A264,A264)</f>
        <v>24</v>
      </c>
    </row>
    <row r="265" spans="1:12" x14ac:dyDescent="0.3">
      <c r="A265">
        <v>12138</v>
      </c>
      <c r="B265" t="s">
        <v>549</v>
      </c>
      <c r="C265" t="s">
        <v>379</v>
      </c>
      <c r="D265" t="s">
        <v>380</v>
      </c>
      <c r="E265">
        <v>36</v>
      </c>
      <c r="F265">
        <v>61.37</v>
      </c>
      <c r="G265">
        <v>17.809999999999999</v>
      </c>
      <c r="H265">
        <v>19.73</v>
      </c>
      <c r="I265">
        <v>1.0900000000000001</v>
      </c>
      <c r="J265" s="1">
        <v>45928.067200590274</v>
      </c>
      <c r="K265" t="s">
        <v>618</v>
      </c>
      <c r="L265">
        <f>COUNTIF($A$2:A265,A265)</f>
        <v>25</v>
      </c>
    </row>
    <row r="266" spans="1:12" x14ac:dyDescent="0.3">
      <c r="A266">
        <v>12138</v>
      </c>
      <c r="B266" t="s">
        <v>549</v>
      </c>
      <c r="C266" t="s">
        <v>593</v>
      </c>
      <c r="D266" t="s">
        <v>594</v>
      </c>
      <c r="E266">
        <v>21</v>
      </c>
      <c r="F266">
        <v>57.81</v>
      </c>
      <c r="G266">
        <v>38.9</v>
      </c>
      <c r="H266">
        <v>3.29</v>
      </c>
      <c r="I266">
        <v>0</v>
      </c>
      <c r="J266" s="1">
        <v>45928.065958368054</v>
      </c>
      <c r="K266" t="s">
        <v>618</v>
      </c>
      <c r="L266">
        <f>COUNTIF($A$2:A266,A266)</f>
        <v>26</v>
      </c>
    </row>
    <row r="267" spans="1:12" x14ac:dyDescent="0.3">
      <c r="A267">
        <v>12138</v>
      </c>
      <c r="B267" t="s">
        <v>549</v>
      </c>
      <c r="C267" t="s">
        <v>323</v>
      </c>
      <c r="D267" t="s">
        <v>324</v>
      </c>
      <c r="E267">
        <v>27</v>
      </c>
      <c r="F267">
        <v>56.71</v>
      </c>
      <c r="G267">
        <v>33.700000000000003</v>
      </c>
      <c r="H267">
        <v>9.59</v>
      </c>
      <c r="I267">
        <v>0</v>
      </c>
      <c r="J267" s="1">
        <v>45928.066366701387</v>
      </c>
      <c r="K267" t="s">
        <v>618</v>
      </c>
      <c r="L267">
        <f>COUNTIF($A$2:A267,A267)</f>
        <v>27</v>
      </c>
    </row>
    <row r="268" spans="1:12" x14ac:dyDescent="0.3">
      <c r="A268">
        <v>12138</v>
      </c>
      <c r="B268" t="s">
        <v>549</v>
      </c>
      <c r="C268" t="s">
        <v>557</v>
      </c>
      <c r="D268" t="s">
        <v>558</v>
      </c>
      <c r="E268">
        <v>0</v>
      </c>
      <c r="F268">
        <v>56.44</v>
      </c>
      <c r="G268">
        <v>21.92</v>
      </c>
      <c r="H268">
        <v>21.64</v>
      </c>
      <c r="I268">
        <v>0</v>
      </c>
      <c r="J268" s="1">
        <v>45928.066915532407</v>
      </c>
      <c r="K268" t="s">
        <v>618</v>
      </c>
      <c r="L268">
        <f>COUNTIF($A$2:A268,A268)</f>
        <v>28</v>
      </c>
    </row>
    <row r="269" spans="1:12" x14ac:dyDescent="0.3">
      <c r="A269">
        <v>12138</v>
      </c>
      <c r="B269" t="s">
        <v>549</v>
      </c>
      <c r="C269" t="s">
        <v>104</v>
      </c>
      <c r="D269" t="s">
        <v>105</v>
      </c>
      <c r="E269">
        <v>0</v>
      </c>
      <c r="F269">
        <v>52.05</v>
      </c>
      <c r="G269">
        <v>36.44</v>
      </c>
      <c r="H269">
        <v>11.51</v>
      </c>
      <c r="I269">
        <v>0</v>
      </c>
      <c r="J269" s="1">
        <v>45928.06643900463</v>
      </c>
      <c r="K269" t="s">
        <v>618</v>
      </c>
      <c r="L269">
        <f>COUNTIF($A$2:A269,A269)</f>
        <v>29</v>
      </c>
    </row>
    <row r="270" spans="1:12" x14ac:dyDescent="0.3">
      <c r="A270">
        <v>12138</v>
      </c>
      <c r="B270" t="s">
        <v>549</v>
      </c>
      <c r="C270" t="s">
        <v>573</v>
      </c>
      <c r="D270" t="s">
        <v>574</v>
      </c>
      <c r="E270">
        <v>33</v>
      </c>
      <c r="F270">
        <v>48.77</v>
      </c>
      <c r="G270">
        <v>38.36</v>
      </c>
      <c r="H270">
        <v>12.6</v>
      </c>
      <c r="I270">
        <v>0.27</v>
      </c>
      <c r="J270" s="1">
        <v>45928.066511759258</v>
      </c>
      <c r="K270" t="s">
        <v>618</v>
      </c>
      <c r="L270">
        <f>COUNTIF($A$2:A270,A270)</f>
        <v>30</v>
      </c>
    </row>
    <row r="271" spans="1:12" x14ac:dyDescent="0.3">
      <c r="A271">
        <v>12138</v>
      </c>
      <c r="B271" t="s">
        <v>549</v>
      </c>
      <c r="C271" t="s">
        <v>386</v>
      </c>
      <c r="D271" t="s">
        <v>387</v>
      </c>
      <c r="E271">
        <v>47</v>
      </c>
      <c r="F271">
        <v>41.92</v>
      </c>
      <c r="G271">
        <v>37.53</v>
      </c>
      <c r="H271">
        <v>20.55</v>
      </c>
      <c r="I271">
        <v>0</v>
      </c>
      <c r="J271" s="1">
        <v>45928.06713614583</v>
      </c>
      <c r="K271" t="s">
        <v>618</v>
      </c>
      <c r="L271">
        <f>COUNTIF($A$2:A271,A271)</f>
        <v>31</v>
      </c>
    </row>
    <row r="272" spans="1:12" x14ac:dyDescent="0.3">
      <c r="A272">
        <v>12138</v>
      </c>
      <c r="B272" t="s">
        <v>549</v>
      </c>
      <c r="C272" t="s">
        <v>577</v>
      </c>
      <c r="D272" t="s">
        <v>578</v>
      </c>
      <c r="E272">
        <v>37</v>
      </c>
      <c r="F272">
        <v>38.630000000000003</v>
      </c>
      <c r="G272">
        <v>47.95</v>
      </c>
      <c r="H272">
        <v>13.15</v>
      </c>
      <c r="I272">
        <v>0.27</v>
      </c>
      <c r="J272" s="1">
        <v>45928.066458576388</v>
      </c>
      <c r="K272" t="s">
        <v>618</v>
      </c>
      <c r="L272">
        <f>COUNTIF($A$2:A272,A272)</f>
        <v>32</v>
      </c>
    </row>
    <row r="273" spans="1:12" x14ac:dyDescent="0.3">
      <c r="A273">
        <v>12138</v>
      </c>
      <c r="B273" t="s">
        <v>549</v>
      </c>
      <c r="C273" t="s">
        <v>100</v>
      </c>
      <c r="D273" t="s">
        <v>101</v>
      </c>
      <c r="E273">
        <v>0</v>
      </c>
      <c r="F273">
        <v>38.36</v>
      </c>
      <c r="G273">
        <v>41.64</v>
      </c>
      <c r="H273">
        <v>20</v>
      </c>
      <c r="I273">
        <v>0</v>
      </c>
      <c r="J273" s="1">
        <v>45928.066622233797</v>
      </c>
      <c r="K273" t="s">
        <v>618</v>
      </c>
      <c r="L273">
        <f>COUNTIF($A$2:A273,A273)</f>
        <v>33</v>
      </c>
    </row>
    <row r="274" spans="1:12" x14ac:dyDescent="0.3">
      <c r="A274">
        <v>12138</v>
      </c>
      <c r="B274" t="s">
        <v>549</v>
      </c>
      <c r="C274" t="s">
        <v>316</v>
      </c>
      <c r="D274" t="s">
        <v>317</v>
      </c>
      <c r="E274">
        <v>46</v>
      </c>
      <c r="F274">
        <v>37.26</v>
      </c>
      <c r="G274">
        <v>40</v>
      </c>
      <c r="H274">
        <v>22.74</v>
      </c>
      <c r="I274">
        <v>0</v>
      </c>
      <c r="J274" s="1">
        <v>45928.066664675927</v>
      </c>
      <c r="K274" t="s">
        <v>618</v>
      </c>
      <c r="L274">
        <f>COUNTIF($A$2:A274,A274)</f>
        <v>34</v>
      </c>
    </row>
    <row r="275" spans="1:12" x14ac:dyDescent="0.3">
      <c r="A275">
        <v>12138</v>
      </c>
      <c r="B275" t="s">
        <v>549</v>
      </c>
      <c r="C275" t="s">
        <v>571</v>
      </c>
      <c r="D275" t="s">
        <v>572</v>
      </c>
      <c r="E275">
        <v>43</v>
      </c>
      <c r="F275">
        <v>35.89</v>
      </c>
      <c r="G275">
        <v>45.75</v>
      </c>
      <c r="H275">
        <v>18.36</v>
      </c>
      <c r="I275">
        <v>0</v>
      </c>
      <c r="J275" s="1">
        <v>45928.066568321759</v>
      </c>
      <c r="K275" t="s">
        <v>618</v>
      </c>
      <c r="L275">
        <f>COUNTIF($A$2:A275,A275)</f>
        <v>35</v>
      </c>
    </row>
    <row r="276" spans="1:12" x14ac:dyDescent="0.3">
      <c r="A276">
        <v>12138</v>
      </c>
      <c r="B276" t="s">
        <v>549</v>
      </c>
      <c r="C276" t="s">
        <v>553</v>
      </c>
      <c r="D276" t="s">
        <v>554</v>
      </c>
      <c r="E276">
        <v>49</v>
      </c>
      <c r="F276">
        <v>35.619999999999997</v>
      </c>
      <c r="G276">
        <v>43.29</v>
      </c>
      <c r="H276">
        <v>21.1</v>
      </c>
      <c r="I276">
        <v>0</v>
      </c>
      <c r="J276" s="1">
        <v>45928.067001863426</v>
      </c>
      <c r="K276" t="s">
        <v>618</v>
      </c>
      <c r="L276">
        <f>COUNTIF($A$2:A276,A276)</f>
        <v>36</v>
      </c>
    </row>
    <row r="277" spans="1:12" x14ac:dyDescent="0.3">
      <c r="A277">
        <v>12138</v>
      </c>
      <c r="B277" t="s">
        <v>549</v>
      </c>
      <c r="C277" t="s">
        <v>567</v>
      </c>
      <c r="D277" t="s">
        <v>568</v>
      </c>
      <c r="E277">
        <v>49</v>
      </c>
      <c r="F277">
        <v>32.880000000000003</v>
      </c>
      <c r="G277">
        <v>42.19</v>
      </c>
      <c r="H277">
        <v>24.93</v>
      </c>
      <c r="I277">
        <v>0</v>
      </c>
      <c r="J277" s="1">
        <v>45928.06670909722</v>
      </c>
      <c r="K277" t="s">
        <v>618</v>
      </c>
      <c r="L277">
        <f>COUNTIF($A$2:A277,A277)</f>
        <v>37</v>
      </c>
    </row>
    <row r="278" spans="1:12" x14ac:dyDescent="0.3">
      <c r="A278">
        <v>12138</v>
      </c>
      <c r="B278" t="s">
        <v>549</v>
      </c>
      <c r="C278" t="s">
        <v>98</v>
      </c>
      <c r="D278" t="s">
        <v>99</v>
      </c>
      <c r="E278">
        <v>50</v>
      </c>
      <c r="F278">
        <v>29.86</v>
      </c>
      <c r="G278">
        <v>46.3</v>
      </c>
      <c r="H278">
        <v>23.84</v>
      </c>
      <c r="I278">
        <v>0</v>
      </c>
      <c r="J278" s="1">
        <v>45928.066753923609</v>
      </c>
      <c r="K278" t="s">
        <v>618</v>
      </c>
      <c r="L278">
        <f>COUNTIF($A$2:A278,A278)</f>
        <v>38</v>
      </c>
    </row>
    <row r="279" spans="1:12" x14ac:dyDescent="0.3">
      <c r="A279">
        <v>12138</v>
      </c>
      <c r="B279" t="s">
        <v>549</v>
      </c>
      <c r="C279" t="s">
        <v>382</v>
      </c>
      <c r="D279" t="s">
        <v>383</v>
      </c>
      <c r="E279">
        <v>51</v>
      </c>
      <c r="F279">
        <v>29.86</v>
      </c>
      <c r="G279">
        <v>48.77</v>
      </c>
      <c r="H279">
        <v>21.37</v>
      </c>
      <c r="I279">
        <v>0</v>
      </c>
      <c r="J279" s="1">
        <v>45928.067180358797</v>
      </c>
      <c r="K279" t="s">
        <v>618</v>
      </c>
      <c r="L279">
        <f>COUNTIF($A$2:A279,A279)</f>
        <v>39</v>
      </c>
    </row>
    <row r="280" spans="1:12" x14ac:dyDescent="0.3">
      <c r="A280">
        <v>12138</v>
      </c>
      <c r="B280" t="s">
        <v>549</v>
      </c>
      <c r="C280" t="s">
        <v>555</v>
      </c>
      <c r="D280" t="s">
        <v>556</v>
      </c>
      <c r="E280">
        <v>52</v>
      </c>
      <c r="F280">
        <v>28.49</v>
      </c>
      <c r="G280">
        <v>49.32</v>
      </c>
      <c r="H280">
        <v>22.19</v>
      </c>
      <c r="I280">
        <v>0</v>
      </c>
      <c r="J280" s="1">
        <v>45928.066957256946</v>
      </c>
      <c r="K280" t="s">
        <v>618</v>
      </c>
      <c r="L280">
        <f>COUNTIF($A$2:A280,A280)</f>
        <v>40</v>
      </c>
    </row>
    <row r="281" spans="1:12" x14ac:dyDescent="0.3">
      <c r="A281">
        <v>12138</v>
      </c>
      <c r="B281" t="s">
        <v>549</v>
      </c>
      <c r="C281" t="s">
        <v>319</v>
      </c>
      <c r="D281" t="s">
        <v>320</v>
      </c>
      <c r="E281">
        <v>43</v>
      </c>
      <c r="F281">
        <v>22.47</v>
      </c>
      <c r="G281">
        <v>61.37</v>
      </c>
      <c r="H281">
        <v>15.89</v>
      </c>
      <c r="I281">
        <v>0.27</v>
      </c>
      <c r="J281" s="1">
        <v>45928.066533020836</v>
      </c>
      <c r="K281" t="s">
        <v>618</v>
      </c>
      <c r="L281">
        <f>COUNTIF($A$2:A281,A281)</f>
        <v>41</v>
      </c>
    </row>
    <row r="282" spans="1:12" x14ac:dyDescent="0.3">
      <c r="A282">
        <v>12138</v>
      </c>
      <c r="B282" t="s">
        <v>549</v>
      </c>
      <c r="C282" t="s">
        <v>551</v>
      </c>
      <c r="D282" t="s">
        <v>552</v>
      </c>
      <c r="E282">
        <v>57</v>
      </c>
      <c r="F282">
        <v>20</v>
      </c>
      <c r="G282">
        <v>55.89</v>
      </c>
      <c r="H282">
        <v>24.11</v>
      </c>
      <c r="I282">
        <v>0</v>
      </c>
      <c r="J282" s="1">
        <v>45928.067025300923</v>
      </c>
      <c r="K282" t="s">
        <v>618</v>
      </c>
      <c r="L282">
        <f>COUNTIF($A$2:A282,A282)</f>
        <v>42</v>
      </c>
    </row>
    <row r="283" spans="1:12" x14ac:dyDescent="0.3">
      <c r="A283">
        <v>12138</v>
      </c>
      <c r="B283" t="s">
        <v>549</v>
      </c>
      <c r="C283" t="s">
        <v>569</v>
      </c>
      <c r="D283" t="s">
        <v>570</v>
      </c>
      <c r="E283">
        <v>51</v>
      </c>
      <c r="F283">
        <v>14.79</v>
      </c>
      <c r="G283">
        <v>64.38</v>
      </c>
      <c r="H283">
        <v>20.82</v>
      </c>
      <c r="I283">
        <v>0.01</v>
      </c>
      <c r="J283" s="1">
        <v>45928.06658604167</v>
      </c>
      <c r="K283" t="s">
        <v>618</v>
      </c>
      <c r="L283">
        <f>COUNTIF($A$2:A283,A283)</f>
        <v>43</v>
      </c>
    </row>
    <row r="284" spans="1:12" x14ac:dyDescent="0.3">
      <c r="A284">
        <v>12138</v>
      </c>
      <c r="B284" t="s">
        <v>549</v>
      </c>
      <c r="C284" t="s">
        <v>279</v>
      </c>
      <c r="D284" t="s">
        <v>280</v>
      </c>
      <c r="E284">
        <v>42</v>
      </c>
      <c r="F284">
        <v>14.52</v>
      </c>
      <c r="G284">
        <v>67.400000000000006</v>
      </c>
      <c r="H284">
        <v>18.079999999999998</v>
      </c>
      <c r="I284">
        <v>0</v>
      </c>
      <c r="J284" s="1">
        <v>45928.066261689812</v>
      </c>
      <c r="K284" t="s">
        <v>618</v>
      </c>
      <c r="L284">
        <f>COUNTIF($A$2:A284,A284)</f>
        <v>44</v>
      </c>
    </row>
    <row r="285" spans="1:12" x14ac:dyDescent="0.3">
      <c r="A285">
        <v>12138</v>
      </c>
      <c r="B285" t="s">
        <v>549</v>
      </c>
      <c r="C285" t="s">
        <v>392</v>
      </c>
      <c r="D285" t="s">
        <v>393</v>
      </c>
      <c r="E285">
        <v>62</v>
      </c>
      <c r="F285">
        <v>10.41</v>
      </c>
      <c r="G285">
        <v>63.56</v>
      </c>
      <c r="H285">
        <v>26.03</v>
      </c>
      <c r="I285">
        <v>0</v>
      </c>
      <c r="J285" s="1">
        <v>45928.067093773148</v>
      </c>
      <c r="K285" t="s">
        <v>618</v>
      </c>
      <c r="L285">
        <f>COUNTIF($A$2:A285,A285)</f>
        <v>45</v>
      </c>
    </row>
    <row r="286" spans="1:12" x14ac:dyDescent="0.3">
      <c r="A286">
        <v>12138</v>
      </c>
      <c r="B286" t="s">
        <v>549</v>
      </c>
      <c r="C286" t="s">
        <v>394</v>
      </c>
      <c r="D286" t="s">
        <v>395</v>
      </c>
      <c r="E286">
        <v>65</v>
      </c>
      <c r="F286">
        <v>8.77</v>
      </c>
      <c r="G286">
        <v>64.66</v>
      </c>
      <c r="H286">
        <v>26.58</v>
      </c>
      <c r="I286">
        <v>0</v>
      </c>
      <c r="J286" s="1">
        <v>45928.067072187499</v>
      </c>
      <c r="K286" t="s">
        <v>618</v>
      </c>
      <c r="L286">
        <f>COUNTIF($A$2:A286,A286)</f>
        <v>46</v>
      </c>
    </row>
    <row r="287" spans="1:12" x14ac:dyDescent="0.3">
      <c r="A287">
        <v>12138</v>
      </c>
      <c r="B287" t="s">
        <v>549</v>
      </c>
      <c r="C287" t="s">
        <v>575</v>
      </c>
      <c r="D287" t="s">
        <v>576</v>
      </c>
      <c r="E287">
        <v>48</v>
      </c>
      <c r="F287">
        <v>6.85</v>
      </c>
      <c r="G287">
        <v>75.89</v>
      </c>
      <c r="H287">
        <v>16.989999999999998</v>
      </c>
      <c r="I287">
        <v>0.27</v>
      </c>
      <c r="J287" s="1">
        <v>45928.066476550928</v>
      </c>
      <c r="K287" t="s">
        <v>618</v>
      </c>
      <c r="L287">
        <f>COUNTIF($A$2:A287,A287)</f>
        <v>47</v>
      </c>
    </row>
    <row r="288" spans="1:12" x14ac:dyDescent="0.3">
      <c r="A288">
        <v>12138</v>
      </c>
      <c r="B288" t="s">
        <v>549</v>
      </c>
      <c r="C288" t="s">
        <v>565</v>
      </c>
      <c r="D288" t="s">
        <v>566</v>
      </c>
      <c r="E288">
        <v>61</v>
      </c>
      <c r="F288">
        <v>5.21</v>
      </c>
      <c r="G288">
        <v>67.400000000000006</v>
      </c>
      <c r="H288">
        <v>27.4</v>
      </c>
      <c r="I288">
        <v>0</v>
      </c>
      <c r="J288" s="1">
        <v>45928.06679759259</v>
      </c>
      <c r="K288" t="s">
        <v>618</v>
      </c>
      <c r="L288">
        <f>COUNTIF($A$2:A288,A288)</f>
        <v>48</v>
      </c>
    </row>
    <row r="289" spans="1:12" x14ac:dyDescent="0.3">
      <c r="A289">
        <v>12138</v>
      </c>
      <c r="B289" t="s">
        <v>549</v>
      </c>
      <c r="C289" t="s">
        <v>106</v>
      </c>
      <c r="D289" t="s">
        <v>107</v>
      </c>
      <c r="E289">
        <v>48</v>
      </c>
      <c r="F289">
        <v>1.64</v>
      </c>
      <c r="G289">
        <v>80</v>
      </c>
      <c r="H289">
        <v>18.36</v>
      </c>
      <c r="I289">
        <v>0</v>
      </c>
      <c r="J289" s="1">
        <v>45928.066326111111</v>
      </c>
      <c r="K289" t="s">
        <v>618</v>
      </c>
      <c r="L289">
        <f>COUNTIF($A$2:A289,A289)</f>
        <v>49</v>
      </c>
    </row>
    <row r="290" spans="1:12" x14ac:dyDescent="0.3">
      <c r="A290">
        <v>12138</v>
      </c>
      <c r="B290" t="s">
        <v>549</v>
      </c>
      <c r="C290" t="s">
        <v>563</v>
      </c>
      <c r="D290" t="s">
        <v>564</v>
      </c>
      <c r="E290">
        <v>70</v>
      </c>
      <c r="F290">
        <v>1.1000000000000001</v>
      </c>
      <c r="G290">
        <v>66.849999999999994</v>
      </c>
      <c r="H290">
        <v>32.049999999999997</v>
      </c>
      <c r="I290">
        <v>0</v>
      </c>
      <c r="J290" s="1">
        <v>45928.066843125001</v>
      </c>
      <c r="K290" t="s">
        <v>618</v>
      </c>
      <c r="L290">
        <f>COUNTIF($A$2:A290,A290)</f>
        <v>50</v>
      </c>
    </row>
    <row r="291" spans="1:12" x14ac:dyDescent="0.3">
      <c r="A291">
        <v>12138</v>
      </c>
      <c r="B291" t="s">
        <v>549</v>
      </c>
      <c r="C291" t="s">
        <v>579</v>
      </c>
      <c r="D291" t="s">
        <v>580</v>
      </c>
      <c r="E291">
        <v>54</v>
      </c>
      <c r="F291">
        <v>0.55000000000000004</v>
      </c>
      <c r="G291">
        <v>78.08</v>
      </c>
      <c r="H291">
        <v>21.37</v>
      </c>
      <c r="I291">
        <v>0</v>
      </c>
      <c r="J291" s="1">
        <v>45928.066305787041</v>
      </c>
      <c r="K291" t="s">
        <v>618</v>
      </c>
      <c r="L291">
        <f>COUNTIF($A$2:A291,A291)</f>
        <v>51</v>
      </c>
    </row>
    <row r="292" spans="1:12" x14ac:dyDescent="0.3">
      <c r="A292">
        <v>12138</v>
      </c>
      <c r="B292" t="s">
        <v>549</v>
      </c>
      <c r="C292" t="s">
        <v>561</v>
      </c>
      <c r="D292" t="s">
        <v>562</v>
      </c>
      <c r="E292">
        <v>75</v>
      </c>
      <c r="F292">
        <v>0</v>
      </c>
      <c r="G292">
        <v>63.29</v>
      </c>
      <c r="H292">
        <v>36.71</v>
      </c>
      <c r="I292">
        <v>0</v>
      </c>
      <c r="J292" s="1">
        <v>45928.066864074077</v>
      </c>
      <c r="K292" t="s">
        <v>618</v>
      </c>
      <c r="L292">
        <f>COUNTIF($A$2:A292,A292)</f>
        <v>52</v>
      </c>
    </row>
    <row r="293" spans="1:12" x14ac:dyDescent="0.3">
      <c r="A293">
        <v>12163</v>
      </c>
      <c r="B293" t="s">
        <v>464</v>
      </c>
      <c r="C293" t="s">
        <v>384</v>
      </c>
      <c r="D293" t="s">
        <v>385</v>
      </c>
      <c r="E293">
        <v>11</v>
      </c>
      <c r="F293">
        <v>90.14</v>
      </c>
      <c r="G293">
        <v>6.85</v>
      </c>
      <c r="H293">
        <v>3.01</v>
      </c>
      <c r="I293">
        <v>0</v>
      </c>
      <c r="J293" s="1">
        <v>45927.790979895835</v>
      </c>
      <c r="K293" t="s">
        <v>467</v>
      </c>
      <c r="L293">
        <f>COUNTIF($A$2:A293,A293)</f>
        <v>1</v>
      </c>
    </row>
    <row r="294" spans="1:12" x14ac:dyDescent="0.3">
      <c r="A294">
        <v>12163</v>
      </c>
      <c r="B294" t="s">
        <v>464</v>
      </c>
      <c r="C294" t="s">
        <v>12</v>
      </c>
      <c r="D294" t="s">
        <v>13</v>
      </c>
      <c r="E294">
        <v>6</v>
      </c>
      <c r="F294">
        <v>89.59</v>
      </c>
      <c r="G294">
        <v>4.93</v>
      </c>
      <c r="H294">
        <v>4.93</v>
      </c>
      <c r="I294">
        <v>0.55000000000000004</v>
      </c>
      <c r="J294" s="1">
        <v>45927.79183130787</v>
      </c>
      <c r="K294" t="s">
        <v>467</v>
      </c>
      <c r="L294">
        <f>COUNTIF($A$2:A294,A294)</f>
        <v>2</v>
      </c>
    </row>
    <row r="295" spans="1:12" x14ac:dyDescent="0.3">
      <c r="A295">
        <v>12163</v>
      </c>
      <c r="B295" t="s">
        <v>464</v>
      </c>
      <c r="C295" t="s">
        <v>465</v>
      </c>
      <c r="D295" t="s">
        <v>466</v>
      </c>
      <c r="E295">
        <v>12</v>
      </c>
      <c r="F295">
        <v>89.32</v>
      </c>
      <c r="G295">
        <v>7.4</v>
      </c>
      <c r="H295">
        <v>3.29</v>
      </c>
      <c r="I295">
        <v>0</v>
      </c>
      <c r="J295" s="1">
        <v>45927.790963495368</v>
      </c>
      <c r="K295" t="s">
        <v>467</v>
      </c>
      <c r="L295">
        <f>COUNTIF($A$2:A295,A295)</f>
        <v>3</v>
      </c>
    </row>
    <row r="296" spans="1:12" x14ac:dyDescent="0.3">
      <c r="A296">
        <v>12163</v>
      </c>
      <c r="B296" t="s">
        <v>464</v>
      </c>
      <c r="C296" t="s">
        <v>275</v>
      </c>
      <c r="D296" t="s">
        <v>276</v>
      </c>
      <c r="E296">
        <v>18</v>
      </c>
      <c r="F296">
        <v>73.97</v>
      </c>
      <c r="G296">
        <v>20.27</v>
      </c>
      <c r="H296">
        <v>5.75</v>
      </c>
      <c r="I296">
        <v>0.01</v>
      </c>
      <c r="J296" s="1">
        <v>45927.791689687503</v>
      </c>
      <c r="K296" t="s">
        <v>467</v>
      </c>
      <c r="L296">
        <f>COUNTIF($A$2:A296,A296)</f>
        <v>4</v>
      </c>
    </row>
    <row r="297" spans="1:12" x14ac:dyDescent="0.3">
      <c r="A297">
        <v>12163</v>
      </c>
      <c r="B297" t="s">
        <v>464</v>
      </c>
      <c r="C297" t="s">
        <v>476</v>
      </c>
      <c r="D297" t="s">
        <v>476</v>
      </c>
      <c r="E297">
        <v>18</v>
      </c>
      <c r="F297">
        <v>71.510000000000005</v>
      </c>
      <c r="G297">
        <v>22.19</v>
      </c>
      <c r="H297">
        <v>6.3</v>
      </c>
      <c r="I297">
        <v>0</v>
      </c>
      <c r="J297" s="1">
        <v>45927.791193865742</v>
      </c>
      <c r="K297" t="s">
        <v>467</v>
      </c>
      <c r="L297">
        <f>COUNTIF($A$2:A297,A297)</f>
        <v>5</v>
      </c>
    </row>
    <row r="298" spans="1:12" x14ac:dyDescent="0.3">
      <c r="A298">
        <v>12163</v>
      </c>
      <c r="B298" t="s">
        <v>464</v>
      </c>
      <c r="C298" t="s">
        <v>501</v>
      </c>
      <c r="D298" t="s">
        <v>502</v>
      </c>
      <c r="E298">
        <v>19</v>
      </c>
      <c r="F298">
        <v>70.14</v>
      </c>
      <c r="G298">
        <v>24.11</v>
      </c>
      <c r="H298">
        <v>5.75</v>
      </c>
      <c r="I298">
        <v>0</v>
      </c>
      <c r="J298" s="1">
        <v>45927.791706041666</v>
      </c>
      <c r="K298" t="s">
        <v>467</v>
      </c>
      <c r="L298">
        <f>COUNTIF($A$2:A298,A298)</f>
        <v>6</v>
      </c>
    </row>
    <row r="299" spans="1:12" x14ac:dyDescent="0.3">
      <c r="A299">
        <v>12163</v>
      </c>
      <c r="B299" t="s">
        <v>464</v>
      </c>
      <c r="C299" t="s">
        <v>503</v>
      </c>
      <c r="D299" t="s">
        <v>504</v>
      </c>
      <c r="E299">
        <v>18</v>
      </c>
      <c r="F299">
        <v>69.86</v>
      </c>
      <c r="G299">
        <v>24.11</v>
      </c>
      <c r="H299">
        <v>6.03</v>
      </c>
      <c r="I299">
        <v>0</v>
      </c>
      <c r="J299" s="1">
        <v>45927.791746967596</v>
      </c>
      <c r="K299" t="s">
        <v>467</v>
      </c>
      <c r="L299">
        <f>COUNTIF($A$2:A299,A299)</f>
        <v>7</v>
      </c>
    </row>
    <row r="300" spans="1:12" x14ac:dyDescent="0.3">
      <c r="A300">
        <v>12163</v>
      </c>
      <c r="B300" t="s">
        <v>464</v>
      </c>
      <c r="C300" t="s">
        <v>495</v>
      </c>
      <c r="D300" t="s">
        <v>496</v>
      </c>
      <c r="E300">
        <v>22</v>
      </c>
      <c r="F300">
        <v>60</v>
      </c>
      <c r="G300">
        <v>33.15</v>
      </c>
      <c r="H300">
        <v>6.85</v>
      </c>
      <c r="I300">
        <v>0</v>
      </c>
      <c r="J300" s="1">
        <v>45927.791610138891</v>
      </c>
      <c r="K300" t="s">
        <v>467</v>
      </c>
      <c r="L300">
        <f>COUNTIF($A$2:A300,A300)</f>
        <v>8</v>
      </c>
    </row>
    <row r="301" spans="1:12" x14ac:dyDescent="0.3">
      <c r="A301">
        <v>12163</v>
      </c>
      <c r="B301" t="s">
        <v>464</v>
      </c>
      <c r="C301" t="s">
        <v>477</v>
      </c>
      <c r="D301" t="s">
        <v>478</v>
      </c>
      <c r="E301">
        <v>23</v>
      </c>
      <c r="F301">
        <v>59.18</v>
      </c>
      <c r="G301">
        <v>33.97</v>
      </c>
      <c r="H301">
        <v>6.85</v>
      </c>
      <c r="I301">
        <v>0</v>
      </c>
      <c r="J301" s="1">
        <v>45927.791236134261</v>
      </c>
      <c r="K301" t="s">
        <v>467</v>
      </c>
      <c r="L301">
        <f>COUNTIF($A$2:A301,A301)</f>
        <v>9</v>
      </c>
    </row>
    <row r="302" spans="1:12" x14ac:dyDescent="0.3">
      <c r="A302">
        <v>12163</v>
      </c>
      <c r="B302" t="s">
        <v>464</v>
      </c>
      <c r="C302" t="s">
        <v>491</v>
      </c>
      <c r="D302" t="s">
        <v>492</v>
      </c>
      <c r="E302">
        <v>23</v>
      </c>
      <c r="F302">
        <v>59.18</v>
      </c>
      <c r="G302">
        <v>33.700000000000003</v>
      </c>
      <c r="H302">
        <v>7.12</v>
      </c>
      <c r="I302">
        <v>0</v>
      </c>
      <c r="J302" s="1">
        <v>45927.791524432869</v>
      </c>
      <c r="K302" t="s">
        <v>467</v>
      </c>
      <c r="L302">
        <f>COUNTIF($A$2:A302,A302)</f>
        <v>10</v>
      </c>
    </row>
    <row r="303" spans="1:12" x14ac:dyDescent="0.3">
      <c r="A303">
        <v>12163</v>
      </c>
      <c r="B303" t="s">
        <v>464</v>
      </c>
      <c r="C303" t="s">
        <v>489</v>
      </c>
      <c r="D303" t="s">
        <v>490</v>
      </c>
      <c r="E303">
        <v>25</v>
      </c>
      <c r="F303">
        <v>56.99</v>
      </c>
      <c r="G303">
        <v>34.79</v>
      </c>
      <c r="H303">
        <v>8.2200000000000006</v>
      </c>
      <c r="I303">
        <v>0</v>
      </c>
      <c r="J303" s="1">
        <v>45927.791478877312</v>
      </c>
      <c r="K303" t="s">
        <v>467</v>
      </c>
      <c r="L303">
        <f>COUNTIF($A$2:A303,A303)</f>
        <v>11</v>
      </c>
    </row>
    <row r="304" spans="1:12" x14ac:dyDescent="0.3">
      <c r="A304">
        <v>12163</v>
      </c>
      <c r="B304" t="s">
        <v>464</v>
      </c>
      <c r="C304" t="s">
        <v>479</v>
      </c>
      <c r="D304" t="s">
        <v>480</v>
      </c>
      <c r="E304">
        <v>24</v>
      </c>
      <c r="F304">
        <v>55.62</v>
      </c>
      <c r="G304">
        <v>37.81</v>
      </c>
      <c r="H304">
        <v>6.58</v>
      </c>
      <c r="I304">
        <v>0</v>
      </c>
      <c r="J304" s="1">
        <v>45927.79127710648</v>
      </c>
      <c r="K304" t="s">
        <v>467</v>
      </c>
      <c r="L304">
        <f>COUNTIF($A$2:A304,A304)</f>
        <v>12</v>
      </c>
    </row>
    <row r="305" spans="1:12" x14ac:dyDescent="0.3">
      <c r="A305">
        <v>12163</v>
      </c>
      <c r="B305" t="s">
        <v>464</v>
      </c>
      <c r="C305" t="s">
        <v>493</v>
      </c>
      <c r="D305" t="s">
        <v>494</v>
      </c>
      <c r="E305">
        <v>24</v>
      </c>
      <c r="F305">
        <v>54.25</v>
      </c>
      <c r="G305">
        <v>38.630000000000003</v>
      </c>
      <c r="H305">
        <v>7.12</v>
      </c>
      <c r="I305">
        <v>0</v>
      </c>
      <c r="J305" s="1">
        <v>45927.791568622684</v>
      </c>
      <c r="K305" t="s">
        <v>467</v>
      </c>
      <c r="L305">
        <f>COUNTIF($A$2:A305,A305)</f>
        <v>13</v>
      </c>
    </row>
    <row r="306" spans="1:12" x14ac:dyDescent="0.3">
      <c r="A306">
        <v>12163</v>
      </c>
      <c r="B306" t="s">
        <v>464</v>
      </c>
      <c r="C306" t="s">
        <v>487</v>
      </c>
      <c r="D306" t="s">
        <v>488</v>
      </c>
      <c r="E306">
        <v>24</v>
      </c>
      <c r="F306">
        <v>53.97</v>
      </c>
      <c r="G306">
        <v>37.26</v>
      </c>
      <c r="H306">
        <v>8.77</v>
      </c>
      <c r="I306">
        <v>0</v>
      </c>
      <c r="J306" s="1">
        <v>45927.791438159722</v>
      </c>
      <c r="K306" t="s">
        <v>467</v>
      </c>
      <c r="L306">
        <f>COUNTIF($A$2:A306,A306)</f>
        <v>14</v>
      </c>
    </row>
    <row r="307" spans="1:12" x14ac:dyDescent="0.3">
      <c r="A307">
        <v>12163</v>
      </c>
      <c r="B307" t="s">
        <v>464</v>
      </c>
      <c r="C307" t="s">
        <v>485</v>
      </c>
      <c r="D307" t="s">
        <v>486</v>
      </c>
      <c r="E307">
        <v>27</v>
      </c>
      <c r="F307">
        <v>45.48</v>
      </c>
      <c r="G307">
        <v>47.12</v>
      </c>
      <c r="H307">
        <v>7.4</v>
      </c>
      <c r="I307">
        <v>0</v>
      </c>
      <c r="J307" s="1">
        <v>45927.791393634259</v>
      </c>
      <c r="K307" t="s">
        <v>467</v>
      </c>
      <c r="L307">
        <f>COUNTIF($A$2:A307,A307)</f>
        <v>15</v>
      </c>
    </row>
    <row r="308" spans="1:12" x14ac:dyDescent="0.3">
      <c r="A308">
        <v>12163</v>
      </c>
      <c r="B308" t="s">
        <v>464</v>
      </c>
      <c r="C308" t="s">
        <v>497</v>
      </c>
      <c r="D308" t="s">
        <v>498</v>
      </c>
      <c r="E308">
        <v>28</v>
      </c>
      <c r="F308">
        <v>45.21</v>
      </c>
      <c r="G308">
        <v>47.12</v>
      </c>
      <c r="H308">
        <v>7.67</v>
      </c>
      <c r="I308">
        <v>0</v>
      </c>
      <c r="J308" s="1">
        <v>45927.791653692133</v>
      </c>
      <c r="K308" t="s">
        <v>467</v>
      </c>
      <c r="L308">
        <f>COUNTIF($A$2:A308,A308)</f>
        <v>16</v>
      </c>
    </row>
    <row r="309" spans="1:12" x14ac:dyDescent="0.3">
      <c r="A309">
        <v>12163</v>
      </c>
      <c r="B309" t="s">
        <v>464</v>
      </c>
      <c r="C309" t="s">
        <v>481</v>
      </c>
      <c r="D309" t="s">
        <v>482</v>
      </c>
      <c r="E309">
        <v>0</v>
      </c>
      <c r="F309">
        <v>44.11</v>
      </c>
      <c r="G309">
        <v>47.95</v>
      </c>
      <c r="H309">
        <v>7.95</v>
      </c>
      <c r="I309">
        <v>0</v>
      </c>
      <c r="J309" s="1">
        <v>45927.791306585648</v>
      </c>
      <c r="K309" t="s">
        <v>467</v>
      </c>
      <c r="L309">
        <f>COUNTIF($A$2:A309,A309)</f>
        <v>17</v>
      </c>
    </row>
    <row r="310" spans="1:12" x14ac:dyDescent="0.3">
      <c r="A310">
        <v>12163</v>
      </c>
      <c r="B310" t="s">
        <v>464</v>
      </c>
      <c r="C310" t="s">
        <v>386</v>
      </c>
      <c r="D310" t="s">
        <v>387</v>
      </c>
      <c r="E310">
        <v>24</v>
      </c>
      <c r="F310">
        <v>42.74</v>
      </c>
      <c r="G310">
        <v>53.15</v>
      </c>
      <c r="H310">
        <v>4.1100000000000003</v>
      </c>
      <c r="I310">
        <v>0</v>
      </c>
      <c r="J310" s="1">
        <v>45927.791023321763</v>
      </c>
      <c r="K310" t="s">
        <v>467</v>
      </c>
      <c r="L310">
        <f>COUNTIF($A$2:A310,A310)</f>
        <v>18</v>
      </c>
    </row>
    <row r="311" spans="1:12" x14ac:dyDescent="0.3">
      <c r="A311">
        <v>12163</v>
      </c>
      <c r="B311" t="s">
        <v>464</v>
      </c>
      <c r="C311" t="s">
        <v>483</v>
      </c>
      <c r="D311" t="s">
        <v>484</v>
      </c>
      <c r="E311">
        <v>30</v>
      </c>
      <c r="F311">
        <v>39.729999999999997</v>
      </c>
      <c r="G311">
        <v>52.05</v>
      </c>
      <c r="H311">
        <v>8.2200000000000006</v>
      </c>
      <c r="I311">
        <v>0</v>
      </c>
      <c r="J311" s="1">
        <v>45927.79135078704</v>
      </c>
      <c r="K311" t="s">
        <v>467</v>
      </c>
      <c r="L311">
        <f>COUNTIF($A$2:A311,A311)</f>
        <v>19</v>
      </c>
    </row>
    <row r="312" spans="1:12" x14ac:dyDescent="0.3">
      <c r="A312">
        <v>12163</v>
      </c>
      <c r="B312" t="s">
        <v>464</v>
      </c>
      <c r="C312" t="s">
        <v>472</v>
      </c>
      <c r="D312" t="s">
        <v>473</v>
      </c>
      <c r="E312">
        <v>31</v>
      </c>
      <c r="F312">
        <v>32.880000000000003</v>
      </c>
      <c r="G312">
        <v>58.63</v>
      </c>
      <c r="H312">
        <v>8.49</v>
      </c>
      <c r="I312">
        <v>0</v>
      </c>
      <c r="J312" s="1">
        <v>45927.791124930554</v>
      </c>
      <c r="K312" t="s">
        <v>467</v>
      </c>
      <c r="L312">
        <f>COUNTIF($A$2:A312,A312)</f>
        <v>20</v>
      </c>
    </row>
    <row r="313" spans="1:12" x14ac:dyDescent="0.3">
      <c r="A313">
        <v>12163</v>
      </c>
      <c r="B313" t="s">
        <v>464</v>
      </c>
      <c r="C313" t="s">
        <v>17</v>
      </c>
      <c r="D313" t="s">
        <v>18</v>
      </c>
      <c r="E313">
        <v>33</v>
      </c>
      <c r="F313">
        <v>26.58</v>
      </c>
      <c r="G313">
        <v>66.3</v>
      </c>
      <c r="H313">
        <v>7.12</v>
      </c>
      <c r="I313">
        <v>0</v>
      </c>
      <c r="J313" s="1">
        <v>45927.791792002317</v>
      </c>
      <c r="K313" t="s">
        <v>467</v>
      </c>
      <c r="L313">
        <f>COUNTIF($A$2:A313,A313)</f>
        <v>21</v>
      </c>
    </row>
    <row r="314" spans="1:12" x14ac:dyDescent="0.3">
      <c r="A314">
        <v>12163</v>
      </c>
      <c r="B314" t="s">
        <v>464</v>
      </c>
      <c r="C314" t="s">
        <v>34</v>
      </c>
      <c r="D314" t="s">
        <v>35</v>
      </c>
      <c r="E314">
        <v>44</v>
      </c>
      <c r="F314">
        <v>17.809999999999999</v>
      </c>
      <c r="G314">
        <v>67.12</v>
      </c>
      <c r="H314">
        <v>14.52</v>
      </c>
      <c r="I314">
        <v>0.55000000000000004</v>
      </c>
      <c r="J314" s="1">
        <v>45927.791812314812</v>
      </c>
      <c r="K314" t="s">
        <v>467</v>
      </c>
      <c r="L314">
        <f>COUNTIF($A$2:A314,A314)</f>
        <v>22</v>
      </c>
    </row>
    <row r="315" spans="1:12" x14ac:dyDescent="0.3">
      <c r="A315">
        <v>12163</v>
      </c>
      <c r="B315" t="s">
        <v>464</v>
      </c>
      <c r="C315" t="s">
        <v>474</v>
      </c>
      <c r="D315" t="s">
        <v>475</v>
      </c>
      <c r="E315">
        <v>0</v>
      </c>
      <c r="F315">
        <v>17.260000000000002</v>
      </c>
      <c r="G315">
        <v>70.959999999999994</v>
      </c>
      <c r="H315">
        <v>11.78</v>
      </c>
      <c r="I315">
        <v>0</v>
      </c>
      <c r="J315" s="1">
        <v>45927.791154143517</v>
      </c>
      <c r="K315" t="s">
        <v>467</v>
      </c>
      <c r="L315">
        <f>COUNTIF($A$2:A315,A315)</f>
        <v>23</v>
      </c>
    </row>
    <row r="316" spans="1:12" x14ac:dyDescent="0.3">
      <c r="A316">
        <v>12163</v>
      </c>
      <c r="B316" t="s">
        <v>464</v>
      </c>
      <c r="C316" t="s">
        <v>470</v>
      </c>
      <c r="D316" t="s">
        <v>471</v>
      </c>
      <c r="E316">
        <v>38</v>
      </c>
      <c r="F316">
        <v>3.56</v>
      </c>
      <c r="G316">
        <v>87.67</v>
      </c>
      <c r="H316">
        <v>8.77</v>
      </c>
      <c r="I316">
        <v>0</v>
      </c>
      <c r="J316" s="1">
        <v>45927.791080706018</v>
      </c>
      <c r="K316" t="s">
        <v>467</v>
      </c>
      <c r="L316">
        <f>COUNTIF($A$2:A316,A316)</f>
        <v>24</v>
      </c>
    </row>
    <row r="317" spans="1:12" x14ac:dyDescent="0.3">
      <c r="A317">
        <v>12163</v>
      </c>
      <c r="B317" t="s">
        <v>464</v>
      </c>
      <c r="C317" t="s">
        <v>468</v>
      </c>
      <c r="D317" t="s">
        <v>469</v>
      </c>
      <c r="E317">
        <v>35</v>
      </c>
      <c r="F317">
        <v>3.01</v>
      </c>
      <c r="G317">
        <v>86.3</v>
      </c>
      <c r="H317">
        <v>5.21</v>
      </c>
      <c r="I317">
        <v>5.48</v>
      </c>
      <c r="J317" s="1">
        <v>45927.791039687501</v>
      </c>
      <c r="K317" t="s">
        <v>467</v>
      </c>
      <c r="L317">
        <f>COUNTIF($A$2:A317,A317)</f>
        <v>25</v>
      </c>
    </row>
    <row r="318" spans="1:12" x14ac:dyDescent="0.3">
      <c r="A318">
        <v>12163</v>
      </c>
      <c r="B318" t="s">
        <v>464</v>
      </c>
      <c r="C318" t="s">
        <v>499</v>
      </c>
      <c r="D318" t="s">
        <v>500</v>
      </c>
      <c r="E318">
        <v>45</v>
      </c>
      <c r="F318">
        <v>0</v>
      </c>
      <c r="G318">
        <v>3.01</v>
      </c>
      <c r="H318">
        <v>0</v>
      </c>
      <c r="I318">
        <v>96.99</v>
      </c>
      <c r="J318" s="1">
        <v>45927.791670185186</v>
      </c>
      <c r="K318" t="s">
        <v>467</v>
      </c>
      <c r="L318">
        <f>COUNTIF($A$2:A318,A318)</f>
        <v>26</v>
      </c>
    </row>
    <row r="319" spans="1:12" x14ac:dyDescent="0.3">
      <c r="A319">
        <v>12164</v>
      </c>
      <c r="B319" t="s">
        <v>464</v>
      </c>
      <c r="C319" t="s">
        <v>12</v>
      </c>
      <c r="D319" t="s">
        <v>13</v>
      </c>
      <c r="E319">
        <v>1</v>
      </c>
      <c r="F319">
        <v>100</v>
      </c>
      <c r="G319">
        <v>0</v>
      </c>
      <c r="H319">
        <v>0</v>
      </c>
      <c r="I319">
        <v>0</v>
      </c>
      <c r="J319" s="1">
        <v>45927.791868587963</v>
      </c>
      <c r="K319" t="s">
        <v>505</v>
      </c>
      <c r="L319">
        <f>COUNTIF($A$2:A319,A319)</f>
        <v>1</v>
      </c>
    </row>
    <row r="320" spans="1:12" x14ac:dyDescent="0.3">
      <c r="A320">
        <v>12164</v>
      </c>
      <c r="B320" t="s">
        <v>464</v>
      </c>
      <c r="C320" t="s">
        <v>474</v>
      </c>
      <c r="D320" t="s">
        <v>475</v>
      </c>
      <c r="E320">
        <v>6</v>
      </c>
      <c r="F320">
        <v>93.33</v>
      </c>
      <c r="G320">
        <v>6.67</v>
      </c>
      <c r="H320">
        <v>0</v>
      </c>
      <c r="I320">
        <v>0</v>
      </c>
      <c r="J320" s="1">
        <v>45927.792311944446</v>
      </c>
      <c r="K320" t="s">
        <v>505</v>
      </c>
      <c r="L320">
        <f>COUNTIF($A$2:A320,A320)</f>
        <v>2</v>
      </c>
    </row>
    <row r="321" spans="1:12" x14ac:dyDescent="0.3">
      <c r="A321">
        <v>12164</v>
      </c>
      <c r="B321" t="s">
        <v>464</v>
      </c>
      <c r="C321" t="s">
        <v>476</v>
      </c>
      <c r="D321" t="s">
        <v>476</v>
      </c>
      <c r="E321">
        <v>8</v>
      </c>
      <c r="F321">
        <v>90</v>
      </c>
      <c r="G321">
        <v>6.67</v>
      </c>
      <c r="H321">
        <v>3.33</v>
      </c>
      <c r="I321">
        <v>0</v>
      </c>
      <c r="J321" s="1">
        <v>45927.79226681713</v>
      </c>
      <c r="K321" t="s">
        <v>505</v>
      </c>
      <c r="L321">
        <f>COUNTIF($A$2:A321,A321)</f>
        <v>3</v>
      </c>
    </row>
    <row r="322" spans="1:12" x14ac:dyDescent="0.3">
      <c r="A322">
        <v>12164</v>
      </c>
      <c r="B322" t="s">
        <v>464</v>
      </c>
      <c r="C322" t="s">
        <v>465</v>
      </c>
      <c r="D322" t="s">
        <v>466</v>
      </c>
      <c r="E322">
        <v>9</v>
      </c>
      <c r="F322">
        <v>80</v>
      </c>
      <c r="G322">
        <v>16.670000000000002</v>
      </c>
      <c r="H322">
        <v>3.33</v>
      </c>
      <c r="I322">
        <v>0</v>
      </c>
      <c r="J322" s="1">
        <v>45927.792446134263</v>
      </c>
      <c r="K322" t="s">
        <v>505</v>
      </c>
      <c r="L322">
        <f>COUNTIF($A$2:A322,A322)</f>
        <v>4</v>
      </c>
    </row>
    <row r="323" spans="1:12" x14ac:dyDescent="0.3">
      <c r="A323">
        <v>12164</v>
      </c>
      <c r="B323" t="s">
        <v>464</v>
      </c>
      <c r="C323" t="s">
        <v>503</v>
      </c>
      <c r="D323" t="s">
        <v>504</v>
      </c>
      <c r="E323">
        <v>12</v>
      </c>
      <c r="F323">
        <v>76.67</v>
      </c>
      <c r="G323">
        <v>23.33</v>
      </c>
      <c r="H323">
        <v>0</v>
      </c>
      <c r="I323">
        <v>0</v>
      </c>
      <c r="J323" s="1">
        <v>45927.791905127313</v>
      </c>
      <c r="K323" t="s">
        <v>505</v>
      </c>
      <c r="L323">
        <f>COUNTIF($A$2:A323,A323)</f>
        <v>5</v>
      </c>
    </row>
    <row r="324" spans="1:12" x14ac:dyDescent="0.3">
      <c r="A324">
        <v>12164</v>
      </c>
      <c r="B324" t="s">
        <v>464</v>
      </c>
      <c r="C324" t="s">
        <v>17</v>
      </c>
      <c r="D324" t="s">
        <v>18</v>
      </c>
      <c r="E324">
        <v>13</v>
      </c>
      <c r="F324">
        <v>73.33</v>
      </c>
      <c r="G324">
        <v>26.67</v>
      </c>
      <c r="H324">
        <v>0</v>
      </c>
      <c r="I324">
        <v>0</v>
      </c>
      <c r="J324" s="1">
        <v>45927.791888298612</v>
      </c>
      <c r="K324" t="s">
        <v>505</v>
      </c>
      <c r="L324">
        <f>COUNTIF($A$2:A324,A324)</f>
        <v>6</v>
      </c>
    </row>
    <row r="325" spans="1:12" x14ac:dyDescent="0.3">
      <c r="A325">
        <v>12164</v>
      </c>
      <c r="B325" t="s">
        <v>464</v>
      </c>
      <c r="C325" t="s">
        <v>470</v>
      </c>
      <c r="D325" t="s">
        <v>471</v>
      </c>
      <c r="E325">
        <v>0</v>
      </c>
      <c r="F325">
        <v>46.67</v>
      </c>
      <c r="G325">
        <v>50</v>
      </c>
      <c r="H325">
        <v>3.33</v>
      </c>
      <c r="I325">
        <v>0</v>
      </c>
      <c r="J325" s="1">
        <v>45927.792351215277</v>
      </c>
      <c r="K325" t="s">
        <v>505</v>
      </c>
      <c r="L325">
        <f>COUNTIF($A$2:A325,A325)</f>
        <v>7</v>
      </c>
    </row>
    <row r="326" spans="1:12" x14ac:dyDescent="0.3">
      <c r="A326">
        <v>12164</v>
      </c>
      <c r="B326" t="s">
        <v>464</v>
      </c>
      <c r="C326" t="s">
        <v>472</v>
      </c>
      <c r="D326" t="s">
        <v>473</v>
      </c>
      <c r="E326">
        <v>20</v>
      </c>
      <c r="F326">
        <v>43.33</v>
      </c>
      <c r="G326">
        <v>53.33</v>
      </c>
      <c r="H326">
        <v>3.33</v>
      </c>
      <c r="I326">
        <v>0.01</v>
      </c>
      <c r="J326" s="1">
        <v>45927.792331296296</v>
      </c>
      <c r="K326" t="s">
        <v>505</v>
      </c>
      <c r="L326">
        <f>COUNTIF($A$2:A326,A326)</f>
        <v>8</v>
      </c>
    </row>
    <row r="327" spans="1:12" x14ac:dyDescent="0.3">
      <c r="A327">
        <v>12164</v>
      </c>
      <c r="B327" t="s">
        <v>464</v>
      </c>
      <c r="C327" t="s">
        <v>477</v>
      </c>
      <c r="D327" t="s">
        <v>478</v>
      </c>
      <c r="E327">
        <v>25</v>
      </c>
      <c r="F327">
        <v>40</v>
      </c>
      <c r="G327">
        <v>53.33</v>
      </c>
      <c r="H327">
        <v>6.67</v>
      </c>
      <c r="I327">
        <v>0</v>
      </c>
      <c r="J327" s="1">
        <v>45927.792249733793</v>
      </c>
      <c r="K327" t="s">
        <v>505</v>
      </c>
      <c r="L327">
        <f>COUNTIF($A$2:A327,A327)</f>
        <v>9</v>
      </c>
    </row>
    <row r="328" spans="1:12" x14ac:dyDescent="0.3">
      <c r="A328">
        <v>12164</v>
      </c>
      <c r="B328" t="s">
        <v>464</v>
      </c>
      <c r="C328" t="s">
        <v>501</v>
      </c>
      <c r="D328" t="s">
        <v>502</v>
      </c>
      <c r="E328">
        <v>19</v>
      </c>
      <c r="F328">
        <v>36.67</v>
      </c>
      <c r="G328">
        <v>63.33</v>
      </c>
      <c r="H328">
        <v>0</v>
      </c>
      <c r="I328">
        <v>0</v>
      </c>
      <c r="J328" s="1">
        <v>45927.791925196761</v>
      </c>
      <c r="K328" t="s">
        <v>505</v>
      </c>
      <c r="L328">
        <f>COUNTIF($A$2:A328,A328)</f>
        <v>10</v>
      </c>
    </row>
    <row r="329" spans="1:12" x14ac:dyDescent="0.3">
      <c r="A329">
        <v>12164</v>
      </c>
      <c r="B329" t="s">
        <v>464</v>
      </c>
      <c r="C329" t="s">
        <v>479</v>
      </c>
      <c r="D329" t="s">
        <v>480</v>
      </c>
      <c r="E329">
        <v>25</v>
      </c>
      <c r="F329">
        <v>33.33</v>
      </c>
      <c r="G329">
        <v>63.33</v>
      </c>
      <c r="H329">
        <v>3.33</v>
      </c>
      <c r="I329">
        <v>0.01</v>
      </c>
      <c r="J329" s="1">
        <v>45927.792207418985</v>
      </c>
      <c r="K329" t="s">
        <v>505</v>
      </c>
      <c r="L329">
        <f>COUNTIF($A$2:A329,A329)</f>
        <v>11</v>
      </c>
    </row>
    <row r="330" spans="1:12" x14ac:dyDescent="0.3">
      <c r="A330">
        <v>12164</v>
      </c>
      <c r="B330" t="s">
        <v>464</v>
      </c>
      <c r="C330" t="s">
        <v>275</v>
      </c>
      <c r="D330" t="s">
        <v>276</v>
      </c>
      <c r="E330">
        <v>23</v>
      </c>
      <c r="F330">
        <v>26.67</v>
      </c>
      <c r="G330">
        <v>73.33</v>
      </c>
      <c r="H330">
        <v>0</v>
      </c>
      <c r="I330">
        <v>0</v>
      </c>
      <c r="J330" s="1">
        <v>45927.791945682868</v>
      </c>
      <c r="K330" t="s">
        <v>505</v>
      </c>
      <c r="L330">
        <f>COUNTIF($A$2:A330,A330)</f>
        <v>12</v>
      </c>
    </row>
    <row r="331" spans="1:12" x14ac:dyDescent="0.3">
      <c r="A331">
        <v>12164</v>
      </c>
      <c r="B331" t="s">
        <v>464</v>
      </c>
      <c r="C331" t="s">
        <v>499</v>
      </c>
      <c r="D331" t="s">
        <v>500</v>
      </c>
      <c r="E331">
        <v>26</v>
      </c>
      <c r="F331">
        <v>26.67</v>
      </c>
      <c r="G331">
        <v>73.33</v>
      </c>
      <c r="H331">
        <v>0</v>
      </c>
      <c r="I331">
        <v>0</v>
      </c>
      <c r="J331" s="1">
        <v>45927.791965277778</v>
      </c>
      <c r="K331" t="s">
        <v>505</v>
      </c>
      <c r="L331">
        <f>COUNTIF($A$2:A331,A331)</f>
        <v>13</v>
      </c>
    </row>
    <row r="332" spans="1:12" x14ac:dyDescent="0.3">
      <c r="A332">
        <v>12164</v>
      </c>
      <c r="B332" t="s">
        <v>464</v>
      </c>
      <c r="C332" t="s">
        <v>495</v>
      </c>
      <c r="D332" t="s">
        <v>496</v>
      </c>
      <c r="E332">
        <v>0</v>
      </c>
      <c r="F332">
        <v>16.670000000000002</v>
      </c>
      <c r="G332">
        <v>83.33</v>
      </c>
      <c r="H332">
        <v>0</v>
      </c>
      <c r="I332">
        <v>0</v>
      </c>
      <c r="J332" s="1">
        <v>45927.792005000003</v>
      </c>
      <c r="K332" t="s">
        <v>505</v>
      </c>
      <c r="L332">
        <f>COUNTIF($A$2:A332,A332)</f>
        <v>14</v>
      </c>
    </row>
    <row r="333" spans="1:12" x14ac:dyDescent="0.3">
      <c r="A333">
        <v>12164</v>
      </c>
      <c r="B333" t="s">
        <v>464</v>
      </c>
      <c r="C333" t="s">
        <v>493</v>
      </c>
      <c r="D333" t="s">
        <v>494</v>
      </c>
      <c r="E333">
        <v>32</v>
      </c>
      <c r="F333">
        <v>16.670000000000002</v>
      </c>
      <c r="G333">
        <v>83.33</v>
      </c>
      <c r="H333">
        <v>0</v>
      </c>
      <c r="I333">
        <v>0</v>
      </c>
      <c r="J333" s="1">
        <v>45927.792021805559</v>
      </c>
      <c r="K333" t="s">
        <v>505</v>
      </c>
      <c r="L333">
        <f>COUNTIF($A$2:A333,A333)</f>
        <v>15</v>
      </c>
    </row>
    <row r="334" spans="1:12" x14ac:dyDescent="0.3">
      <c r="A334">
        <v>12164</v>
      </c>
      <c r="B334" t="s">
        <v>464</v>
      </c>
      <c r="C334" t="s">
        <v>489</v>
      </c>
      <c r="D334" t="s">
        <v>490</v>
      </c>
      <c r="E334">
        <v>27</v>
      </c>
      <c r="F334">
        <v>16.670000000000002</v>
      </c>
      <c r="G334">
        <v>83.33</v>
      </c>
      <c r="H334">
        <v>0</v>
      </c>
      <c r="I334">
        <v>0</v>
      </c>
      <c r="J334" s="1">
        <v>45927.79205758102</v>
      </c>
      <c r="K334" t="s">
        <v>505</v>
      </c>
      <c r="L334">
        <f>COUNTIF($A$2:A334,A334)</f>
        <v>16</v>
      </c>
    </row>
    <row r="335" spans="1:12" x14ac:dyDescent="0.3">
      <c r="A335">
        <v>12164</v>
      </c>
      <c r="B335" t="s">
        <v>464</v>
      </c>
      <c r="C335" t="s">
        <v>491</v>
      </c>
      <c r="D335" t="s">
        <v>492</v>
      </c>
      <c r="E335">
        <v>30</v>
      </c>
      <c r="F335">
        <v>13.33</v>
      </c>
      <c r="G335">
        <v>86.67</v>
      </c>
      <c r="H335">
        <v>0</v>
      </c>
      <c r="I335">
        <v>0</v>
      </c>
      <c r="J335" s="1">
        <v>45927.792040023145</v>
      </c>
      <c r="K335" t="s">
        <v>505</v>
      </c>
      <c r="L335">
        <f>COUNTIF($A$2:A335,A335)</f>
        <v>17</v>
      </c>
    </row>
    <row r="336" spans="1:12" x14ac:dyDescent="0.3">
      <c r="A336">
        <v>12164</v>
      </c>
      <c r="B336" t="s">
        <v>464</v>
      </c>
      <c r="C336" t="s">
        <v>481</v>
      </c>
      <c r="D336" t="s">
        <v>482</v>
      </c>
      <c r="E336">
        <v>31</v>
      </c>
      <c r="F336">
        <v>10</v>
      </c>
      <c r="G336">
        <v>83.33</v>
      </c>
      <c r="H336">
        <v>6.67</v>
      </c>
      <c r="I336">
        <v>0</v>
      </c>
      <c r="J336" s="1">
        <v>45927.792190185188</v>
      </c>
      <c r="K336" t="s">
        <v>505</v>
      </c>
      <c r="L336">
        <f>COUNTIF($A$2:A336,A336)</f>
        <v>18</v>
      </c>
    </row>
    <row r="337" spans="1:12" x14ac:dyDescent="0.3">
      <c r="A337">
        <v>12164</v>
      </c>
      <c r="B337" t="s">
        <v>464</v>
      </c>
      <c r="C337" t="s">
        <v>468</v>
      </c>
      <c r="D337" t="s">
        <v>469</v>
      </c>
      <c r="E337">
        <v>34</v>
      </c>
      <c r="F337">
        <v>10</v>
      </c>
      <c r="G337">
        <v>73.33</v>
      </c>
      <c r="H337">
        <v>16.670000000000002</v>
      </c>
      <c r="I337">
        <v>0</v>
      </c>
      <c r="J337" s="1">
        <v>45927.79236767361</v>
      </c>
      <c r="K337" t="s">
        <v>505</v>
      </c>
      <c r="L337">
        <f>COUNTIF($A$2:A337,A337)</f>
        <v>19</v>
      </c>
    </row>
    <row r="338" spans="1:12" x14ac:dyDescent="0.3">
      <c r="A338">
        <v>12164</v>
      </c>
      <c r="B338" t="s">
        <v>464</v>
      </c>
      <c r="C338" t="s">
        <v>497</v>
      </c>
      <c r="D338" t="s">
        <v>498</v>
      </c>
      <c r="E338">
        <v>34</v>
      </c>
      <c r="F338">
        <v>0</v>
      </c>
      <c r="G338">
        <v>100</v>
      </c>
      <c r="H338">
        <v>0</v>
      </c>
      <c r="I338">
        <v>0</v>
      </c>
      <c r="J338" s="1">
        <v>45927.791982754628</v>
      </c>
      <c r="K338" t="s">
        <v>505</v>
      </c>
      <c r="L338">
        <f>COUNTIF($A$2:A338,A338)</f>
        <v>20</v>
      </c>
    </row>
    <row r="339" spans="1:12" x14ac:dyDescent="0.3">
      <c r="A339">
        <v>12164</v>
      </c>
      <c r="B339" t="s">
        <v>464</v>
      </c>
      <c r="C339" t="s">
        <v>487</v>
      </c>
      <c r="D339" t="s">
        <v>488</v>
      </c>
      <c r="E339">
        <v>40</v>
      </c>
      <c r="F339">
        <v>0</v>
      </c>
      <c r="G339">
        <v>93.33</v>
      </c>
      <c r="H339">
        <v>6.67</v>
      </c>
      <c r="I339">
        <v>0</v>
      </c>
      <c r="J339" s="1">
        <v>45927.792102199077</v>
      </c>
      <c r="K339" t="s">
        <v>505</v>
      </c>
      <c r="L339">
        <f>COUNTIF($A$2:A339,A339)</f>
        <v>21</v>
      </c>
    </row>
    <row r="340" spans="1:12" x14ac:dyDescent="0.3">
      <c r="A340">
        <v>12164</v>
      </c>
      <c r="B340" t="s">
        <v>464</v>
      </c>
      <c r="C340" t="s">
        <v>485</v>
      </c>
      <c r="D340" t="s">
        <v>486</v>
      </c>
      <c r="E340">
        <v>39</v>
      </c>
      <c r="F340">
        <v>0</v>
      </c>
      <c r="G340">
        <v>90</v>
      </c>
      <c r="H340">
        <v>10</v>
      </c>
      <c r="I340">
        <v>0</v>
      </c>
      <c r="J340" s="1">
        <v>45927.79212273148</v>
      </c>
      <c r="K340" t="s">
        <v>505</v>
      </c>
      <c r="L340">
        <f>COUNTIF($A$2:A340,A340)</f>
        <v>22</v>
      </c>
    </row>
    <row r="341" spans="1:12" x14ac:dyDescent="0.3">
      <c r="A341">
        <v>12164</v>
      </c>
      <c r="B341" t="s">
        <v>464</v>
      </c>
      <c r="C341" t="s">
        <v>483</v>
      </c>
      <c r="D341" t="s">
        <v>484</v>
      </c>
      <c r="E341">
        <v>0</v>
      </c>
      <c r="F341">
        <v>0</v>
      </c>
      <c r="G341">
        <v>90</v>
      </c>
      <c r="H341">
        <v>10</v>
      </c>
      <c r="I341">
        <v>0</v>
      </c>
      <c r="J341" s="1">
        <v>45927.792146458334</v>
      </c>
      <c r="K341" t="s">
        <v>505</v>
      </c>
      <c r="L341">
        <f>COUNTIF($A$2:A341,A341)</f>
        <v>23</v>
      </c>
    </row>
    <row r="342" spans="1:12" x14ac:dyDescent="0.3">
      <c r="A342">
        <v>12164</v>
      </c>
      <c r="B342" t="s">
        <v>464</v>
      </c>
      <c r="C342" t="s">
        <v>386</v>
      </c>
      <c r="D342" t="s">
        <v>387</v>
      </c>
      <c r="E342">
        <v>51</v>
      </c>
      <c r="F342">
        <v>0</v>
      </c>
      <c r="G342">
        <v>80</v>
      </c>
      <c r="H342">
        <v>20</v>
      </c>
      <c r="I342">
        <v>0</v>
      </c>
      <c r="J342" s="1">
        <v>45927.792386504632</v>
      </c>
      <c r="K342" t="s">
        <v>505</v>
      </c>
      <c r="L342">
        <f>COUNTIF($A$2:A342,A342)</f>
        <v>24</v>
      </c>
    </row>
    <row r="343" spans="1:12" x14ac:dyDescent="0.3">
      <c r="A343">
        <v>12164</v>
      </c>
      <c r="B343" t="s">
        <v>464</v>
      </c>
      <c r="C343" t="s">
        <v>384</v>
      </c>
      <c r="D343" t="s">
        <v>385</v>
      </c>
      <c r="E343">
        <v>54</v>
      </c>
      <c r="F343">
        <v>0</v>
      </c>
      <c r="G343">
        <v>76.67</v>
      </c>
      <c r="H343">
        <v>23.33</v>
      </c>
      <c r="I343">
        <v>0</v>
      </c>
      <c r="J343" s="1">
        <v>45927.792401967592</v>
      </c>
      <c r="K343" t="s">
        <v>505</v>
      </c>
      <c r="L343">
        <f>COUNTIF($A$2:A343,A343)</f>
        <v>25</v>
      </c>
    </row>
    <row r="344" spans="1:12" x14ac:dyDescent="0.3">
      <c r="A344">
        <v>12201</v>
      </c>
      <c r="B344" t="s">
        <v>1059</v>
      </c>
      <c r="C344" t="s">
        <v>465</v>
      </c>
      <c r="D344" t="s">
        <v>466</v>
      </c>
      <c r="E344">
        <v>4</v>
      </c>
      <c r="F344">
        <v>87.5</v>
      </c>
      <c r="G344">
        <v>12.5</v>
      </c>
      <c r="H344">
        <v>0</v>
      </c>
      <c r="I344">
        <v>0</v>
      </c>
      <c r="J344" s="1">
        <v>45928.09362482639</v>
      </c>
      <c r="K344" t="s">
        <v>1060</v>
      </c>
      <c r="L344">
        <f>COUNTIF($A$2:A344,A344)</f>
        <v>1</v>
      </c>
    </row>
    <row r="345" spans="1:12" x14ac:dyDescent="0.3">
      <c r="A345">
        <v>12201</v>
      </c>
      <c r="B345" t="s">
        <v>1059</v>
      </c>
      <c r="C345" t="s">
        <v>384</v>
      </c>
      <c r="D345" t="s">
        <v>385</v>
      </c>
      <c r="E345">
        <v>11</v>
      </c>
      <c r="F345">
        <v>87.5</v>
      </c>
      <c r="G345">
        <v>12.5</v>
      </c>
      <c r="H345">
        <v>0</v>
      </c>
      <c r="I345">
        <v>0</v>
      </c>
      <c r="J345" s="1">
        <v>45928.09364298611</v>
      </c>
      <c r="K345" t="s">
        <v>1060</v>
      </c>
      <c r="L345">
        <f>COUNTIF($A$2:A345,A345)</f>
        <v>2</v>
      </c>
    </row>
    <row r="346" spans="1:12" x14ac:dyDescent="0.3">
      <c r="A346">
        <v>12201</v>
      </c>
      <c r="B346" t="s">
        <v>1059</v>
      </c>
      <c r="C346" t="s">
        <v>1087</v>
      </c>
      <c r="D346" t="s">
        <v>1088</v>
      </c>
      <c r="E346">
        <v>0</v>
      </c>
      <c r="F346">
        <v>87.5</v>
      </c>
      <c r="G346">
        <v>12.5</v>
      </c>
      <c r="H346">
        <v>0</v>
      </c>
      <c r="I346">
        <v>0</v>
      </c>
      <c r="J346" s="1">
        <v>45928.094086273151</v>
      </c>
      <c r="K346" t="s">
        <v>1060</v>
      </c>
      <c r="L346">
        <f>COUNTIF($A$2:A346,A346)</f>
        <v>3</v>
      </c>
    </row>
    <row r="347" spans="1:12" x14ac:dyDescent="0.3">
      <c r="A347">
        <v>12201</v>
      </c>
      <c r="B347" t="s">
        <v>1059</v>
      </c>
      <c r="C347" t="s">
        <v>1075</v>
      </c>
      <c r="D347" t="s">
        <v>1076</v>
      </c>
      <c r="E347">
        <v>0</v>
      </c>
      <c r="F347">
        <v>75</v>
      </c>
      <c r="G347">
        <v>12.5</v>
      </c>
      <c r="H347">
        <v>12.5</v>
      </c>
      <c r="I347">
        <v>0</v>
      </c>
      <c r="J347" s="1">
        <v>45928.093795856483</v>
      </c>
      <c r="K347" t="s">
        <v>1060</v>
      </c>
      <c r="L347">
        <f>COUNTIF($A$2:A347,A347)</f>
        <v>4</v>
      </c>
    </row>
    <row r="348" spans="1:12" x14ac:dyDescent="0.3">
      <c r="A348">
        <v>12201</v>
      </c>
      <c r="B348" t="s">
        <v>1059</v>
      </c>
      <c r="C348" t="s">
        <v>1077</v>
      </c>
      <c r="D348" t="s">
        <v>1078</v>
      </c>
      <c r="E348">
        <v>23</v>
      </c>
      <c r="F348">
        <v>75</v>
      </c>
      <c r="G348">
        <v>12.5</v>
      </c>
      <c r="H348">
        <v>12.5</v>
      </c>
      <c r="I348">
        <v>0</v>
      </c>
      <c r="J348" s="1">
        <v>45928.093813356485</v>
      </c>
      <c r="K348" t="s">
        <v>1060</v>
      </c>
      <c r="L348">
        <f>COUNTIF($A$2:A348,A348)</f>
        <v>5</v>
      </c>
    </row>
    <row r="349" spans="1:12" x14ac:dyDescent="0.3">
      <c r="A349">
        <v>12201</v>
      </c>
      <c r="B349" t="s">
        <v>1059</v>
      </c>
      <c r="C349" t="s">
        <v>1081</v>
      </c>
      <c r="D349" t="s">
        <v>1082</v>
      </c>
      <c r="E349">
        <v>18</v>
      </c>
      <c r="F349">
        <v>75</v>
      </c>
      <c r="G349">
        <v>12.5</v>
      </c>
      <c r="H349">
        <v>12.5</v>
      </c>
      <c r="I349">
        <v>0</v>
      </c>
      <c r="J349" s="1">
        <v>45928.093850671299</v>
      </c>
      <c r="K349" t="s">
        <v>1060</v>
      </c>
      <c r="L349">
        <f>COUNTIF($A$2:A349,A349)</f>
        <v>6</v>
      </c>
    </row>
    <row r="350" spans="1:12" x14ac:dyDescent="0.3">
      <c r="A350">
        <v>12201</v>
      </c>
      <c r="B350" t="s">
        <v>1059</v>
      </c>
      <c r="C350" t="s">
        <v>1085</v>
      </c>
      <c r="D350" t="s">
        <v>1086</v>
      </c>
      <c r="E350">
        <v>21</v>
      </c>
      <c r="F350">
        <v>75</v>
      </c>
      <c r="G350">
        <v>12.5</v>
      </c>
      <c r="H350">
        <v>12.5</v>
      </c>
      <c r="I350">
        <v>0</v>
      </c>
      <c r="J350" s="1">
        <v>45928.093889664349</v>
      </c>
      <c r="K350" t="s">
        <v>1060</v>
      </c>
      <c r="L350">
        <f>COUNTIF($A$2:A350,A350)</f>
        <v>7</v>
      </c>
    </row>
    <row r="351" spans="1:12" x14ac:dyDescent="0.3">
      <c r="A351">
        <v>12201</v>
      </c>
      <c r="B351" t="s">
        <v>1059</v>
      </c>
      <c r="C351" t="s">
        <v>265</v>
      </c>
      <c r="D351" t="s">
        <v>266</v>
      </c>
      <c r="E351">
        <v>21</v>
      </c>
      <c r="F351">
        <v>75</v>
      </c>
      <c r="G351">
        <v>12.5</v>
      </c>
      <c r="H351">
        <v>12.5</v>
      </c>
      <c r="I351">
        <v>0</v>
      </c>
      <c r="J351" s="1">
        <v>45928.093907326387</v>
      </c>
      <c r="K351" t="s">
        <v>1060</v>
      </c>
      <c r="L351">
        <f>COUNTIF($A$2:A351,A351)</f>
        <v>8</v>
      </c>
    </row>
    <row r="352" spans="1:12" x14ac:dyDescent="0.3">
      <c r="A352">
        <v>12201</v>
      </c>
      <c r="B352" t="s">
        <v>1059</v>
      </c>
      <c r="C352" t="s">
        <v>257</v>
      </c>
      <c r="D352" t="s">
        <v>258</v>
      </c>
      <c r="E352">
        <v>20</v>
      </c>
      <c r="F352">
        <v>75</v>
      </c>
      <c r="G352">
        <v>12.5</v>
      </c>
      <c r="H352">
        <v>12.5</v>
      </c>
      <c r="I352">
        <v>0</v>
      </c>
      <c r="J352" s="1">
        <v>45928.093949953705</v>
      </c>
      <c r="K352" t="s">
        <v>1060</v>
      </c>
      <c r="L352">
        <f>COUNTIF($A$2:A352,A352)</f>
        <v>9</v>
      </c>
    </row>
    <row r="353" spans="1:12" x14ac:dyDescent="0.3">
      <c r="A353">
        <v>12201</v>
      </c>
      <c r="B353" t="s">
        <v>1059</v>
      </c>
      <c r="C353" t="s">
        <v>255</v>
      </c>
      <c r="D353" t="s">
        <v>256</v>
      </c>
      <c r="E353">
        <v>20</v>
      </c>
      <c r="F353">
        <v>75</v>
      </c>
      <c r="G353">
        <v>12.5</v>
      </c>
      <c r="H353">
        <v>12.5</v>
      </c>
      <c r="I353">
        <v>0</v>
      </c>
      <c r="J353" s="1">
        <v>45928.093968287038</v>
      </c>
      <c r="K353" t="s">
        <v>1060</v>
      </c>
      <c r="L353">
        <f>COUNTIF($A$2:A353,A353)</f>
        <v>10</v>
      </c>
    </row>
    <row r="354" spans="1:12" x14ac:dyDescent="0.3">
      <c r="A354">
        <v>12201</v>
      </c>
      <c r="B354" t="s">
        <v>1059</v>
      </c>
      <c r="C354" t="s">
        <v>253</v>
      </c>
      <c r="D354" t="s">
        <v>254</v>
      </c>
      <c r="E354">
        <v>0</v>
      </c>
      <c r="F354">
        <v>75</v>
      </c>
      <c r="G354">
        <v>12.5</v>
      </c>
      <c r="H354">
        <v>12.5</v>
      </c>
      <c r="I354">
        <v>0</v>
      </c>
      <c r="J354" s="1">
        <v>45928.093992337963</v>
      </c>
      <c r="K354" t="s">
        <v>1060</v>
      </c>
      <c r="L354">
        <f>COUNTIF($A$2:A354,A354)</f>
        <v>11</v>
      </c>
    </row>
    <row r="355" spans="1:12" x14ac:dyDescent="0.3">
      <c r="A355">
        <v>12201</v>
      </c>
      <c r="B355" t="s">
        <v>1059</v>
      </c>
      <c r="C355" t="s">
        <v>251</v>
      </c>
      <c r="D355" t="s">
        <v>252</v>
      </c>
      <c r="E355">
        <v>0</v>
      </c>
      <c r="F355">
        <v>75</v>
      </c>
      <c r="G355">
        <v>12.5</v>
      </c>
      <c r="H355">
        <v>12.5</v>
      </c>
      <c r="I355">
        <v>0</v>
      </c>
      <c r="J355" s="1">
        <v>45928.094019791664</v>
      </c>
      <c r="K355" t="s">
        <v>1060</v>
      </c>
      <c r="L355">
        <f>COUNTIF($A$2:A355,A355)</f>
        <v>12</v>
      </c>
    </row>
    <row r="356" spans="1:12" x14ac:dyDescent="0.3">
      <c r="A356">
        <v>12201</v>
      </c>
      <c r="B356" t="s">
        <v>1059</v>
      </c>
      <c r="C356" t="s">
        <v>247</v>
      </c>
      <c r="D356" t="s">
        <v>248</v>
      </c>
      <c r="E356">
        <v>22</v>
      </c>
      <c r="F356">
        <v>75</v>
      </c>
      <c r="G356">
        <v>12.5</v>
      </c>
      <c r="H356">
        <v>12.5</v>
      </c>
      <c r="I356">
        <v>0</v>
      </c>
      <c r="J356" s="1">
        <v>45928.094037476854</v>
      </c>
      <c r="K356" t="s">
        <v>1060</v>
      </c>
      <c r="L356">
        <f>COUNTIF($A$2:A356,A356)</f>
        <v>13</v>
      </c>
    </row>
    <row r="357" spans="1:12" x14ac:dyDescent="0.3">
      <c r="A357">
        <v>12201</v>
      </c>
      <c r="B357" t="s">
        <v>1059</v>
      </c>
      <c r="C357" t="s">
        <v>1061</v>
      </c>
      <c r="D357" t="s">
        <v>1062</v>
      </c>
      <c r="E357">
        <v>13</v>
      </c>
      <c r="F357">
        <v>62.5</v>
      </c>
      <c r="G357">
        <v>37.5</v>
      </c>
      <c r="H357">
        <v>0</v>
      </c>
      <c r="I357">
        <v>0</v>
      </c>
      <c r="J357" s="1">
        <v>45928.093665046297</v>
      </c>
      <c r="K357" t="s">
        <v>1060</v>
      </c>
      <c r="L357">
        <f>COUNTIF($A$2:A357,A357)</f>
        <v>14</v>
      </c>
    </row>
    <row r="358" spans="1:12" x14ac:dyDescent="0.3">
      <c r="A358">
        <v>12201</v>
      </c>
      <c r="B358" t="s">
        <v>1059</v>
      </c>
      <c r="C358" t="s">
        <v>261</v>
      </c>
      <c r="D358" t="s">
        <v>262</v>
      </c>
      <c r="E358">
        <v>0</v>
      </c>
      <c r="F358">
        <v>62.5</v>
      </c>
      <c r="G358">
        <v>25</v>
      </c>
      <c r="H358">
        <v>12.5</v>
      </c>
      <c r="I358">
        <v>0</v>
      </c>
      <c r="J358" s="1">
        <v>45928.093932222226</v>
      </c>
      <c r="K358" t="s">
        <v>1060</v>
      </c>
      <c r="L358">
        <f>COUNTIF($A$2:A358,A358)</f>
        <v>15</v>
      </c>
    </row>
    <row r="359" spans="1:12" x14ac:dyDescent="0.3">
      <c r="A359">
        <v>12201</v>
      </c>
      <c r="B359" t="s">
        <v>1059</v>
      </c>
      <c r="C359" t="s">
        <v>245</v>
      </c>
      <c r="D359" t="s">
        <v>246</v>
      </c>
      <c r="E359">
        <v>0</v>
      </c>
      <c r="F359">
        <v>62.5</v>
      </c>
      <c r="G359">
        <v>25</v>
      </c>
      <c r="H359">
        <v>12.5</v>
      </c>
      <c r="I359">
        <v>0</v>
      </c>
      <c r="J359" s="1">
        <v>45928.094065127312</v>
      </c>
      <c r="K359" t="s">
        <v>1060</v>
      </c>
      <c r="L359">
        <f>COUNTIF($A$2:A359,A359)</f>
        <v>16</v>
      </c>
    </row>
    <row r="360" spans="1:12" x14ac:dyDescent="0.3">
      <c r="A360">
        <v>12201</v>
      </c>
      <c r="B360" t="s">
        <v>1059</v>
      </c>
      <c r="C360" t="s">
        <v>1071</v>
      </c>
      <c r="D360" t="s">
        <v>1072</v>
      </c>
      <c r="E360">
        <v>20</v>
      </c>
      <c r="F360">
        <v>50</v>
      </c>
      <c r="G360">
        <v>37.5</v>
      </c>
      <c r="H360">
        <v>12.5</v>
      </c>
      <c r="I360">
        <v>0</v>
      </c>
      <c r="J360" s="1">
        <v>45928.09375576389</v>
      </c>
      <c r="K360" t="s">
        <v>1060</v>
      </c>
      <c r="L360">
        <f>COUNTIF($A$2:A360,A360)</f>
        <v>17</v>
      </c>
    </row>
    <row r="361" spans="1:12" x14ac:dyDescent="0.3">
      <c r="A361">
        <v>12201</v>
      </c>
      <c r="B361" t="s">
        <v>1059</v>
      </c>
      <c r="C361" t="s">
        <v>1073</v>
      </c>
      <c r="D361" t="s">
        <v>1074</v>
      </c>
      <c r="E361">
        <v>24</v>
      </c>
      <c r="F361">
        <v>50</v>
      </c>
      <c r="G361">
        <v>37.5</v>
      </c>
      <c r="H361">
        <v>12.5</v>
      </c>
      <c r="I361">
        <v>0</v>
      </c>
      <c r="J361" s="1">
        <v>45928.093775300928</v>
      </c>
      <c r="K361" t="s">
        <v>1060</v>
      </c>
      <c r="L361">
        <f>COUNTIF($A$2:A361,A361)</f>
        <v>18</v>
      </c>
    </row>
    <row r="362" spans="1:12" x14ac:dyDescent="0.3">
      <c r="A362">
        <v>12201</v>
      </c>
      <c r="B362" t="s">
        <v>1059</v>
      </c>
      <c r="C362" t="s">
        <v>1079</v>
      </c>
      <c r="D362" t="s">
        <v>1080</v>
      </c>
      <c r="E362">
        <v>26</v>
      </c>
      <c r="F362">
        <v>50</v>
      </c>
      <c r="G362">
        <v>37.5</v>
      </c>
      <c r="H362">
        <v>12.5</v>
      </c>
      <c r="I362">
        <v>0</v>
      </c>
      <c r="J362" s="1">
        <v>45928.093831122686</v>
      </c>
      <c r="K362" t="s">
        <v>1060</v>
      </c>
      <c r="L362">
        <f>COUNTIF($A$2:A362,A362)</f>
        <v>19</v>
      </c>
    </row>
    <row r="363" spans="1:12" x14ac:dyDescent="0.3">
      <c r="A363">
        <v>12201</v>
      </c>
      <c r="B363" t="s">
        <v>1059</v>
      </c>
      <c r="C363" t="s">
        <v>1083</v>
      </c>
      <c r="D363" t="s">
        <v>1084</v>
      </c>
      <c r="E363">
        <v>23</v>
      </c>
      <c r="F363">
        <v>50</v>
      </c>
      <c r="G363">
        <v>37.5</v>
      </c>
      <c r="H363">
        <v>12.5</v>
      </c>
      <c r="I363">
        <v>0</v>
      </c>
      <c r="J363" s="1">
        <v>45928.093871400466</v>
      </c>
      <c r="K363" t="s">
        <v>1060</v>
      </c>
      <c r="L363">
        <f>COUNTIF($A$2:A363,A363)</f>
        <v>20</v>
      </c>
    </row>
    <row r="364" spans="1:12" x14ac:dyDescent="0.3">
      <c r="A364">
        <v>12201</v>
      </c>
      <c r="B364" t="s">
        <v>1059</v>
      </c>
      <c r="C364" t="s">
        <v>1065</v>
      </c>
      <c r="D364" t="s">
        <v>1066</v>
      </c>
      <c r="E364">
        <v>41</v>
      </c>
      <c r="F364">
        <v>37.5</v>
      </c>
      <c r="G364">
        <v>37.5</v>
      </c>
      <c r="H364">
        <v>25</v>
      </c>
      <c r="I364">
        <v>0</v>
      </c>
      <c r="J364" s="1">
        <v>45928.09369883102</v>
      </c>
      <c r="K364" t="s">
        <v>1060</v>
      </c>
      <c r="L364">
        <f>COUNTIF($A$2:A364,A364)</f>
        <v>21</v>
      </c>
    </row>
    <row r="365" spans="1:12" x14ac:dyDescent="0.3">
      <c r="A365">
        <v>12201</v>
      </c>
      <c r="B365" t="s">
        <v>1059</v>
      </c>
      <c r="C365" t="s">
        <v>1067</v>
      </c>
      <c r="D365" t="s">
        <v>1068</v>
      </c>
      <c r="E365">
        <v>51</v>
      </c>
      <c r="F365">
        <v>37.5</v>
      </c>
      <c r="G365">
        <v>25</v>
      </c>
      <c r="H365">
        <v>37.5</v>
      </c>
      <c r="I365">
        <v>0</v>
      </c>
      <c r="J365" s="1">
        <v>45928.093718391203</v>
      </c>
      <c r="K365" t="s">
        <v>1060</v>
      </c>
      <c r="L365">
        <f>COUNTIF($A$2:A365,A365)</f>
        <v>22</v>
      </c>
    </row>
    <row r="366" spans="1:12" x14ac:dyDescent="0.3">
      <c r="A366">
        <v>12201</v>
      </c>
      <c r="B366" t="s">
        <v>1059</v>
      </c>
      <c r="C366" t="s">
        <v>1069</v>
      </c>
      <c r="D366" t="s">
        <v>1070</v>
      </c>
      <c r="E366">
        <v>53</v>
      </c>
      <c r="F366">
        <v>37.5</v>
      </c>
      <c r="G366">
        <v>25</v>
      </c>
      <c r="H366">
        <v>37.5</v>
      </c>
      <c r="I366">
        <v>0</v>
      </c>
      <c r="J366" s="1">
        <v>45928.093735717594</v>
      </c>
      <c r="K366" t="s">
        <v>1060</v>
      </c>
      <c r="L366">
        <f>COUNTIF($A$2:A366,A366)</f>
        <v>23</v>
      </c>
    </row>
    <row r="367" spans="1:12" x14ac:dyDescent="0.3">
      <c r="A367">
        <v>12201</v>
      </c>
      <c r="B367" t="s">
        <v>1059</v>
      </c>
      <c r="C367" t="s">
        <v>1063</v>
      </c>
      <c r="D367" t="s">
        <v>1064</v>
      </c>
      <c r="E367">
        <v>58</v>
      </c>
      <c r="F367">
        <v>12.5</v>
      </c>
      <c r="G367">
        <v>37.5</v>
      </c>
      <c r="H367">
        <v>50</v>
      </c>
      <c r="I367">
        <v>0</v>
      </c>
      <c r="J367" s="1">
        <v>45928.09368189815</v>
      </c>
      <c r="K367" t="s">
        <v>1060</v>
      </c>
      <c r="L367">
        <f>COUNTIF($A$2:A367,A367)</f>
        <v>24</v>
      </c>
    </row>
    <row r="368" spans="1:12" x14ac:dyDescent="0.3">
      <c r="A368">
        <v>12202</v>
      </c>
      <c r="B368" t="s">
        <v>1059</v>
      </c>
      <c r="C368" t="s">
        <v>1087</v>
      </c>
      <c r="D368" t="s">
        <v>1088</v>
      </c>
      <c r="E368">
        <v>1</v>
      </c>
      <c r="F368">
        <v>100</v>
      </c>
      <c r="G368">
        <v>0</v>
      </c>
      <c r="H368">
        <v>0</v>
      </c>
      <c r="I368">
        <v>0</v>
      </c>
      <c r="J368" s="1">
        <v>45928.094163657406</v>
      </c>
      <c r="K368" t="s">
        <v>1089</v>
      </c>
      <c r="L368">
        <f>COUNTIF($A$2:A368,A368)</f>
        <v>1</v>
      </c>
    </row>
    <row r="369" spans="1:12" x14ac:dyDescent="0.3">
      <c r="A369">
        <v>12202</v>
      </c>
      <c r="B369" t="s">
        <v>1059</v>
      </c>
      <c r="C369" t="s">
        <v>245</v>
      </c>
      <c r="D369" t="s">
        <v>246</v>
      </c>
      <c r="E369">
        <v>8</v>
      </c>
      <c r="F369">
        <v>88.89</v>
      </c>
      <c r="G369">
        <v>11.11</v>
      </c>
      <c r="H369">
        <v>0</v>
      </c>
      <c r="I369">
        <v>0</v>
      </c>
      <c r="J369" s="1">
        <v>45928.094182789355</v>
      </c>
      <c r="K369" t="s">
        <v>1089</v>
      </c>
      <c r="L369">
        <f>COUNTIF($A$2:A369,A369)</f>
        <v>2</v>
      </c>
    </row>
    <row r="370" spans="1:12" x14ac:dyDescent="0.3">
      <c r="A370">
        <v>12202</v>
      </c>
      <c r="B370" t="s">
        <v>1059</v>
      </c>
      <c r="C370" t="s">
        <v>247</v>
      </c>
      <c r="D370" t="s">
        <v>248</v>
      </c>
      <c r="E370">
        <v>12</v>
      </c>
      <c r="F370">
        <v>77.78</v>
      </c>
      <c r="G370">
        <v>22.22</v>
      </c>
      <c r="H370">
        <v>0</v>
      </c>
      <c r="I370">
        <v>0</v>
      </c>
      <c r="J370" s="1">
        <v>45928.094206655092</v>
      </c>
      <c r="K370" t="s">
        <v>1089</v>
      </c>
      <c r="L370">
        <f>COUNTIF($A$2:A370,A370)</f>
        <v>3</v>
      </c>
    </row>
    <row r="371" spans="1:12" x14ac:dyDescent="0.3">
      <c r="A371">
        <v>12202</v>
      </c>
      <c r="B371" t="s">
        <v>1059</v>
      </c>
      <c r="C371" t="s">
        <v>251</v>
      </c>
      <c r="D371" t="s">
        <v>252</v>
      </c>
      <c r="E371">
        <v>14</v>
      </c>
      <c r="F371">
        <v>66.67</v>
      </c>
      <c r="G371">
        <v>33.33</v>
      </c>
      <c r="H371">
        <v>0</v>
      </c>
      <c r="I371">
        <v>0</v>
      </c>
      <c r="J371" s="1">
        <v>45928.094228981485</v>
      </c>
      <c r="K371" t="s">
        <v>1089</v>
      </c>
      <c r="L371">
        <f>COUNTIF($A$2:A371,A371)</f>
        <v>4</v>
      </c>
    </row>
    <row r="372" spans="1:12" x14ac:dyDescent="0.3">
      <c r="A372">
        <v>12202</v>
      </c>
      <c r="B372" t="s">
        <v>1059</v>
      </c>
      <c r="C372" t="s">
        <v>261</v>
      </c>
      <c r="D372" t="s">
        <v>262</v>
      </c>
      <c r="E372">
        <v>11</v>
      </c>
      <c r="F372">
        <v>66.67</v>
      </c>
      <c r="G372">
        <v>33.33</v>
      </c>
      <c r="H372">
        <v>0</v>
      </c>
      <c r="I372">
        <v>0</v>
      </c>
      <c r="J372" s="1">
        <v>45928.094312187503</v>
      </c>
      <c r="K372" t="s">
        <v>1089</v>
      </c>
      <c r="L372">
        <f>COUNTIF($A$2:A372,A372)</f>
        <v>5</v>
      </c>
    </row>
    <row r="373" spans="1:12" x14ac:dyDescent="0.3">
      <c r="A373">
        <v>12202</v>
      </c>
      <c r="B373" t="s">
        <v>1059</v>
      </c>
      <c r="C373" t="s">
        <v>253</v>
      </c>
      <c r="D373" t="s">
        <v>254</v>
      </c>
      <c r="E373">
        <v>14</v>
      </c>
      <c r="F373">
        <v>55.56</v>
      </c>
      <c r="G373">
        <v>44.44</v>
      </c>
      <c r="H373">
        <v>0</v>
      </c>
      <c r="I373">
        <v>0</v>
      </c>
      <c r="J373" s="1">
        <v>45928.094247824076</v>
      </c>
      <c r="K373" t="s">
        <v>1089</v>
      </c>
      <c r="L373">
        <f>COUNTIF($A$2:A373,A373)</f>
        <v>6</v>
      </c>
    </row>
    <row r="374" spans="1:12" x14ac:dyDescent="0.3">
      <c r="A374">
        <v>12202</v>
      </c>
      <c r="B374" t="s">
        <v>1059</v>
      </c>
      <c r="C374" t="s">
        <v>255</v>
      </c>
      <c r="D374" t="s">
        <v>256</v>
      </c>
      <c r="E374">
        <v>15</v>
      </c>
      <c r="F374">
        <v>55.56</v>
      </c>
      <c r="G374">
        <v>44.44</v>
      </c>
      <c r="H374">
        <v>0</v>
      </c>
      <c r="I374">
        <v>0</v>
      </c>
      <c r="J374" s="1">
        <v>45928.094267777778</v>
      </c>
      <c r="K374" t="s">
        <v>1089</v>
      </c>
      <c r="L374">
        <f>COUNTIF($A$2:A374,A374)</f>
        <v>7</v>
      </c>
    </row>
    <row r="375" spans="1:12" x14ac:dyDescent="0.3">
      <c r="A375">
        <v>12202</v>
      </c>
      <c r="B375" t="s">
        <v>1059</v>
      </c>
      <c r="C375" t="s">
        <v>1085</v>
      </c>
      <c r="D375" t="s">
        <v>1086</v>
      </c>
      <c r="E375">
        <v>13</v>
      </c>
      <c r="F375">
        <v>55.56</v>
      </c>
      <c r="G375">
        <v>44.44</v>
      </c>
      <c r="H375">
        <v>0</v>
      </c>
      <c r="I375">
        <v>0</v>
      </c>
      <c r="J375" s="1">
        <v>45928.094358495371</v>
      </c>
      <c r="K375" t="s">
        <v>1089</v>
      </c>
      <c r="L375">
        <f>COUNTIF($A$2:A375,A375)</f>
        <v>8</v>
      </c>
    </row>
    <row r="376" spans="1:12" x14ac:dyDescent="0.3">
      <c r="A376">
        <v>12202</v>
      </c>
      <c r="B376" t="s">
        <v>1059</v>
      </c>
      <c r="C376" t="s">
        <v>465</v>
      </c>
      <c r="D376" t="s">
        <v>466</v>
      </c>
      <c r="E376">
        <v>17</v>
      </c>
      <c r="F376">
        <v>55.56</v>
      </c>
      <c r="G376">
        <v>33.33</v>
      </c>
      <c r="H376">
        <v>11.11</v>
      </c>
      <c r="I376">
        <v>0</v>
      </c>
      <c r="J376" s="1">
        <v>45928.09465900463</v>
      </c>
      <c r="K376" t="s">
        <v>1089</v>
      </c>
      <c r="L376">
        <f>COUNTIF($A$2:A376,A376)</f>
        <v>9</v>
      </c>
    </row>
    <row r="377" spans="1:12" x14ac:dyDescent="0.3">
      <c r="A377">
        <v>12202</v>
      </c>
      <c r="B377" t="s">
        <v>1059</v>
      </c>
      <c r="C377" t="s">
        <v>265</v>
      </c>
      <c r="D377" t="s">
        <v>266</v>
      </c>
      <c r="E377">
        <v>20</v>
      </c>
      <c r="F377">
        <v>44.44</v>
      </c>
      <c r="G377">
        <v>55.56</v>
      </c>
      <c r="H377">
        <v>0</v>
      </c>
      <c r="I377">
        <v>0</v>
      </c>
      <c r="J377" s="1">
        <v>45928.09433709491</v>
      </c>
      <c r="K377" t="s">
        <v>1089</v>
      </c>
      <c r="L377">
        <f>COUNTIF($A$2:A377,A377)</f>
        <v>10</v>
      </c>
    </row>
    <row r="378" spans="1:12" x14ac:dyDescent="0.3">
      <c r="A378">
        <v>12202</v>
      </c>
      <c r="B378" t="s">
        <v>1059</v>
      </c>
      <c r="C378" t="s">
        <v>257</v>
      </c>
      <c r="D378" t="s">
        <v>258</v>
      </c>
      <c r="E378">
        <v>18</v>
      </c>
      <c r="F378">
        <v>33.33</v>
      </c>
      <c r="G378">
        <v>66.67</v>
      </c>
      <c r="H378">
        <v>0</v>
      </c>
      <c r="I378">
        <v>0</v>
      </c>
      <c r="J378" s="1">
        <v>45928.094288182867</v>
      </c>
      <c r="K378" t="s">
        <v>1089</v>
      </c>
      <c r="L378">
        <f>COUNTIF($A$2:A378,A378)</f>
        <v>11</v>
      </c>
    </row>
    <row r="379" spans="1:12" x14ac:dyDescent="0.3">
      <c r="A379">
        <v>12202</v>
      </c>
      <c r="B379" t="s">
        <v>1059</v>
      </c>
      <c r="C379" t="s">
        <v>1083</v>
      </c>
      <c r="D379" t="s">
        <v>1084</v>
      </c>
      <c r="E379">
        <v>22</v>
      </c>
      <c r="F379">
        <v>22.22</v>
      </c>
      <c r="G379">
        <v>77.78</v>
      </c>
      <c r="H379">
        <v>0</v>
      </c>
      <c r="I379">
        <v>0</v>
      </c>
      <c r="J379" s="1">
        <v>45928.094380868053</v>
      </c>
      <c r="K379" t="s">
        <v>1089</v>
      </c>
      <c r="L379">
        <f>COUNTIF($A$2:A379,A379)</f>
        <v>12</v>
      </c>
    </row>
    <row r="380" spans="1:12" x14ac:dyDescent="0.3">
      <c r="A380">
        <v>12202</v>
      </c>
      <c r="B380" t="s">
        <v>1059</v>
      </c>
      <c r="C380" t="s">
        <v>1081</v>
      </c>
      <c r="D380" t="s">
        <v>1082</v>
      </c>
      <c r="E380">
        <v>25</v>
      </c>
      <c r="F380">
        <v>11.11</v>
      </c>
      <c r="G380">
        <v>88.89</v>
      </c>
      <c r="H380">
        <v>0</v>
      </c>
      <c r="I380">
        <v>0</v>
      </c>
      <c r="J380" s="1">
        <v>45928.094403101852</v>
      </c>
      <c r="K380" t="s">
        <v>1089</v>
      </c>
      <c r="L380">
        <f>COUNTIF($A$2:A380,A380)</f>
        <v>13</v>
      </c>
    </row>
    <row r="381" spans="1:12" x14ac:dyDescent="0.3">
      <c r="A381">
        <v>12202</v>
      </c>
      <c r="B381" t="s">
        <v>1059</v>
      </c>
      <c r="C381" t="s">
        <v>1065</v>
      </c>
      <c r="D381" t="s">
        <v>1066</v>
      </c>
      <c r="E381">
        <v>35</v>
      </c>
      <c r="F381">
        <v>11.11</v>
      </c>
      <c r="G381">
        <v>77.78</v>
      </c>
      <c r="H381">
        <v>11.11</v>
      </c>
      <c r="I381">
        <v>0</v>
      </c>
      <c r="J381" s="1">
        <v>45928.09457173611</v>
      </c>
      <c r="K381" t="s">
        <v>1089</v>
      </c>
      <c r="L381">
        <f>COUNTIF($A$2:A381,A381)</f>
        <v>14</v>
      </c>
    </row>
    <row r="382" spans="1:12" x14ac:dyDescent="0.3">
      <c r="A382">
        <v>12202</v>
      </c>
      <c r="B382" t="s">
        <v>1059</v>
      </c>
      <c r="C382" t="s">
        <v>1063</v>
      </c>
      <c r="D382" t="s">
        <v>1064</v>
      </c>
      <c r="E382">
        <v>66</v>
      </c>
      <c r="F382">
        <v>11.11</v>
      </c>
      <c r="G382">
        <v>22.22</v>
      </c>
      <c r="H382">
        <v>66.67</v>
      </c>
      <c r="I382">
        <v>0</v>
      </c>
      <c r="J382" s="1">
        <v>45928.094592800924</v>
      </c>
      <c r="K382" t="s">
        <v>1089</v>
      </c>
      <c r="L382">
        <f>COUNTIF($A$2:A382,A382)</f>
        <v>15</v>
      </c>
    </row>
    <row r="383" spans="1:12" x14ac:dyDescent="0.3">
      <c r="A383">
        <v>12202</v>
      </c>
      <c r="B383" t="s">
        <v>1059</v>
      </c>
      <c r="C383" t="s">
        <v>1061</v>
      </c>
      <c r="D383" t="s">
        <v>1062</v>
      </c>
      <c r="E383">
        <v>41</v>
      </c>
      <c r="F383">
        <v>11.11</v>
      </c>
      <c r="G383">
        <v>77.78</v>
      </c>
      <c r="H383">
        <v>11.11</v>
      </c>
      <c r="I383">
        <v>0</v>
      </c>
      <c r="J383" s="1">
        <v>45928.094612638888</v>
      </c>
      <c r="K383" t="s">
        <v>1089</v>
      </c>
      <c r="L383">
        <f>COUNTIF($A$2:A383,A383)</f>
        <v>16</v>
      </c>
    </row>
    <row r="384" spans="1:12" x14ac:dyDescent="0.3">
      <c r="A384">
        <v>12202</v>
      </c>
      <c r="B384" t="s">
        <v>1059</v>
      </c>
      <c r="C384" t="s">
        <v>384</v>
      </c>
      <c r="D384" t="s">
        <v>385</v>
      </c>
      <c r="E384">
        <v>45</v>
      </c>
      <c r="F384">
        <v>11.11</v>
      </c>
      <c r="G384">
        <v>66.67</v>
      </c>
      <c r="H384">
        <v>22.22</v>
      </c>
      <c r="I384">
        <v>0</v>
      </c>
      <c r="J384" s="1">
        <v>45928.094634456022</v>
      </c>
      <c r="K384" t="s">
        <v>1089</v>
      </c>
      <c r="L384">
        <f>COUNTIF($A$2:A384,A384)</f>
        <v>17</v>
      </c>
    </row>
    <row r="385" spans="1:12" x14ac:dyDescent="0.3">
      <c r="A385">
        <v>12202</v>
      </c>
      <c r="B385" t="s">
        <v>1059</v>
      </c>
      <c r="C385" t="s">
        <v>1079</v>
      </c>
      <c r="D385" t="s">
        <v>1080</v>
      </c>
      <c r="E385">
        <v>50</v>
      </c>
      <c r="F385">
        <v>0</v>
      </c>
      <c r="G385">
        <v>88.89</v>
      </c>
      <c r="H385">
        <v>11.11</v>
      </c>
      <c r="I385">
        <v>0</v>
      </c>
      <c r="J385" s="1">
        <v>45928.094422662034</v>
      </c>
      <c r="K385" t="s">
        <v>1089</v>
      </c>
      <c r="L385">
        <f>COUNTIF($A$2:A385,A385)</f>
        <v>18</v>
      </c>
    </row>
    <row r="386" spans="1:12" x14ac:dyDescent="0.3">
      <c r="A386">
        <v>12202</v>
      </c>
      <c r="B386" t="s">
        <v>1059</v>
      </c>
      <c r="C386" t="s">
        <v>1077</v>
      </c>
      <c r="D386" t="s">
        <v>1078</v>
      </c>
      <c r="E386">
        <v>55</v>
      </c>
      <c r="F386">
        <v>0</v>
      </c>
      <c r="G386">
        <v>77.78</v>
      </c>
      <c r="H386">
        <v>22.22</v>
      </c>
      <c r="I386">
        <v>0</v>
      </c>
      <c r="J386" s="1">
        <v>45928.09444119213</v>
      </c>
      <c r="K386" t="s">
        <v>1089</v>
      </c>
      <c r="L386">
        <f>COUNTIF($A$2:A386,A386)</f>
        <v>19</v>
      </c>
    </row>
    <row r="387" spans="1:12" x14ac:dyDescent="0.3">
      <c r="A387">
        <v>12202</v>
      </c>
      <c r="B387" t="s">
        <v>1059</v>
      </c>
      <c r="C387" t="s">
        <v>1075</v>
      </c>
      <c r="D387" t="s">
        <v>1076</v>
      </c>
      <c r="E387">
        <v>34</v>
      </c>
      <c r="F387">
        <v>0</v>
      </c>
      <c r="G387">
        <v>88.89</v>
      </c>
      <c r="H387">
        <v>11.11</v>
      </c>
      <c r="I387">
        <v>0</v>
      </c>
      <c r="J387" s="1">
        <v>45928.094458553242</v>
      </c>
      <c r="K387" t="s">
        <v>1089</v>
      </c>
      <c r="L387">
        <f>COUNTIF($A$2:A387,A387)</f>
        <v>20</v>
      </c>
    </row>
    <row r="388" spans="1:12" x14ac:dyDescent="0.3">
      <c r="A388">
        <v>12202</v>
      </c>
      <c r="B388" t="s">
        <v>1059</v>
      </c>
      <c r="C388" t="s">
        <v>1073</v>
      </c>
      <c r="D388" t="s">
        <v>1074</v>
      </c>
      <c r="E388">
        <v>44</v>
      </c>
      <c r="F388">
        <v>0</v>
      </c>
      <c r="G388">
        <v>88.89</v>
      </c>
      <c r="H388">
        <v>11.11</v>
      </c>
      <c r="I388">
        <v>0</v>
      </c>
      <c r="J388" s="1">
        <v>45928.09448255787</v>
      </c>
      <c r="K388" t="s">
        <v>1089</v>
      </c>
      <c r="L388">
        <f>COUNTIF($A$2:A388,A388)</f>
        <v>21</v>
      </c>
    </row>
    <row r="389" spans="1:12" x14ac:dyDescent="0.3">
      <c r="A389">
        <v>12202</v>
      </c>
      <c r="B389" t="s">
        <v>1059</v>
      </c>
      <c r="C389" t="s">
        <v>1071</v>
      </c>
      <c r="D389" t="s">
        <v>1072</v>
      </c>
      <c r="E389">
        <v>0</v>
      </c>
      <c r="F389">
        <v>0</v>
      </c>
      <c r="G389">
        <v>88.89</v>
      </c>
      <c r="H389">
        <v>11.11</v>
      </c>
      <c r="I389">
        <v>0</v>
      </c>
      <c r="J389" s="1">
        <v>45928.094508275462</v>
      </c>
      <c r="K389" t="s">
        <v>1089</v>
      </c>
      <c r="L389">
        <f>COUNTIF($A$2:A389,A389)</f>
        <v>22</v>
      </c>
    </row>
    <row r="390" spans="1:12" x14ac:dyDescent="0.3">
      <c r="A390">
        <v>12202</v>
      </c>
      <c r="B390" t="s">
        <v>1059</v>
      </c>
      <c r="C390" t="s">
        <v>1069</v>
      </c>
      <c r="D390" t="s">
        <v>1070</v>
      </c>
      <c r="E390">
        <v>45</v>
      </c>
      <c r="F390">
        <v>0</v>
      </c>
      <c r="G390">
        <v>66.67</v>
      </c>
      <c r="H390">
        <v>33.33</v>
      </c>
      <c r="I390">
        <v>0</v>
      </c>
      <c r="J390" s="1">
        <v>45928.094530046299</v>
      </c>
      <c r="K390" t="s">
        <v>1089</v>
      </c>
      <c r="L390">
        <f>COUNTIF($A$2:A390,A390)</f>
        <v>23</v>
      </c>
    </row>
    <row r="391" spans="1:12" x14ac:dyDescent="0.3">
      <c r="A391">
        <v>12202</v>
      </c>
      <c r="B391" t="s">
        <v>1059</v>
      </c>
      <c r="C391" t="s">
        <v>1067</v>
      </c>
      <c r="D391" t="s">
        <v>1068</v>
      </c>
      <c r="E391">
        <v>48</v>
      </c>
      <c r="F391">
        <v>0</v>
      </c>
      <c r="G391">
        <v>77.78</v>
      </c>
      <c r="H391">
        <v>22.22</v>
      </c>
      <c r="I391">
        <v>0</v>
      </c>
      <c r="J391" s="1">
        <v>45928.094550092595</v>
      </c>
      <c r="K391" t="s">
        <v>1089</v>
      </c>
      <c r="L391">
        <f>COUNTIF($A$2:A391,A391)</f>
        <v>24</v>
      </c>
    </row>
    <row r="392" spans="1:12" x14ac:dyDescent="0.3">
      <c r="A392">
        <v>12235</v>
      </c>
      <c r="B392" t="s">
        <v>770</v>
      </c>
      <c r="C392" t="s">
        <v>776</v>
      </c>
      <c r="D392" t="s">
        <v>777</v>
      </c>
      <c r="E392">
        <v>3</v>
      </c>
      <c r="F392">
        <v>100</v>
      </c>
      <c r="G392">
        <v>0</v>
      </c>
      <c r="H392">
        <v>0</v>
      </c>
      <c r="I392">
        <v>0</v>
      </c>
      <c r="J392" s="1">
        <v>45928.076936238424</v>
      </c>
      <c r="K392" t="s">
        <v>773</v>
      </c>
      <c r="L392">
        <f>COUNTIF($A$2:A392,A392)</f>
        <v>1</v>
      </c>
    </row>
    <row r="393" spans="1:12" x14ac:dyDescent="0.3">
      <c r="A393">
        <v>12235</v>
      </c>
      <c r="B393" t="s">
        <v>770</v>
      </c>
      <c r="C393" t="s">
        <v>224</v>
      </c>
      <c r="D393" t="s">
        <v>225</v>
      </c>
      <c r="E393">
        <v>1</v>
      </c>
      <c r="F393">
        <v>100</v>
      </c>
      <c r="G393">
        <v>0</v>
      </c>
      <c r="H393">
        <v>0</v>
      </c>
      <c r="I393">
        <v>0</v>
      </c>
      <c r="J393" s="1">
        <v>45928.077068206017</v>
      </c>
      <c r="K393" t="s">
        <v>773</v>
      </c>
      <c r="L393">
        <f>COUNTIF($A$2:A393,A393)</f>
        <v>2</v>
      </c>
    </row>
    <row r="394" spans="1:12" x14ac:dyDescent="0.3">
      <c r="A394">
        <v>12235</v>
      </c>
      <c r="B394" t="s">
        <v>770</v>
      </c>
      <c r="C394" t="s">
        <v>784</v>
      </c>
      <c r="D394" t="s">
        <v>785</v>
      </c>
      <c r="E394">
        <v>6</v>
      </c>
      <c r="F394">
        <v>100</v>
      </c>
      <c r="G394">
        <v>0</v>
      </c>
      <c r="H394">
        <v>0</v>
      </c>
      <c r="I394">
        <v>0</v>
      </c>
      <c r="J394" s="1">
        <v>45928.077085567129</v>
      </c>
      <c r="K394" t="s">
        <v>773</v>
      </c>
      <c r="L394">
        <f>COUNTIF($A$2:A394,A394)</f>
        <v>3</v>
      </c>
    </row>
    <row r="395" spans="1:12" x14ac:dyDescent="0.3">
      <c r="A395">
        <v>12235</v>
      </c>
      <c r="B395" t="s">
        <v>770</v>
      </c>
      <c r="C395" t="s">
        <v>788</v>
      </c>
      <c r="D395" t="s">
        <v>789</v>
      </c>
      <c r="E395">
        <v>0</v>
      </c>
      <c r="F395">
        <v>100</v>
      </c>
      <c r="G395">
        <v>0</v>
      </c>
      <c r="H395">
        <v>0</v>
      </c>
      <c r="I395">
        <v>0</v>
      </c>
      <c r="J395" s="1">
        <v>45928.077122974537</v>
      </c>
      <c r="K395" t="s">
        <v>773</v>
      </c>
      <c r="L395">
        <f>COUNTIF($A$2:A395,A395)</f>
        <v>4</v>
      </c>
    </row>
    <row r="396" spans="1:12" x14ac:dyDescent="0.3">
      <c r="A396">
        <v>12235</v>
      </c>
      <c r="B396" t="s">
        <v>770</v>
      </c>
      <c r="C396" t="s">
        <v>771</v>
      </c>
      <c r="D396" t="s">
        <v>772</v>
      </c>
      <c r="E396">
        <v>6</v>
      </c>
      <c r="F396">
        <v>75</v>
      </c>
      <c r="G396">
        <v>25</v>
      </c>
      <c r="H396">
        <v>0</v>
      </c>
      <c r="I396">
        <v>0</v>
      </c>
      <c r="J396" s="1">
        <v>45928.076895243059</v>
      </c>
      <c r="K396" t="s">
        <v>773</v>
      </c>
      <c r="L396">
        <f>COUNTIF($A$2:A396,A396)</f>
        <v>5</v>
      </c>
    </row>
    <row r="397" spans="1:12" x14ac:dyDescent="0.3">
      <c r="A397">
        <v>12235</v>
      </c>
      <c r="B397" t="s">
        <v>770</v>
      </c>
      <c r="C397" t="s">
        <v>774</v>
      </c>
      <c r="D397" t="s">
        <v>775</v>
      </c>
      <c r="E397">
        <v>12</v>
      </c>
      <c r="F397">
        <v>75</v>
      </c>
      <c r="G397">
        <v>25</v>
      </c>
      <c r="H397">
        <v>0</v>
      </c>
      <c r="I397">
        <v>0</v>
      </c>
      <c r="J397" s="1">
        <v>45928.076915057871</v>
      </c>
      <c r="K397" t="s">
        <v>773</v>
      </c>
      <c r="L397">
        <f>COUNTIF($A$2:A397,A397)</f>
        <v>6</v>
      </c>
    </row>
    <row r="398" spans="1:12" x14ac:dyDescent="0.3">
      <c r="A398">
        <v>12235</v>
      </c>
      <c r="B398" t="s">
        <v>770</v>
      </c>
      <c r="C398" t="s">
        <v>782</v>
      </c>
      <c r="D398" t="s">
        <v>783</v>
      </c>
      <c r="E398">
        <v>18</v>
      </c>
      <c r="F398">
        <v>50</v>
      </c>
      <c r="G398">
        <v>50</v>
      </c>
      <c r="H398">
        <v>0</v>
      </c>
      <c r="I398">
        <v>0</v>
      </c>
      <c r="J398" s="1">
        <v>45928.077004907405</v>
      </c>
      <c r="K398" t="s">
        <v>773</v>
      </c>
      <c r="L398">
        <f>COUNTIF($A$2:A398,A398)</f>
        <v>7</v>
      </c>
    </row>
    <row r="399" spans="1:12" x14ac:dyDescent="0.3">
      <c r="A399">
        <v>12235</v>
      </c>
      <c r="B399" t="s">
        <v>770</v>
      </c>
      <c r="C399" t="s">
        <v>786</v>
      </c>
      <c r="D399" t="s">
        <v>787</v>
      </c>
      <c r="E399">
        <v>13</v>
      </c>
      <c r="F399">
        <v>50</v>
      </c>
      <c r="G399">
        <v>50</v>
      </c>
      <c r="H399">
        <v>0</v>
      </c>
      <c r="I399">
        <v>0</v>
      </c>
      <c r="J399" s="1">
        <v>45928.077107546298</v>
      </c>
      <c r="K399" t="s">
        <v>773</v>
      </c>
      <c r="L399">
        <f>COUNTIF($A$2:A399,A399)</f>
        <v>8</v>
      </c>
    </row>
    <row r="400" spans="1:12" x14ac:dyDescent="0.3">
      <c r="A400">
        <v>12235</v>
      </c>
      <c r="B400" t="s">
        <v>770</v>
      </c>
      <c r="C400" t="s">
        <v>778</v>
      </c>
      <c r="D400" t="s">
        <v>779</v>
      </c>
      <c r="E400">
        <v>0</v>
      </c>
      <c r="F400">
        <v>25</v>
      </c>
      <c r="G400">
        <v>75</v>
      </c>
      <c r="H400">
        <v>0</v>
      </c>
      <c r="I400">
        <v>0</v>
      </c>
      <c r="J400" s="1">
        <v>45928.076966377317</v>
      </c>
      <c r="K400" t="s">
        <v>773</v>
      </c>
      <c r="L400">
        <f>COUNTIF($A$2:A400,A400)</f>
        <v>9</v>
      </c>
    </row>
    <row r="401" spans="1:12" x14ac:dyDescent="0.3">
      <c r="A401">
        <v>12235</v>
      </c>
      <c r="B401" t="s">
        <v>770</v>
      </c>
      <c r="C401" t="s">
        <v>780</v>
      </c>
      <c r="D401" t="s">
        <v>781</v>
      </c>
      <c r="E401">
        <v>35</v>
      </c>
      <c r="F401">
        <v>0</v>
      </c>
      <c r="G401">
        <v>100</v>
      </c>
      <c r="H401">
        <v>0</v>
      </c>
      <c r="I401">
        <v>0</v>
      </c>
      <c r="J401" s="1">
        <v>45928.076986157408</v>
      </c>
      <c r="K401" t="s">
        <v>773</v>
      </c>
      <c r="L401">
        <f>COUNTIF($A$2:A401,A401)</f>
        <v>10</v>
      </c>
    </row>
    <row r="402" spans="1:12" x14ac:dyDescent="0.3">
      <c r="A402">
        <v>12235</v>
      </c>
      <c r="B402" t="s">
        <v>770</v>
      </c>
      <c r="C402" t="s">
        <v>230</v>
      </c>
      <c r="D402" t="s">
        <v>230</v>
      </c>
      <c r="E402">
        <v>38</v>
      </c>
      <c r="F402">
        <v>0</v>
      </c>
      <c r="G402">
        <v>100</v>
      </c>
      <c r="H402">
        <v>0</v>
      </c>
      <c r="I402">
        <v>0</v>
      </c>
      <c r="J402" s="1">
        <v>45928.077026620369</v>
      </c>
      <c r="K402" t="s">
        <v>773</v>
      </c>
      <c r="L402">
        <f>COUNTIF($A$2:A402,A402)</f>
        <v>11</v>
      </c>
    </row>
    <row r="403" spans="1:12" x14ac:dyDescent="0.3">
      <c r="A403">
        <v>12235</v>
      </c>
      <c r="B403" t="s">
        <v>770</v>
      </c>
      <c r="C403" t="s">
        <v>228</v>
      </c>
      <c r="D403" t="s">
        <v>229</v>
      </c>
      <c r="E403">
        <v>51</v>
      </c>
      <c r="F403">
        <v>0</v>
      </c>
      <c r="G403">
        <v>75</v>
      </c>
      <c r="H403">
        <v>25</v>
      </c>
      <c r="I403">
        <v>0</v>
      </c>
      <c r="J403" s="1">
        <v>45928.07704733796</v>
      </c>
      <c r="K403" t="s">
        <v>773</v>
      </c>
      <c r="L403">
        <f>COUNTIF($A$2:A403,A403)</f>
        <v>12</v>
      </c>
    </row>
    <row r="404" spans="1:12" x14ac:dyDescent="0.3">
      <c r="A404">
        <v>12236</v>
      </c>
      <c r="B404" t="s">
        <v>770</v>
      </c>
      <c r="C404" t="s">
        <v>776</v>
      </c>
      <c r="D404" t="s">
        <v>777</v>
      </c>
      <c r="E404">
        <v>143</v>
      </c>
      <c r="F404">
        <v>50</v>
      </c>
      <c r="G404">
        <v>0</v>
      </c>
      <c r="H404">
        <v>50</v>
      </c>
      <c r="I404">
        <v>0</v>
      </c>
      <c r="J404" s="1">
        <v>45928.077369548613</v>
      </c>
      <c r="K404" t="s">
        <v>790</v>
      </c>
      <c r="L404">
        <f>COUNTIF($A$2:A404,A404)</f>
        <v>1</v>
      </c>
    </row>
    <row r="405" spans="1:12" x14ac:dyDescent="0.3">
      <c r="A405">
        <v>12236</v>
      </c>
      <c r="B405" t="s">
        <v>770</v>
      </c>
      <c r="C405" t="s">
        <v>774</v>
      </c>
      <c r="D405" t="s">
        <v>775</v>
      </c>
      <c r="E405">
        <v>152</v>
      </c>
      <c r="F405">
        <v>50</v>
      </c>
      <c r="G405">
        <v>0</v>
      </c>
      <c r="H405">
        <v>50</v>
      </c>
      <c r="I405">
        <v>0</v>
      </c>
      <c r="J405" s="1">
        <v>45928.077387858793</v>
      </c>
      <c r="K405" t="s">
        <v>790</v>
      </c>
      <c r="L405">
        <f>COUNTIF($A$2:A405,A405)</f>
        <v>2</v>
      </c>
    </row>
    <row r="406" spans="1:12" x14ac:dyDescent="0.3">
      <c r="A406">
        <v>12236</v>
      </c>
      <c r="B406" t="s">
        <v>770</v>
      </c>
      <c r="C406" t="s">
        <v>771</v>
      </c>
      <c r="D406" t="s">
        <v>772</v>
      </c>
      <c r="E406">
        <v>126</v>
      </c>
      <c r="F406">
        <v>50</v>
      </c>
      <c r="G406">
        <v>0</v>
      </c>
      <c r="H406">
        <v>50</v>
      </c>
      <c r="I406">
        <v>0</v>
      </c>
      <c r="J406" s="1">
        <v>45928.077407835648</v>
      </c>
      <c r="K406" t="s">
        <v>790</v>
      </c>
      <c r="L406">
        <f>COUNTIF($A$2:A406,A406)</f>
        <v>3</v>
      </c>
    </row>
    <row r="407" spans="1:12" x14ac:dyDescent="0.3">
      <c r="A407">
        <v>12236</v>
      </c>
      <c r="B407" t="s">
        <v>770</v>
      </c>
      <c r="C407" t="s">
        <v>788</v>
      </c>
      <c r="D407" t="s">
        <v>789</v>
      </c>
      <c r="E407">
        <v>0</v>
      </c>
      <c r="F407">
        <v>25</v>
      </c>
      <c r="G407">
        <v>25</v>
      </c>
      <c r="H407">
        <v>50</v>
      </c>
      <c r="I407">
        <v>0</v>
      </c>
      <c r="J407" s="1">
        <v>45928.077196388891</v>
      </c>
      <c r="K407" t="s">
        <v>790</v>
      </c>
      <c r="L407">
        <f>COUNTIF($A$2:A407,A407)</f>
        <v>4</v>
      </c>
    </row>
    <row r="408" spans="1:12" x14ac:dyDescent="0.3">
      <c r="A408">
        <v>12236</v>
      </c>
      <c r="B408" t="s">
        <v>770</v>
      </c>
      <c r="C408" t="s">
        <v>786</v>
      </c>
      <c r="D408" t="s">
        <v>787</v>
      </c>
      <c r="E408">
        <v>0</v>
      </c>
      <c r="F408">
        <v>25</v>
      </c>
      <c r="G408">
        <v>25</v>
      </c>
      <c r="H408">
        <v>50</v>
      </c>
      <c r="I408">
        <v>0</v>
      </c>
      <c r="J408" s="1">
        <v>45928.077219247687</v>
      </c>
      <c r="K408" t="s">
        <v>790</v>
      </c>
      <c r="L408">
        <f>COUNTIF($A$2:A408,A408)</f>
        <v>5</v>
      </c>
    </row>
    <row r="409" spans="1:12" x14ac:dyDescent="0.3">
      <c r="A409">
        <v>12236</v>
      </c>
      <c r="B409" t="s">
        <v>770</v>
      </c>
      <c r="C409" t="s">
        <v>784</v>
      </c>
      <c r="D409" t="s">
        <v>785</v>
      </c>
      <c r="E409">
        <v>159</v>
      </c>
      <c r="F409">
        <v>25</v>
      </c>
      <c r="G409">
        <v>25</v>
      </c>
      <c r="H409">
        <v>50</v>
      </c>
      <c r="I409">
        <v>0</v>
      </c>
      <c r="J409" s="1">
        <v>45928.077235358796</v>
      </c>
      <c r="K409" t="s">
        <v>790</v>
      </c>
      <c r="L409">
        <f>COUNTIF($A$2:A409,A409)</f>
        <v>6</v>
      </c>
    </row>
    <row r="410" spans="1:12" x14ac:dyDescent="0.3">
      <c r="A410">
        <v>12236</v>
      </c>
      <c r="B410" t="s">
        <v>770</v>
      </c>
      <c r="C410" t="s">
        <v>224</v>
      </c>
      <c r="D410" t="s">
        <v>225</v>
      </c>
      <c r="E410">
        <v>147</v>
      </c>
      <c r="F410">
        <v>25</v>
      </c>
      <c r="G410">
        <v>25</v>
      </c>
      <c r="H410">
        <v>50</v>
      </c>
      <c r="I410">
        <v>0</v>
      </c>
      <c r="J410" s="1">
        <v>45928.077253819443</v>
      </c>
      <c r="K410" t="s">
        <v>790</v>
      </c>
      <c r="L410">
        <f>COUNTIF($A$2:A410,A410)</f>
        <v>7</v>
      </c>
    </row>
    <row r="411" spans="1:12" x14ac:dyDescent="0.3">
      <c r="A411">
        <v>12236</v>
      </c>
      <c r="B411" t="s">
        <v>770</v>
      </c>
      <c r="C411" t="s">
        <v>228</v>
      </c>
      <c r="D411" t="s">
        <v>229</v>
      </c>
      <c r="E411">
        <v>152</v>
      </c>
      <c r="F411">
        <v>25</v>
      </c>
      <c r="G411">
        <v>25</v>
      </c>
      <c r="H411">
        <v>50</v>
      </c>
      <c r="I411">
        <v>0</v>
      </c>
      <c r="J411" s="1">
        <v>45928.077271331022</v>
      </c>
      <c r="K411" t="s">
        <v>790</v>
      </c>
      <c r="L411">
        <f>COUNTIF($A$2:A411,A411)</f>
        <v>8</v>
      </c>
    </row>
    <row r="412" spans="1:12" x14ac:dyDescent="0.3">
      <c r="A412">
        <v>12236</v>
      </c>
      <c r="B412" t="s">
        <v>770</v>
      </c>
      <c r="C412" t="s">
        <v>230</v>
      </c>
      <c r="D412" t="s">
        <v>230</v>
      </c>
      <c r="E412">
        <v>157</v>
      </c>
      <c r="F412">
        <v>25</v>
      </c>
      <c r="G412">
        <v>25</v>
      </c>
      <c r="H412">
        <v>50</v>
      </c>
      <c r="I412">
        <v>0</v>
      </c>
      <c r="J412" s="1">
        <v>45928.077289803237</v>
      </c>
      <c r="K412" t="s">
        <v>790</v>
      </c>
      <c r="L412">
        <f>COUNTIF($A$2:A412,A412)</f>
        <v>9</v>
      </c>
    </row>
    <row r="413" spans="1:12" x14ac:dyDescent="0.3">
      <c r="A413">
        <v>12236</v>
      </c>
      <c r="B413" t="s">
        <v>770</v>
      </c>
      <c r="C413" t="s">
        <v>782</v>
      </c>
      <c r="D413" t="s">
        <v>783</v>
      </c>
      <c r="E413">
        <v>0</v>
      </c>
      <c r="F413">
        <v>0</v>
      </c>
      <c r="G413">
        <v>50</v>
      </c>
      <c r="H413">
        <v>50</v>
      </c>
      <c r="I413">
        <v>0</v>
      </c>
      <c r="J413" s="1">
        <v>45928.077311944442</v>
      </c>
      <c r="K413" t="s">
        <v>790</v>
      </c>
      <c r="L413">
        <f>COUNTIF($A$2:A413,A413)</f>
        <v>10</v>
      </c>
    </row>
    <row r="414" spans="1:12" x14ac:dyDescent="0.3">
      <c r="A414">
        <v>12236</v>
      </c>
      <c r="B414" t="s">
        <v>770</v>
      </c>
      <c r="C414" t="s">
        <v>780</v>
      </c>
      <c r="D414" t="s">
        <v>781</v>
      </c>
      <c r="E414">
        <v>0</v>
      </c>
      <c r="F414">
        <v>0</v>
      </c>
      <c r="G414">
        <v>25</v>
      </c>
      <c r="H414">
        <v>75</v>
      </c>
      <c r="I414">
        <v>0</v>
      </c>
      <c r="J414" s="1">
        <v>45928.077331689812</v>
      </c>
      <c r="K414" t="s">
        <v>790</v>
      </c>
      <c r="L414">
        <f>COUNTIF($A$2:A414,A414)</f>
        <v>11</v>
      </c>
    </row>
    <row r="415" spans="1:12" x14ac:dyDescent="0.3">
      <c r="A415">
        <v>12236</v>
      </c>
      <c r="B415" t="s">
        <v>770</v>
      </c>
      <c r="C415" t="s">
        <v>778</v>
      </c>
      <c r="D415" t="s">
        <v>779</v>
      </c>
      <c r="E415">
        <v>0</v>
      </c>
      <c r="F415">
        <v>0</v>
      </c>
      <c r="G415">
        <v>25</v>
      </c>
      <c r="H415">
        <v>75</v>
      </c>
      <c r="I415">
        <v>0</v>
      </c>
      <c r="J415" s="1">
        <v>45928.077351412037</v>
      </c>
      <c r="K415" t="s">
        <v>790</v>
      </c>
      <c r="L415">
        <f>COUNTIF($A$2:A415,A415)</f>
        <v>12</v>
      </c>
    </row>
    <row r="416" spans="1:12" x14ac:dyDescent="0.3">
      <c r="A416">
        <v>12245</v>
      </c>
      <c r="B416" t="s">
        <v>770</v>
      </c>
      <c r="C416" t="s">
        <v>114</v>
      </c>
      <c r="D416" t="s">
        <v>115</v>
      </c>
      <c r="E416">
        <v>13</v>
      </c>
      <c r="F416">
        <v>86.36</v>
      </c>
      <c r="G416">
        <v>9.09</v>
      </c>
      <c r="H416">
        <v>4.55</v>
      </c>
      <c r="I416">
        <v>0</v>
      </c>
      <c r="J416" s="1">
        <v>45928.077488993054</v>
      </c>
      <c r="K416" t="s">
        <v>791</v>
      </c>
      <c r="L416">
        <f>COUNTIF($A$2:A416,A416)</f>
        <v>1</v>
      </c>
    </row>
    <row r="417" spans="1:12" x14ac:dyDescent="0.3">
      <c r="A417">
        <v>12245</v>
      </c>
      <c r="B417" t="s">
        <v>770</v>
      </c>
      <c r="C417" t="s">
        <v>187</v>
      </c>
      <c r="D417" t="s">
        <v>188</v>
      </c>
      <c r="E417">
        <v>77</v>
      </c>
      <c r="F417">
        <v>40.909999999999997</v>
      </c>
      <c r="G417">
        <v>27.27</v>
      </c>
      <c r="H417">
        <v>31.82</v>
      </c>
      <c r="I417">
        <v>0</v>
      </c>
      <c r="J417" s="1">
        <v>45928.077643784723</v>
      </c>
      <c r="K417" t="s">
        <v>791</v>
      </c>
      <c r="L417">
        <f>COUNTIF($A$2:A417,A417)</f>
        <v>2</v>
      </c>
    </row>
    <row r="418" spans="1:12" x14ac:dyDescent="0.3">
      <c r="A418">
        <v>12245</v>
      </c>
      <c r="B418" t="s">
        <v>770</v>
      </c>
      <c r="C418" t="s">
        <v>275</v>
      </c>
      <c r="D418" t="s">
        <v>276</v>
      </c>
      <c r="E418">
        <v>97</v>
      </c>
      <c r="F418">
        <v>18.18</v>
      </c>
      <c r="G418">
        <v>27.27</v>
      </c>
      <c r="H418">
        <v>54.55</v>
      </c>
      <c r="I418">
        <v>0</v>
      </c>
      <c r="J418" s="1">
        <v>45928.077601423611</v>
      </c>
      <c r="K418" t="s">
        <v>791</v>
      </c>
      <c r="L418">
        <f>COUNTIF($A$2:A418,A418)</f>
        <v>3</v>
      </c>
    </row>
    <row r="419" spans="1:12" x14ac:dyDescent="0.3">
      <c r="A419">
        <v>12245</v>
      </c>
      <c r="B419" t="s">
        <v>770</v>
      </c>
      <c r="C419" t="s">
        <v>149</v>
      </c>
      <c r="D419" t="s">
        <v>150</v>
      </c>
      <c r="E419">
        <v>93</v>
      </c>
      <c r="F419">
        <v>13.64</v>
      </c>
      <c r="G419">
        <v>31.82</v>
      </c>
      <c r="H419">
        <v>54.55</v>
      </c>
      <c r="I419">
        <v>0</v>
      </c>
      <c r="J419" s="1">
        <v>45928.077551481481</v>
      </c>
      <c r="K419" t="s">
        <v>791</v>
      </c>
      <c r="L419">
        <f>COUNTIF($A$2:A419,A419)</f>
        <v>4</v>
      </c>
    </row>
    <row r="420" spans="1:12" x14ac:dyDescent="0.3">
      <c r="A420">
        <v>12245</v>
      </c>
      <c r="B420" t="s">
        <v>770</v>
      </c>
      <c r="C420" t="s">
        <v>88</v>
      </c>
      <c r="D420" t="s">
        <v>89</v>
      </c>
      <c r="E420">
        <v>0</v>
      </c>
      <c r="F420">
        <v>4.55</v>
      </c>
      <c r="G420">
        <v>31.82</v>
      </c>
      <c r="H420">
        <v>63.64</v>
      </c>
      <c r="I420">
        <v>0</v>
      </c>
      <c r="J420" s="1">
        <v>45928.077580902776</v>
      </c>
      <c r="K420" t="s">
        <v>791</v>
      </c>
      <c r="L420">
        <f>COUNTIF($A$2:A420,A420)</f>
        <v>5</v>
      </c>
    </row>
    <row r="421" spans="1:12" x14ac:dyDescent="0.3">
      <c r="A421">
        <v>12245</v>
      </c>
      <c r="B421" t="s">
        <v>770</v>
      </c>
      <c r="C421" t="s">
        <v>127</v>
      </c>
      <c r="D421" t="s">
        <v>128</v>
      </c>
      <c r="E421">
        <v>111</v>
      </c>
      <c r="F421">
        <v>0</v>
      </c>
      <c r="G421">
        <v>18.18</v>
      </c>
      <c r="H421">
        <v>81.819999999999993</v>
      </c>
      <c r="I421">
        <v>0</v>
      </c>
      <c r="J421" s="1">
        <v>45928.077506111113</v>
      </c>
      <c r="K421" t="s">
        <v>791</v>
      </c>
      <c r="L421">
        <f>COUNTIF($A$2:A421,A421)</f>
        <v>6</v>
      </c>
    </row>
    <row r="422" spans="1:12" x14ac:dyDescent="0.3">
      <c r="A422">
        <v>12246</v>
      </c>
      <c r="B422" t="s">
        <v>770</v>
      </c>
      <c r="C422" t="s">
        <v>187</v>
      </c>
      <c r="D422" t="s">
        <v>188</v>
      </c>
      <c r="E422">
        <v>0</v>
      </c>
      <c r="F422">
        <v>93.87</v>
      </c>
      <c r="G422">
        <v>4.9800000000000004</v>
      </c>
      <c r="H422">
        <v>0.77</v>
      </c>
      <c r="I422">
        <v>0.38</v>
      </c>
      <c r="J422" s="1">
        <v>45928.077702650466</v>
      </c>
      <c r="K422" t="s">
        <v>792</v>
      </c>
      <c r="L422">
        <f>COUNTIF($A$2:A422,A422)</f>
        <v>1</v>
      </c>
    </row>
    <row r="423" spans="1:12" x14ac:dyDescent="0.3">
      <c r="A423">
        <v>12246</v>
      </c>
      <c r="B423" t="s">
        <v>770</v>
      </c>
      <c r="C423" t="s">
        <v>149</v>
      </c>
      <c r="D423" t="s">
        <v>150</v>
      </c>
      <c r="E423">
        <v>15</v>
      </c>
      <c r="F423">
        <v>72.41</v>
      </c>
      <c r="G423">
        <v>24.14</v>
      </c>
      <c r="H423">
        <v>3.07</v>
      </c>
      <c r="I423">
        <v>0.38</v>
      </c>
      <c r="J423" s="1">
        <v>45928.077756574072</v>
      </c>
      <c r="K423" t="s">
        <v>792</v>
      </c>
      <c r="L423">
        <f>COUNTIF($A$2:A423,A423)</f>
        <v>2</v>
      </c>
    </row>
    <row r="424" spans="1:12" x14ac:dyDescent="0.3">
      <c r="A424">
        <v>12246</v>
      </c>
      <c r="B424" t="s">
        <v>770</v>
      </c>
      <c r="C424" t="s">
        <v>275</v>
      </c>
      <c r="D424" t="s">
        <v>276</v>
      </c>
      <c r="E424">
        <v>13</v>
      </c>
      <c r="F424">
        <v>69.349999999999994</v>
      </c>
      <c r="G424">
        <v>28.35</v>
      </c>
      <c r="H424">
        <v>1.92</v>
      </c>
      <c r="I424">
        <v>0.38</v>
      </c>
      <c r="J424" s="1">
        <v>45928.077718437497</v>
      </c>
      <c r="K424" t="s">
        <v>792</v>
      </c>
      <c r="L424">
        <f>COUNTIF($A$2:A424,A424)</f>
        <v>3</v>
      </c>
    </row>
    <row r="425" spans="1:12" x14ac:dyDescent="0.3">
      <c r="A425">
        <v>12246</v>
      </c>
      <c r="B425" t="s">
        <v>770</v>
      </c>
      <c r="C425" t="s">
        <v>114</v>
      </c>
      <c r="D425" t="s">
        <v>115</v>
      </c>
      <c r="E425">
        <v>0</v>
      </c>
      <c r="F425">
        <v>50.96</v>
      </c>
      <c r="G425">
        <v>23.75</v>
      </c>
      <c r="H425">
        <v>24.9</v>
      </c>
      <c r="I425">
        <v>0.38</v>
      </c>
      <c r="J425" s="1">
        <v>45928.077822569445</v>
      </c>
      <c r="K425" t="s">
        <v>792</v>
      </c>
      <c r="L425">
        <f>COUNTIF($A$2:A425,A425)</f>
        <v>4</v>
      </c>
    </row>
    <row r="426" spans="1:12" x14ac:dyDescent="0.3">
      <c r="A426">
        <v>12246</v>
      </c>
      <c r="B426" t="s">
        <v>770</v>
      </c>
      <c r="C426" t="s">
        <v>88</v>
      </c>
      <c r="D426" t="s">
        <v>89</v>
      </c>
      <c r="E426">
        <v>22</v>
      </c>
      <c r="F426">
        <v>43.68</v>
      </c>
      <c r="G426">
        <v>50.19</v>
      </c>
      <c r="H426">
        <v>5.75</v>
      </c>
      <c r="I426">
        <v>0.38</v>
      </c>
      <c r="J426" s="1">
        <v>45928.077734432867</v>
      </c>
      <c r="K426" t="s">
        <v>792</v>
      </c>
      <c r="L426">
        <f>COUNTIF($A$2:A426,A426)</f>
        <v>5</v>
      </c>
    </row>
    <row r="427" spans="1:12" x14ac:dyDescent="0.3">
      <c r="A427">
        <v>12246</v>
      </c>
      <c r="B427" t="s">
        <v>770</v>
      </c>
      <c r="C427" t="s">
        <v>127</v>
      </c>
      <c r="D427" t="s">
        <v>128</v>
      </c>
      <c r="E427">
        <v>41</v>
      </c>
      <c r="F427">
        <v>12.26</v>
      </c>
      <c r="G427">
        <v>76.25</v>
      </c>
      <c r="H427">
        <v>11.11</v>
      </c>
      <c r="I427">
        <v>0.38</v>
      </c>
      <c r="J427" s="1">
        <v>45928.077780046297</v>
      </c>
      <c r="K427" t="s">
        <v>792</v>
      </c>
      <c r="L427">
        <f>COUNTIF($A$2:A427,A427)</f>
        <v>6</v>
      </c>
    </row>
    <row r="428" spans="1:12" x14ac:dyDescent="0.3">
      <c r="A428">
        <v>12259</v>
      </c>
      <c r="B428" t="s">
        <v>793</v>
      </c>
      <c r="C428" t="s">
        <v>794</v>
      </c>
      <c r="D428" t="s">
        <v>795</v>
      </c>
      <c r="E428">
        <v>0</v>
      </c>
      <c r="F428">
        <v>100</v>
      </c>
      <c r="G428">
        <v>0</v>
      </c>
      <c r="H428">
        <v>0</v>
      </c>
      <c r="I428">
        <v>0</v>
      </c>
      <c r="J428" s="1">
        <v>45928.077882650461</v>
      </c>
      <c r="K428" t="s">
        <v>796</v>
      </c>
      <c r="L428">
        <f>COUNTIF($A$2:A428,A428)</f>
        <v>1</v>
      </c>
    </row>
    <row r="429" spans="1:12" x14ac:dyDescent="0.3">
      <c r="A429">
        <v>12259</v>
      </c>
      <c r="B429" t="s">
        <v>793</v>
      </c>
      <c r="C429" t="s">
        <v>757</v>
      </c>
      <c r="D429" t="s">
        <v>758</v>
      </c>
      <c r="E429">
        <v>4</v>
      </c>
      <c r="F429">
        <v>94.12</v>
      </c>
      <c r="G429">
        <v>5.88</v>
      </c>
      <c r="H429">
        <v>0</v>
      </c>
      <c r="I429">
        <v>0</v>
      </c>
      <c r="J429" s="1">
        <v>45928.077928969906</v>
      </c>
      <c r="K429" t="s">
        <v>796</v>
      </c>
      <c r="L429">
        <f>COUNTIF($A$2:A429,A429)</f>
        <v>2</v>
      </c>
    </row>
    <row r="430" spans="1:12" x14ac:dyDescent="0.3">
      <c r="A430">
        <v>12259</v>
      </c>
      <c r="B430" t="s">
        <v>793</v>
      </c>
      <c r="C430" t="s">
        <v>224</v>
      </c>
      <c r="D430" t="s">
        <v>225</v>
      </c>
      <c r="E430">
        <v>4</v>
      </c>
      <c r="F430">
        <v>94.12</v>
      </c>
      <c r="G430">
        <v>5.88</v>
      </c>
      <c r="H430">
        <v>0</v>
      </c>
      <c r="I430">
        <v>0</v>
      </c>
      <c r="J430" s="1">
        <v>45928.078016342595</v>
      </c>
      <c r="K430" t="s">
        <v>796</v>
      </c>
      <c r="L430">
        <f>COUNTIF($A$2:A430,A430)</f>
        <v>3</v>
      </c>
    </row>
    <row r="431" spans="1:12" x14ac:dyDescent="0.3">
      <c r="A431">
        <v>12259</v>
      </c>
      <c r="B431" t="s">
        <v>793</v>
      </c>
      <c r="C431" t="s">
        <v>797</v>
      </c>
      <c r="D431" t="s">
        <v>798</v>
      </c>
      <c r="E431">
        <v>11</v>
      </c>
      <c r="F431">
        <v>82.35</v>
      </c>
      <c r="G431">
        <v>17.649999999999999</v>
      </c>
      <c r="H431">
        <v>0</v>
      </c>
      <c r="I431">
        <v>0</v>
      </c>
      <c r="J431" s="1">
        <v>45928.07797056713</v>
      </c>
      <c r="K431" t="s">
        <v>796</v>
      </c>
      <c r="L431">
        <f>COUNTIF($A$2:A431,A431)</f>
        <v>4</v>
      </c>
    </row>
    <row r="432" spans="1:12" x14ac:dyDescent="0.3">
      <c r="A432">
        <v>12259</v>
      </c>
      <c r="B432" t="s">
        <v>793</v>
      </c>
      <c r="C432" t="s">
        <v>786</v>
      </c>
      <c r="D432" t="s">
        <v>787</v>
      </c>
      <c r="E432">
        <v>11</v>
      </c>
      <c r="F432">
        <v>76.47</v>
      </c>
      <c r="G432">
        <v>23.53</v>
      </c>
      <c r="H432">
        <v>0</v>
      </c>
      <c r="I432">
        <v>0</v>
      </c>
      <c r="J432" s="1">
        <v>45928.078037824074</v>
      </c>
      <c r="K432" t="s">
        <v>796</v>
      </c>
      <c r="L432">
        <f>COUNTIF($A$2:A432,A432)</f>
        <v>5</v>
      </c>
    </row>
    <row r="433" spans="1:12" x14ac:dyDescent="0.3">
      <c r="A433">
        <v>12259</v>
      </c>
      <c r="B433" t="s">
        <v>793</v>
      </c>
      <c r="C433" t="s">
        <v>809</v>
      </c>
      <c r="D433" t="s">
        <v>810</v>
      </c>
      <c r="E433">
        <v>7</v>
      </c>
      <c r="F433">
        <v>70.59</v>
      </c>
      <c r="G433">
        <v>23.53</v>
      </c>
      <c r="H433">
        <v>5.88</v>
      </c>
      <c r="I433">
        <v>0</v>
      </c>
      <c r="J433" s="1">
        <v>45928.078321886576</v>
      </c>
      <c r="K433" t="s">
        <v>796</v>
      </c>
      <c r="L433">
        <f>COUNTIF($A$2:A433,A433)</f>
        <v>6</v>
      </c>
    </row>
    <row r="434" spans="1:12" x14ac:dyDescent="0.3">
      <c r="A434">
        <v>12259</v>
      </c>
      <c r="B434" t="s">
        <v>793</v>
      </c>
      <c r="C434" t="s">
        <v>110</v>
      </c>
      <c r="D434" t="s">
        <v>111</v>
      </c>
      <c r="E434">
        <v>14</v>
      </c>
      <c r="F434">
        <v>64.709999999999994</v>
      </c>
      <c r="G434">
        <v>29.41</v>
      </c>
      <c r="H434">
        <v>5.88</v>
      </c>
      <c r="I434">
        <v>0</v>
      </c>
      <c r="J434" s="1">
        <v>45928.078083680557</v>
      </c>
      <c r="K434" t="s">
        <v>796</v>
      </c>
      <c r="L434">
        <f>COUNTIF($A$2:A434,A434)</f>
        <v>7</v>
      </c>
    </row>
    <row r="435" spans="1:12" x14ac:dyDescent="0.3">
      <c r="A435">
        <v>12259</v>
      </c>
      <c r="B435" t="s">
        <v>793</v>
      </c>
      <c r="C435" t="s">
        <v>799</v>
      </c>
      <c r="D435" t="s">
        <v>800</v>
      </c>
      <c r="E435">
        <v>24</v>
      </c>
      <c r="F435">
        <v>64.709999999999994</v>
      </c>
      <c r="G435">
        <v>29.41</v>
      </c>
      <c r="H435">
        <v>5.88</v>
      </c>
      <c r="I435">
        <v>0</v>
      </c>
      <c r="J435" s="1">
        <v>45928.078132314811</v>
      </c>
      <c r="K435" t="s">
        <v>796</v>
      </c>
      <c r="L435">
        <f>COUNTIF($A$2:A435,A435)</f>
        <v>8</v>
      </c>
    </row>
    <row r="436" spans="1:12" x14ac:dyDescent="0.3">
      <c r="A436">
        <v>12259</v>
      </c>
      <c r="B436" t="s">
        <v>793</v>
      </c>
      <c r="C436" t="s">
        <v>801</v>
      </c>
      <c r="D436" t="s">
        <v>802</v>
      </c>
      <c r="E436">
        <v>28</v>
      </c>
      <c r="F436">
        <v>64.709999999999994</v>
      </c>
      <c r="G436">
        <v>11.76</v>
      </c>
      <c r="H436">
        <v>23.53</v>
      </c>
      <c r="I436">
        <v>0</v>
      </c>
      <c r="J436" s="1">
        <v>45928.07818034722</v>
      </c>
      <c r="K436" t="s">
        <v>796</v>
      </c>
      <c r="L436">
        <f>COUNTIF($A$2:A436,A436)</f>
        <v>9</v>
      </c>
    </row>
    <row r="437" spans="1:12" x14ac:dyDescent="0.3">
      <c r="A437">
        <v>12259</v>
      </c>
      <c r="B437" t="s">
        <v>793</v>
      </c>
      <c r="C437" t="s">
        <v>803</v>
      </c>
      <c r="D437" t="s">
        <v>804</v>
      </c>
      <c r="E437">
        <v>41</v>
      </c>
      <c r="F437">
        <v>29.41</v>
      </c>
      <c r="G437">
        <v>47.06</v>
      </c>
      <c r="H437">
        <v>23.53</v>
      </c>
      <c r="I437">
        <v>0</v>
      </c>
      <c r="J437" s="1">
        <v>45928.078200555552</v>
      </c>
      <c r="K437" t="s">
        <v>796</v>
      </c>
      <c r="L437">
        <f>COUNTIF($A$2:A437,A437)</f>
        <v>10</v>
      </c>
    </row>
    <row r="438" spans="1:12" x14ac:dyDescent="0.3">
      <c r="A438">
        <v>12259</v>
      </c>
      <c r="B438" t="s">
        <v>793</v>
      </c>
      <c r="C438" t="s">
        <v>805</v>
      </c>
      <c r="D438" t="s">
        <v>806</v>
      </c>
      <c r="E438">
        <v>0</v>
      </c>
      <c r="F438">
        <v>5.88</v>
      </c>
      <c r="G438">
        <v>64.709999999999994</v>
      </c>
      <c r="H438">
        <v>29.41</v>
      </c>
      <c r="I438">
        <v>0</v>
      </c>
      <c r="J438" s="1">
        <v>45928.078232106483</v>
      </c>
      <c r="K438" t="s">
        <v>796</v>
      </c>
      <c r="L438">
        <f>COUNTIF($A$2:A438,A438)</f>
        <v>11</v>
      </c>
    </row>
    <row r="439" spans="1:12" x14ac:dyDescent="0.3">
      <c r="A439">
        <v>12259</v>
      </c>
      <c r="B439" t="s">
        <v>793</v>
      </c>
      <c r="C439" t="s">
        <v>807</v>
      </c>
      <c r="D439" t="s">
        <v>808</v>
      </c>
      <c r="E439">
        <v>57</v>
      </c>
      <c r="F439">
        <v>0</v>
      </c>
      <c r="G439">
        <v>70.59</v>
      </c>
      <c r="H439">
        <v>29.41</v>
      </c>
      <c r="I439">
        <v>0</v>
      </c>
      <c r="J439" s="1">
        <v>45928.078277141205</v>
      </c>
      <c r="K439" t="s">
        <v>796</v>
      </c>
      <c r="L439">
        <f>COUNTIF($A$2:A439,A439)</f>
        <v>12</v>
      </c>
    </row>
    <row r="440" spans="1:12" x14ac:dyDescent="0.3">
      <c r="A440">
        <v>12260</v>
      </c>
      <c r="B440" t="s">
        <v>793</v>
      </c>
      <c r="C440" t="s">
        <v>809</v>
      </c>
      <c r="D440" t="s">
        <v>810</v>
      </c>
      <c r="E440">
        <v>0</v>
      </c>
      <c r="F440">
        <v>100</v>
      </c>
      <c r="G440">
        <v>0</v>
      </c>
      <c r="H440">
        <v>0</v>
      </c>
      <c r="I440">
        <v>0</v>
      </c>
      <c r="J440" s="1">
        <v>45928.078669444447</v>
      </c>
      <c r="K440" t="s">
        <v>811</v>
      </c>
      <c r="L440">
        <f>COUNTIF($A$2:A440,A440)</f>
        <v>1</v>
      </c>
    </row>
    <row r="441" spans="1:12" x14ac:dyDescent="0.3">
      <c r="A441">
        <v>12260</v>
      </c>
      <c r="B441" t="s">
        <v>793</v>
      </c>
      <c r="C441" t="s">
        <v>110</v>
      </c>
      <c r="D441" t="s">
        <v>111</v>
      </c>
      <c r="E441">
        <v>8</v>
      </c>
      <c r="F441">
        <v>93.75</v>
      </c>
      <c r="G441">
        <v>0</v>
      </c>
      <c r="H441">
        <v>6.25</v>
      </c>
      <c r="I441">
        <v>0</v>
      </c>
      <c r="J441" s="1">
        <v>45928.078790543979</v>
      </c>
      <c r="K441" t="s">
        <v>811</v>
      </c>
      <c r="L441">
        <f>COUNTIF($A$2:A441,A441)</f>
        <v>2</v>
      </c>
    </row>
    <row r="442" spans="1:12" x14ac:dyDescent="0.3">
      <c r="A442">
        <v>12260</v>
      </c>
      <c r="B442" t="s">
        <v>793</v>
      </c>
      <c r="C442" t="s">
        <v>803</v>
      </c>
      <c r="D442" t="s">
        <v>804</v>
      </c>
      <c r="E442">
        <v>0</v>
      </c>
      <c r="F442">
        <v>81.25</v>
      </c>
      <c r="G442">
        <v>12.5</v>
      </c>
      <c r="H442">
        <v>6.25</v>
      </c>
      <c r="I442">
        <v>0</v>
      </c>
      <c r="J442" s="1">
        <v>45928.078731076392</v>
      </c>
      <c r="K442" t="s">
        <v>811</v>
      </c>
      <c r="L442">
        <f>COUNTIF($A$2:A442,A442)</f>
        <v>3</v>
      </c>
    </row>
    <row r="443" spans="1:12" x14ac:dyDescent="0.3">
      <c r="A443">
        <v>12260</v>
      </c>
      <c r="B443" t="s">
        <v>793</v>
      </c>
      <c r="C443" t="s">
        <v>794</v>
      </c>
      <c r="D443" t="s">
        <v>795</v>
      </c>
      <c r="E443">
        <v>55</v>
      </c>
      <c r="F443">
        <v>81.25</v>
      </c>
      <c r="G443">
        <v>6.25</v>
      </c>
      <c r="H443">
        <v>12.5</v>
      </c>
      <c r="I443">
        <v>0</v>
      </c>
      <c r="J443" s="1">
        <v>45928.078885173614</v>
      </c>
      <c r="K443" t="s">
        <v>811</v>
      </c>
      <c r="L443">
        <f>COUNTIF($A$2:A443,A443)</f>
        <v>4</v>
      </c>
    </row>
    <row r="444" spans="1:12" x14ac:dyDescent="0.3">
      <c r="A444">
        <v>12260</v>
      </c>
      <c r="B444" t="s">
        <v>793</v>
      </c>
      <c r="C444" t="s">
        <v>807</v>
      </c>
      <c r="D444" t="s">
        <v>808</v>
      </c>
      <c r="E444">
        <v>15</v>
      </c>
      <c r="F444">
        <v>68.75</v>
      </c>
      <c r="G444">
        <v>25</v>
      </c>
      <c r="H444">
        <v>6.25</v>
      </c>
      <c r="I444">
        <v>0</v>
      </c>
      <c r="J444" s="1">
        <v>45928.078686562498</v>
      </c>
      <c r="K444" t="s">
        <v>811</v>
      </c>
      <c r="L444">
        <f>COUNTIF($A$2:A444,A444)</f>
        <v>5</v>
      </c>
    </row>
    <row r="445" spans="1:12" x14ac:dyDescent="0.3">
      <c r="A445">
        <v>12260</v>
      </c>
      <c r="B445" t="s">
        <v>793</v>
      </c>
      <c r="C445" t="s">
        <v>224</v>
      </c>
      <c r="D445" t="s">
        <v>225</v>
      </c>
      <c r="E445">
        <v>23</v>
      </c>
      <c r="F445">
        <v>68.75</v>
      </c>
      <c r="G445">
        <v>18.75</v>
      </c>
      <c r="H445">
        <v>12.5</v>
      </c>
      <c r="I445">
        <v>0</v>
      </c>
      <c r="J445" s="1">
        <v>45928.07882239583</v>
      </c>
      <c r="K445" t="s">
        <v>811</v>
      </c>
      <c r="L445">
        <f>COUNTIF($A$2:A445,A445)</f>
        <v>6</v>
      </c>
    </row>
    <row r="446" spans="1:12" x14ac:dyDescent="0.3">
      <c r="A446">
        <v>12260</v>
      </c>
      <c r="B446" t="s">
        <v>793</v>
      </c>
      <c r="C446" t="s">
        <v>805</v>
      </c>
      <c r="D446" t="s">
        <v>806</v>
      </c>
      <c r="E446">
        <v>0</v>
      </c>
      <c r="F446">
        <v>62.5</v>
      </c>
      <c r="G446">
        <v>31.25</v>
      </c>
      <c r="H446">
        <v>6.25</v>
      </c>
      <c r="I446">
        <v>0</v>
      </c>
      <c r="J446" s="1">
        <v>45928.078706053238</v>
      </c>
      <c r="K446" t="s">
        <v>811</v>
      </c>
      <c r="L446">
        <f>COUNTIF($A$2:A446,A446)</f>
        <v>7</v>
      </c>
    </row>
    <row r="447" spans="1:12" x14ac:dyDescent="0.3">
      <c r="A447">
        <v>12260</v>
      </c>
      <c r="B447" t="s">
        <v>793</v>
      </c>
      <c r="C447" t="s">
        <v>797</v>
      </c>
      <c r="D447" t="s">
        <v>798</v>
      </c>
      <c r="E447">
        <v>0</v>
      </c>
      <c r="F447">
        <v>56.25</v>
      </c>
      <c r="G447">
        <v>31.25</v>
      </c>
      <c r="H447">
        <v>12.5</v>
      </c>
      <c r="I447">
        <v>0</v>
      </c>
      <c r="J447" s="1">
        <v>45928.078843287039</v>
      </c>
      <c r="K447" t="s">
        <v>811</v>
      </c>
      <c r="L447">
        <f>COUNTIF($A$2:A447,A447)</f>
        <v>8</v>
      </c>
    </row>
    <row r="448" spans="1:12" x14ac:dyDescent="0.3">
      <c r="A448">
        <v>12260</v>
      </c>
      <c r="B448" t="s">
        <v>793</v>
      </c>
      <c r="C448" t="s">
        <v>786</v>
      </c>
      <c r="D448" t="s">
        <v>787</v>
      </c>
      <c r="E448">
        <v>25</v>
      </c>
      <c r="F448">
        <v>50</v>
      </c>
      <c r="G448">
        <v>43.75</v>
      </c>
      <c r="H448">
        <v>6.25</v>
      </c>
      <c r="I448">
        <v>0</v>
      </c>
      <c r="J448" s="1">
        <v>45928.078806215279</v>
      </c>
      <c r="K448" t="s">
        <v>811</v>
      </c>
      <c r="L448">
        <f>COUNTIF($A$2:A448,A448)</f>
        <v>9</v>
      </c>
    </row>
    <row r="449" spans="1:12" x14ac:dyDescent="0.3">
      <c r="A449">
        <v>12260</v>
      </c>
      <c r="B449" t="s">
        <v>793</v>
      </c>
      <c r="C449" t="s">
        <v>757</v>
      </c>
      <c r="D449" t="s">
        <v>758</v>
      </c>
      <c r="E449">
        <v>33</v>
      </c>
      <c r="F449">
        <v>43.75</v>
      </c>
      <c r="G449">
        <v>43.75</v>
      </c>
      <c r="H449">
        <v>12.5</v>
      </c>
      <c r="I449">
        <v>0</v>
      </c>
      <c r="J449" s="1">
        <v>45928.07886386574</v>
      </c>
      <c r="K449" t="s">
        <v>811</v>
      </c>
      <c r="L449">
        <f>COUNTIF($A$2:A449,A449)</f>
        <v>10</v>
      </c>
    </row>
    <row r="450" spans="1:12" x14ac:dyDescent="0.3">
      <c r="A450">
        <v>12260</v>
      </c>
      <c r="B450" t="s">
        <v>793</v>
      </c>
      <c r="C450" t="s">
        <v>799</v>
      </c>
      <c r="D450" t="s">
        <v>800</v>
      </c>
      <c r="E450">
        <v>24</v>
      </c>
      <c r="F450">
        <v>37.5</v>
      </c>
      <c r="G450">
        <v>56.25</v>
      </c>
      <c r="H450">
        <v>6.25</v>
      </c>
      <c r="I450">
        <v>0</v>
      </c>
      <c r="J450" s="1">
        <v>45928.078769849541</v>
      </c>
      <c r="K450" t="s">
        <v>811</v>
      </c>
      <c r="L450">
        <f>COUNTIF($A$2:A450,A450)</f>
        <v>11</v>
      </c>
    </row>
    <row r="451" spans="1:12" x14ac:dyDescent="0.3">
      <c r="A451">
        <v>12260</v>
      </c>
      <c r="B451" t="s">
        <v>793</v>
      </c>
      <c r="C451" t="s">
        <v>801</v>
      </c>
      <c r="D451" t="s">
        <v>802</v>
      </c>
      <c r="E451">
        <v>24</v>
      </c>
      <c r="F451">
        <v>31.25</v>
      </c>
      <c r="G451">
        <v>62.5</v>
      </c>
      <c r="H451">
        <v>6.25</v>
      </c>
      <c r="I451">
        <v>0</v>
      </c>
      <c r="J451" s="1">
        <v>45928.078750046298</v>
      </c>
      <c r="K451" t="s">
        <v>811</v>
      </c>
      <c r="L451">
        <f>COUNTIF($A$2:A451,A451)</f>
        <v>12</v>
      </c>
    </row>
    <row r="452" spans="1:12" x14ac:dyDescent="0.3">
      <c r="A452">
        <v>12261</v>
      </c>
      <c r="B452" t="s">
        <v>812</v>
      </c>
      <c r="C452" t="s">
        <v>379</v>
      </c>
      <c r="D452" t="s">
        <v>380</v>
      </c>
      <c r="E452">
        <v>231</v>
      </c>
      <c r="F452">
        <v>46.41</v>
      </c>
      <c r="G452">
        <v>6.22</v>
      </c>
      <c r="H452">
        <v>47.37</v>
      </c>
      <c r="I452">
        <v>0</v>
      </c>
      <c r="J452" s="1">
        <v>45928.078977511577</v>
      </c>
      <c r="K452" t="s">
        <v>813</v>
      </c>
      <c r="L452">
        <f>COUNTIF($A$2:A452,A452)</f>
        <v>1</v>
      </c>
    </row>
    <row r="453" spans="1:12" x14ac:dyDescent="0.3">
      <c r="A453">
        <v>12261</v>
      </c>
      <c r="B453" t="s">
        <v>812</v>
      </c>
      <c r="C453" t="s">
        <v>386</v>
      </c>
      <c r="D453" t="s">
        <v>387</v>
      </c>
      <c r="E453">
        <v>261</v>
      </c>
      <c r="F453">
        <v>36.36</v>
      </c>
      <c r="G453">
        <v>10.53</v>
      </c>
      <c r="H453">
        <v>52.63</v>
      </c>
      <c r="I453">
        <v>0.48</v>
      </c>
      <c r="J453" s="1">
        <v>45928.078993831019</v>
      </c>
      <c r="K453" t="s">
        <v>813</v>
      </c>
      <c r="L453">
        <f>COUNTIF($A$2:A453,A453)</f>
        <v>2</v>
      </c>
    </row>
    <row r="454" spans="1:12" x14ac:dyDescent="0.3">
      <c r="A454">
        <v>12261</v>
      </c>
      <c r="B454" t="s">
        <v>812</v>
      </c>
      <c r="C454" t="s">
        <v>96</v>
      </c>
      <c r="D454" t="s">
        <v>97</v>
      </c>
      <c r="E454">
        <v>305</v>
      </c>
      <c r="F454">
        <v>27.75</v>
      </c>
      <c r="G454">
        <v>16.75</v>
      </c>
      <c r="H454">
        <v>55.5</v>
      </c>
      <c r="I454">
        <v>0</v>
      </c>
      <c r="J454" s="1">
        <v>45928.079072002314</v>
      </c>
      <c r="K454" t="s">
        <v>813</v>
      </c>
      <c r="L454">
        <f>COUNTIF($A$2:A454,A454)</f>
        <v>3</v>
      </c>
    </row>
    <row r="455" spans="1:12" x14ac:dyDescent="0.3">
      <c r="A455">
        <v>12261</v>
      </c>
      <c r="B455" t="s">
        <v>812</v>
      </c>
      <c r="C455" t="s">
        <v>816</v>
      </c>
      <c r="D455" t="s">
        <v>817</v>
      </c>
      <c r="E455">
        <v>298</v>
      </c>
      <c r="F455">
        <v>25.36</v>
      </c>
      <c r="G455">
        <v>20.100000000000001</v>
      </c>
      <c r="H455">
        <v>54.55</v>
      </c>
      <c r="I455">
        <v>0</v>
      </c>
      <c r="J455" s="1">
        <v>45928.079114664353</v>
      </c>
      <c r="K455" t="s">
        <v>813</v>
      </c>
      <c r="L455">
        <f>COUNTIF($A$2:A455,A455)</f>
        <v>4</v>
      </c>
    </row>
    <row r="456" spans="1:12" x14ac:dyDescent="0.3">
      <c r="A456">
        <v>12261</v>
      </c>
      <c r="B456" t="s">
        <v>812</v>
      </c>
      <c r="C456" t="s">
        <v>555</v>
      </c>
      <c r="D456" t="s">
        <v>556</v>
      </c>
      <c r="E456">
        <v>305</v>
      </c>
      <c r="F456">
        <v>11.48</v>
      </c>
      <c r="G456">
        <v>31.1</v>
      </c>
      <c r="H456">
        <v>57.42</v>
      </c>
      <c r="I456">
        <v>0</v>
      </c>
      <c r="J456" s="1">
        <v>45928.07903547454</v>
      </c>
      <c r="K456" t="s">
        <v>813</v>
      </c>
      <c r="L456">
        <f>COUNTIF($A$2:A456,A456)</f>
        <v>5</v>
      </c>
    </row>
    <row r="457" spans="1:12" x14ac:dyDescent="0.3">
      <c r="A457">
        <v>12261</v>
      </c>
      <c r="B457" t="s">
        <v>812</v>
      </c>
      <c r="C457" t="s">
        <v>814</v>
      </c>
      <c r="D457" t="s">
        <v>815</v>
      </c>
      <c r="E457">
        <v>448</v>
      </c>
      <c r="F457">
        <v>0.96</v>
      </c>
      <c r="G457">
        <v>0.96</v>
      </c>
      <c r="H457">
        <v>4.3099999999999996</v>
      </c>
      <c r="I457">
        <v>93.77</v>
      </c>
      <c r="J457" s="1">
        <v>45928.079054606482</v>
      </c>
      <c r="K457" t="s">
        <v>813</v>
      </c>
      <c r="L457">
        <f>COUNTIF($A$2:A457,A457)</f>
        <v>6</v>
      </c>
    </row>
    <row r="458" spans="1:12" x14ac:dyDescent="0.3">
      <c r="A458">
        <v>12261</v>
      </c>
      <c r="B458" t="s">
        <v>812</v>
      </c>
      <c r="C458" t="s">
        <v>818</v>
      </c>
      <c r="D458" t="s">
        <v>819</v>
      </c>
      <c r="E458">
        <v>530</v>
      </c>
      <c r="F458">
        <v>0.48</v>
      </c>
      <c r="G458">
        <v>0</v>
      </c>
      <c r="H458">
        <v>99.04</v>
      </c>
      <c r="I458">
        <v>0.48</v>
      </c>
      <c r="J458" s="1">
        <v>45928.079134733794</v>
      </c>
      <c r="K458" t="s">
        <v>813</v>
      </c>
      <c r="L458">
        <f>COUNTIF($A$2:A458,A458)</f>
        <v>7</v>
      </c>
    </row>
    <row r="459" spans="1:12" x14ac:dyDescent="0.3">
      <c r="A459">
        <v>12261</v>
      </c>
      <c r="B459" t="s">
        <v>812</v>
      </c>
      <c r="C459" t="s">
        <v>114</v>
      </c>
      <c r="D459" t="s">
        <v>115</v>
      </c>
      <c r="E459">
        <v>586</v>
      </c>
      <c r="F459">
        <v>0.48</v>
      </c>
      <c r="G459">
        <v>0</v>
      </c>
      <c r="H459">
        <v>99.04</v>
      </c>
      <c r="I459">
        <v>0.48</v>
      </c>
      <c r="J459" s="1">
        <v>45928.079151423612</v>
      </c>
      <c r="K459" t="s">
        <v>813</v>
      </c>
      <c r="L459">
        <f>COUNTIF($A$2:A459,A459)</f>
        <v>8</v>
      </c>
    </row>
    <row r="460" spans="1:12" x14ac:dyDescent="0.3">
      <c r="A460">
        <v>12262</v>
      </c>
      <c r="B460" t="s">
        <v>812</v>
      </c>
      <c r="C460" t="s">
        <v>114</v>
      </c>
      <c r="D460" t="s">
        <v>115</v>
      </c>
      <c r="E460">
        <v>92</v>
      </c>
      <c r="F460">
        <v>62.5</v>
      </c>
      <c r="G460">
        <v>6.25</v>
      </c>
      <c r="H460">
        <v>31.25</v>
      </c>
      <c r="I460">
        <v>0</v>
      </c>
      <c r="J460" s="1">
        <v>45928.079224780093</v>
      </c>
      <c r="K460" t="s">
        <v>820</v>
      </c>
      <c r="L460">
        <f>COUNTIF($A$2:A460,A460)</f>
        <v>1</v>
      </c>
    </row>
    <row r="461" spans="1:12" x14ac:dyDescent="0.3">
      <c r="A461">
        <v>12262</v>
      </c>
      <c r="B461" t="s">
        <v>812</v>
      </c>
      <c r="C461" t="s">
        <v>816</v>
      </c>
      <c r="D461" t="s">
        <v>817</v>
      </c>
      <c r="E461">
        <v>301</v>
      </c>
      <c r="F461">
        <v>18.75</v>
      </c>
      <c r="G461">
        <v>0</v>
      </c>
      <c r="H461">
        <v>81.25</v>
      </c>
      <c r="I461">
        <v>0</v>
      </c>
      <c r="J461" s="1">
        <v>45928.079261979168</v>
      </c>
      <c r="K461" t="s">
        <v>820</v>
      </c>
      <c r="L461">
        <f>COUNTIF($A$2:A461,A461)</f>
        <v>2</v>
      </c>
    </row>
    <row r="462" spans="1:12" x14ac:dyDescent="0.3">
      <c r="A462">
        <v>12262</v>
      </c>
      <c r="B462" t="s">
        <v>812</v>
      </c>
      <c r="C462" t="s">
        <v>818</v>
      </c>
      <c r="D462" t="s">
        <v>819</v>
      </c>
      <c r="E462">
        <v>147</v>
      </c>
      <c r="F462">
        <v>6.25</v>
      </c>
      <c r="G462">
        <v>43.75</v>
      </c>
      <c r="H462">
        <v>50</v>
      </c>
      <c r="I462">
        <v>0</v>
      </c>
      <c r="J462" s="1">
        <v>45928.079244004628</v>
      </c>
      <c r="K462" t="s">
        <v>820</v>
      </c>
      <c r="L462">
        <f>COUNTIF($A$2:A462,A462)</f>
        <v>3</v>
      </c>
    </row>
    <row r="463" spans="1:12" x14ac:dyDescent="0.3">
      <c r="A463">
        <v>12262</v>
      </c>
      <c r="B463" t="s">
        <v>812</v>
      </c>
      <c r="C463" t="s">
        <v>96</v>
      </c>
      <c r="D463" t="s">
        <v>97</v>
      </c>
      <c r="E463">
        <v>0</v>
      </c>
      <c r="F463">
        <v>6.25</v>
      </c>
      <c r="G463">
        <v>0</v>
      </c>
      <c r="H463">
        <v>93.75</v>
      </c>
      <c r="I463">
        <v>0</v>
      </c>
      <c r="J463" s="1">
        <v>45928.079283657411</v>
      </c>
      <c r="K463" t="s">
        <v>820</v>
      </c>
      <c r="L463">
        <f>COUNTIF($A$2:A463,A463)</f>
        <v>4</v>
      </c>
    </row>
    <row r="464" spans="1:12" x14ac:dyDescent="0.3">
      <c r="A464">
        <v>12262</v>
      </c>
      <c r="B464" t="s">
        <v>812</v>
      </c>
      <c r="C464" t="s">
        <v>814</v>
      </c>
      <c r="D464" t="s">
        <v>815</v>
      </c>
      <c r="E464">
        <v>411</v>
      </c>
      <c r="F464">
        <v>6.25</v>
      </c>
      <c r="G464">
        <v>0</v>
      </c>
      <c r="H464">
        <v>68.75</v>
      </c>
      <c r="I464">
        <v>25</v>
      </c>
      <c r="J464" s="1">
        <v>45928.079301157406</v>
      </c>
      <c r="K464" t="s">
        <v>820</v>
      </c>
      <c r="L464">
        <f>COUNTIF($A$2:A464,A464)</f>
        <v>5</v>
      </c>
    </row>
    <row r="465" spans="1:12" x14ac:dyDescent="0.3">
      <c r="A465">
        <v>12262</v>
      </c>
      <c r="B465" t="s">
        <v>812</v>
      </c>
      <c r="C465" t="s">
        <v>555</v>
      </c>
      <c r="D465" t="s">
        <v>556</v>
      </c>
      <c r="E465">
        <v>0</v>
      </c>
      <c r="F465">
        <v>6.25</v>
      </c>
      <c r="G465">
        <v>0</v>
      </c>
      <c r="H465">
        <v>93.75</v>
      </c>
      <c r="I465">
        <v>0</v>
      </c>
      <c r="J465" s="1">
        <v>45928.079322569443</v>
      </c>
      <c r="K465" t="s">
        <v>820</v>
      </c>
      <c r="L465">
        <f>COUNTIF($A$2:A465,A465)</f>
        <v>6</v>
      </c>
    </row>
    <row r="466" spans="1:12" x14ac:dyDescent="0.3">
      <c r="A466">
        <v>12262</v>
      </c>
      <c r="B466" t="s">
        <v>812</v>
      </c>
      <c r="C466" t="s">
        <v>386</v>
      </c>
      <c r="D466" t="s">
        <v>387</v>
      </c>
      <c r="E466">
        <v>482</v>
      </c>
      <c r="F466">
        <v>6.25</v>
      </c>
      <c r="G466">
        <v>0</v>
      </c>
      <c r="H466">
        <v>93.75</v>
      </c>
      <c r="I466">
        <v>0</v>
      </c>
      <c r="J466" s="1">
        <v>45928.079339166667</v>
      </c>
      <c r="K466" t="s">
        <v>820</v>
      </c>
      <c r="L466">
        <f>COUNTIF($A$2:A466,A466)</f>
        <v>7</v>
      </c>
    </row>
    <row r="467" spans="1:12" x14ac:dyDescent="0.3">
      <c r="A467">
        <v>12262</v>
      </c>
      <c r="B467" t="s">
        <v>812</v>
      </c>
      <c r="C467" t="s">
        <v>379</v>
      </c>
      <c r="D467" t="s">
        <v>380</v>
      </c>
      <c r="E467">
        <v>468</v>
      </c>
      <c r="F467">
        <v>6.25</v>
      </c>
      <c r="G467">
        <v>0</v>
      </c>
      <c r="H467">
        <v>93.75</v>
      </c>
      <c r="I467">
        <v>0</v>
      </c>
      <c r="J467" s="1">
        <v>45928.079358993054</v>
      </c>
      <c r="K467" t="s">
        <v>820</v>
      </c>
      <c r="L467">
        <f>COUNTIF($A$2:A467,A467)</f>
        <v>8</v>
      </c>
    </row>
    <row r="468" spans="1:12" x14ac:dyDescent="0.3">
      <c r="A468">
        <v>12295</v>
      </c>
      <c r="B468" t="s">
        <v>186</v>
      </c>
      <c r="C468" t="s">
        <v>224</v>
      </c>
      <c r="D468" t="s">
        <v>225</v>
      </c>
      <c r="E468">
        <v>12</v>
      </c>
      <c r="F468">
        <v>96.67</v>
      </c>
      <c r="G468">
        <v>0</v>
      </c>
      <c r="H468">
        <v>3.33</v>
      </c>
      <c r="I468">
        <v>0</v>
      </c>
      <c r="J468" s="1">
        <v>45927.77912446759</v>
      </c>
      <c r="K468" t="s">
        <v>189</v>
      </c>
      <c r="L468">
        <f>COUNTIF($A$2:A468,A468)</f>
        <v>1</v>
      </c>
    </row>
    <row r="469" spans="1:12" x14ac:dyDescent="0.3">
      <c r="A469">
        <v>12295</v>
      </c>
      <c r="B469" t="s">
        <v>186</v>
      </c>
      <c r="C469" t="s">
        <v>226</v>
      </c>
      <c r="D469" t="s">
        <v>227</v>
      </c>
      <c r="E469">
        <v>0</v>
      </c>
      <c r="F469">
        <v>90</v>
      </c>
      <c r="G469">
        <v>6.67</v>
      </c>
      <c r="H469">
        <v>3.33</v>
      </c>
      <c r="I469">
        <v>0</v>
      </c>
      <c r="J469" s="1">
        <v>45927.77914943287</v>
      </c>
      <c r="K469" t="s">
        <v>189</v>
      </c>
      <c r="L469">
        <f>COUNTIF($A$2:A469,A469)</f>
        <v>2</v>
      </c>
    </row>
    <row r="470" spans="1:12" x14ac:dyDescent="0.3">
      <c r="A470">
        <v>12295</v>
      </c>
      <c r="B470" t="s">
        <v>186</v>
      </c>
      <c r="C470" t="s">
        <v>231</v>
      </c>
      <c r="D470" t="s">
        <v>232</v>
      </c>
      <c r="E470">
        <v>4</v>
      </c>
      <c r="F470">
        <v>90</v>
      </c>
      <c r="G470">
        <v>3.33</v>
      </c>
      <c r="H470">
        <v>6.67</v>
      </c>
      <c r="I470">
        <v>0</v>
      </c>
      <c r="J470" s="1">
        <v>45927.779253113426</v>
      </c>
      <c r="K470" t="s">
        <v>189</v>
      </c>
      <c r="L470">
        <f>COUNTIF($A$2:A470,A470)</f>
        <v>3</v>
      </c>
    </row>
    <row r="471" spans="1:12" x14ac:dyDescent="0.3">
      <c r="A471">
        <v>12295</v>
      </c>
      <c r="B471" t="s">
        <v>186</v>
      </c>
      <c r="C471" t="s">
        <v>19</v>
      </c>
      <c r="D471" t="s">
        <v>20</v>
      </c>
      <c r="E471">
        <v>24</v>
      </c>
      <c r="F471">
        <v>80</v>
      </c>
      <c r="G471">
        <v>6.67</v>
      </c>
      <c r="H471">
        <v>13.33</v>
      </c>
      <c r="I471">
        <v>0</v>
      </c>
      <c r="J471" s="1">
        <v>45927.778507766205</v>
      </c>
      <c r="K471" t="s">
        <v>189</v>
      </c>
      <c r="L471">
        <f>COUNTIF($A$2:A471,A471)</f>
        <v>4</v>
      </c>
    </row>
    <row r="472" spans="1:12" x14ac:dyDescent="0.3">
      <c r="A472">
        <v>12295</v>
      </c>
      <c r="B472" t="s">
        <v>186</v>
      </c>
      <c r="C472" t="s">
        <v>98</v>
      </c>
      <c r="D472" t="s">
        <v>99</v>
      </c>
      <c r="E472">
        <v>26</v>
      </c>
      <c r="F472">
        <v>80</v>
      </c>
      <c r="G472">
        <v>6.67</v>
      </c>
      <c r="H472">
        <v>13.33</v>
      </c>
      <c r="I472">
        <v>0</v>
      </c>
      <c r="J472" s="1">
        <v>45927.778863784719</v>
      </c>
      <c r="K472" t="s">
        <v>189</v>
      </c>
      <c r="L472">
        <f>COUNTIF($A$2:A472,A472)</f>
        <v>5</v>
      </c>
    </row>
    <row r="473" spans="1:12" x14ac:dyDescent="0.3">
      <c r="A473">
        <v>12295</v>
      </c>
      <c r="B473" t="s">
        <v>186</v>
      </c>
      <c r="C473" t="s">
        <v>187</v>
      </c>
      <c r="D473" t="s">
        <v>188</v>
      </c>
      <c r="E473">
        <v>19</v>
      </c>
      <c r="F473">
        <v>76.67</v>
      </c>
      <c r="G473">
        <v>16.670000000000002</v>
      </c>
      <c r="H473">
        <v>6.67</v>
      </c>
      <c r="I473">
        <v>0</v>
      </c>
      <c r="J473" s="1">
        <v>45927.778390324071</v>
      </c>
      <c r="K473" t="s">
        <v>189</v>
      </c>
      <c r="L473">
        <f>COUNTIF($A$2:A473,A473)</f>
        <v>6</v>
      </c>
    </row>
    <row r="474" spans="1:12" x14ac:dyDescent="0.3">
      <c r="A474">
        <v>12295</v>
      </c>
      <c r="B474" t="s">
        <v>186</v>
      </c>
      <c r="C474" t="s">
        <v>190</v>
      </c>
      <c r="D474" t="s">
        <v>191</v>
      </c>
      <c r="E474">
        <v>0</v>
      </c>
      <c r="F474">
        <v>70</v>
      </c>
      <c r="G474">
        <v>23.33</v>
      </c>
      <c r="H474">
        <v>6.67</v>
      </c>
      <c r="I474">
        <v>0</v>
      </c>
      <c r="J474" s="1">
        <v>45927.778411724539</v>
      </c>
      <c r="K474" t="s">
        <v>189</v>
      </c>
      <c r="L474">
        <f>COUNTIF($A$2:A474,A474)</f>
        <v>7</v>
      </c>
    </row>
    <row r="475" spans="1:12" x14ac:dyDescent="0.3">
      <c r="A475">
        <v>12295</v>
      </c>
      <c r="B475" t="s">
        <v>186</v>
      </c>
      <c r="C475" t="s">
        <v>94</v>
      </c>
      <c r="D475" t="s">
        <v>95</v>
      </c>
      <c r="E475">
        <v>32</v>
      </c>
      <c r="F475">
        <v>70</v>
      </c>
      <c r="G475">
        <v>13.33</v>
      </c>
      <c r="H475">
        <v>16.670000000000002</v>
      </c>
      <c r="I475">
        <v>0</v>
      </c>
      <c r="J475" s="1">
        <v>45927.778726006945</v>
      </c>
      <c r="K475" t="s">
        <v>189</v>
      </c>
      <c r="L475">
        <f>COUNTIF($A$2:A475,A475)</f>
        <v>8</v>
      </c>
    </row>
    <row r="476" spans="1:12" x14ac:dyDescent="0.3">
      <c r="A476">
        <v>12295</v>
      </c>
      <c r="B476" t="s">
        <v>186</v>
      </c>
      <c r="C476" t="s">
        <v>228</v>
      </c>
      <c r="D476" t="s">
        <v>229</v>
      </c>
      <c r="E476">
        <v>19</v>
      </c>
      <c r="F476">
        <v>70</v>
      </c>
      <c r="G476">
        <v>26.67</v>
      </c>
      <c r="H476">
        <v>3.33</v>
      </c>
      <c r="I476">
        <v>0</v>
      </c>
      <c r="J476" s="1">
        <v>45927.779188993052</v>
      </c>
      <c r="K476" t="s">
        <v>189</v>
      </c>
      <c r="L476">
        <f>COUNTIF($A$2:A476,A476)</f>
        <v>9</v>
      </c>
    </row>
    <row r="477" spans="1:12" x14ac:dyDescent="0.3">
      <c r="A477">
        <v>12295</v>
      </c>
      <c r="B477" t="s">
        <v>186</v>
      </c>
      <c r="C477" t="s">
        <v>194</v>
      </c>
      <c r="D477" t="s">
        <v>195</v>
      </c>
      <c r="E477">
        <v>30</v>
      </c>
      <c r="F477">
        <v>63.33</v>
      </c>
      <c r="G477">
        <v>26.67</v>
      </c>
      <c r="H477">
        <v>10</v>
      </c>
      <c r="I477">
        <v>0</v>
      </c>
      <c r="J477" s="1">
        <v>45927.778446620374</v>
      </c>
      <c r="K477" t="s">
        <v>189</v>
      </c>
      <c r="L477">
        <f>COUNTIF($A$2:A477,A477)</f>
        <v>10</v>
      </c>
    </row>
    <row r="478" spans="1:12" x14ac:dyDescent="0.3">
      <c r="A478">
        <v>12295</v>
      </c>
      <c r="B478" t="s">
        <v>186</v>
      </c>
      <c r="C478" t="s">
        <v>17</v>
      </c>
      <c r="D478" t="s">
        <v>18</v>
      </c>
      <c r="E478">
        <v>29</v>
      </c>
      <c r="F478">
        <v>63.33</v>
      </c>
      <c r="G478">
        <v>23.33</v>
      </c>
      <c r="H478">
        <v>13.33</v>
      </c>
      <c r="I478">
        <v>0.01</v>
      </c>
      <c r="J478" s="1">
        <v>45927.778524861111</v>
      </c>
      <c r="K478" t="s">
        <v>189</v>
      </c>
      <c r="L478">
        <f>COUNTIF($A$2:A478,A478)</f>
        <v>11</v>
      </c>
    </row>
    <row r="479" spans="1:12" x14ac:dyDescent="0.3">
      <c r="A479">
        <v>12295</v>
      </c>
      <c r="B479" t="s">
        <v>186</v>
      </c>
      <c r="C479" t="s">
        <v>96</v>
      </c>
      <c r="D479" t="s">
        <v>97</v>
      </c>
      <c r="E479">
        <v>31</v>
      </c>
      <c r="F479">
        <v>63.33</v>
      </c>
      <c r="G479">
        <v>20</v>
      </c>
      <c r="H479">
        <v>16.670000000000002</v>
      </c>
      <c r="I479">
        <v>0</v>
      </c>
      <c r="J479" s="1">
        <v>45927.778807037037</v>
      </c>
      <c r="K479" t="s">
        <v>189</v>
      </c>
      <c r="L479">
        <f>COUNTIF($A$2:A479,A479)</f>
        <v>12</v>
      </c>
    </row>
    <row r="480" spans="1:12" x14ac:dyDescent="0.3">
      <c r="A480">
        <v>12295</v>
      </c>
      <c r="B480" t="s">
        <v>186</v>
      </c>
      <c r="C480" t="s">
        <v>21</v>
      </c>
      <c r="D480" t="s">
        <v>22</v>
      </c>
      <c r="E480">
        <v>30</v>
      </c>
      <c r="F480">
        <v>60</v>
      </c>
      <c r="G480">
        <v>26.67</v>
      </c>
      <c r="H480">
        <v>13.33</v>
      </c>
      <c r="I480">
        <v>0</v>
      </c>
      <c r="J480" s="1">
        <v>45927.77848778935</v>
      </c>
      <c r="K480" t="s">
        <v>189</v>
      </c>
      <c r="L480">
        <f>COUNTIF($A$2:A480,A480)</f>
        <v>13</v>
      </c>
    </row>
    <row r="481" spans="1:12" x14ac:dyDescent="0.3">
      <c r="A481">
        <v>12295</v>
      </c>
      <c r="B481" t="s">
        <v>186</v>
      </c>
      <c r="C481" t="s">
        <v>34</v>
      </c>
      <c r="D481" t="s">
        <v>35</v>
      </c>
      <c r="E481">
        <v>33</v>
      </c>
      <c r="F481">
        <v>60</v>
      </c>
      <c r="G481">
        <v>26.67</v>
      </c>
      <c r="H481">
        <v>13.33</v>
      </c>
      <c r="I481">
        <v>0</v>
      </c>
      <c r="J481" s="1">
        <v>45927.77856846065</v>
      </c>
      <c r="K481" t="s">
        <v>189</v>
      </c>
      <c r="L481">
        <f>COUNTIF($A$2:A481,A481)</f>
        <v>14</v>
      </c>
    </row>
    <row r="482" spans="1:12" x14ac:dyDescent="0.3">
      <c r="A482">
        <v>12295</v>
      </c>
      <c r="B482" t="s">
        <v>186</v>
      </c>
      <c r="C482" t="s">
        <v>90</v>
      </c>
      <c r="D482" t="s">
        <v>91</v>
      </c>
      <c r="E482">
        <v>38</v>
      </c>
      <c r="F482">
        <v>60</v>
      </c>
      <c r="G482">
        <v>20</v>
      </c>
      <c r="H482">
        <v>20</v>
      </c>
      <c r="I482">
        <v>0</v>
      </c>
      <c r="J482" s="1">
        <v>45927.778654583337</v>
      </c>
      <c r="K482" t="s">
        <v>189</v>
      </c>
      <c r="L482">
        <f>COUNTIF($A$2:A482,A482)</f>
        <v>15</v>
      </c>
    </row>
    <row r="483" spans="1:12" x14ac:dyDescent="0.3">
      <c r="A483">
        <v>12295</v>
      </c>
      <c r="B483" t="s">
        <v>186</v>
      </c>
      <c r="C483" t="s">
        <v>200</v>
      </c>
      <c r="D483" t="s">
        <v>201</v>
      </c>
      <c r="E483">
        <v>35</v>
      </c>
      <c r="F483">
        <v>60</v>
      </c>
      <c r="G483">
        <v>23.33</v>
      </c>
      <c r="H483">
        <v>16.670000000000002</v>
      </c>
      <c r="I483">
        <v>0</v>
      </c>
      <c r="J483" s="1">
        <v>45927.778744444448</v>
      </c>
      <c r="K483" t="s">
        <v>189</v>
      </c>
      <c r="L483">
        <f>COUNTIF($A$2:A483,A483)</f>
        <v>16</v>
      </c>
    </row>
    <row r="484" spans="1:12" x14ac:dyDescent="0.3">
      <c r="A484">
        <v>12295</v>
      </c>
      <c r="B484" t="s">
        <v>186</v>
      </c>
      <c r="C484" t="s">
        <v>230</v>
      </c>
      <c r="D484" t="s">
        <v>230</v>
      </c>
      <c r="E484">
        <v>23</v>
      </c>
      <c r="F484">
        <v>56.67</v>
      </c>
      <c r="G484">
        <v>36.67</v>
      </c>
      <c r="H484">
        <v>6.67</v>
      </c>
      <c r="I484">
        <v>0</v>
      </c>
      <c r="J484" s="1">
        <v>45927.779233136571</v>
      </c>
      <c r="K484" t="s">
        <v>189</v>
      </c>
      <c r="L484">
        <f>COUNTIF($A$2:A484,A484)</f>
        <v>17</v>
      </c>
    </row>
    <row r="485" spans="1:12" x14ac:dyDescent="0.3">
      <c r="A485">
        <v>12295</v>
      </c>
      <c r="B485" t="s">
        <v>186</v>
      </c>
      <c r="C485" t="s">
        <v>208</v>
      </c>
      <c r="D485" t="s">
        <v>209</v>
      </c>
      <c r="E485">
        <v>0</v>
      </c>
      <c r="F485">
        <v>50</v>
      </c>
      <c r="G485">
        <v>36.67</v>
      </c>
      <c r="H485">
        <v>13.33</v>
      </c>
      <c r="I485">
        <v>0</v>
      </c>
      <c r="J485" s="1">
        <v>45927.778887534725</v>
      </c>
      <c r="K485" t="s">
        <v>189</v>
      </c>
      <c r="L485">
        <f>COUNTIF($A$2:A485,A485)</f>
        <v>18</v>
      </c>
    </row>
    <row r="486" spans="1:12" x14ac:dyDescent="0.3">
      <c r="A486">
        <v>12295</v>
      </c>
      <c r="B486" t="s">
        <v>186</v>
      </c>
      <c r="C486" t="s">
        <v>192</v>
      </c>
      <c r="D486" t="s">
        <v>193</v>
      </c>
      <c r="E486">
        <v>31</v>
      </c>
      <c r="F486">
        <v>43.33</v>
      </c>
      <c r="G486">
        <v>46.67</v>
      </c>
      <c r="H486">
        <v>10</v>
      </c>
      <c r="I486">
        <v>0</v>
      </c>
      <c r="J486" s="1">
        <v>45927.778426886573</v>
      </c>
      <c r="K486" t="s">
        <v>189</v>
      </c>
      <c r="L486">
        <f>COUNTIF($A$2:A486,A486)</f>
        <v>19</v>
      </c>
    </row>
    <row r="487" spans="1:12" x14ac:dyDescent="0.3">
      <c r="A487">
        <v>12295</v>
      </c>
      <c r="B487" t="s">
        <v>186</v>
      </c>
      <c r="C487" t="s">
        <v>222</v>
      </c>
      <c r="D487" t="s">
        <v>223</v>
      </c>
      <c r="E487">
        <v>29</v>
      </c>
      <c r="F487">
        <v>43.33</v>
      </c>
      <c r="G487">
        <v>50</v>
      </c>
      <c r="H487">
        <v>6.67</v>
      </c>
      <c r="I487">
        <v>0</v>
      </c>
      <c r="J487" s="1">
        <v>45927.779080775465</v>
      </c>
      <c r="K487" t="s">
        <v>189</v>
      </c>
      <c r="L487">
        <f>COUNTIF($A$2:A487,A487)</f>
        <v>20</v>
      </c>
    </row>
    <row r="488" spans="1:12" x14ac:dyDescent="0.3">
      <c r="A488">
        <v>12295</v>
      </c>
      <c r="B488" t="s">
        <v>186</v>
      </c>
      <c r="C488" t="s">
        <v>202</v>
      </c>
      <c r="D488" t="s">
        <v>203</v>
      </c>
      <c r="E488">
        <v>44</v>
      </c>
      <c r="F488">
        <v>36.67</v>
      </c>
      <c r="G488">
        <v>46.67</v>
      </c>
      <c r="H488">
        <v>16.670000000000002</v>
      </c>
      <c r="I488">
        <v>0</v>
      </c>
      <c r="J488" s="1">
        <v>45927.778790173608</v>
      </c>
      <c r="K488" t="s">
        <v>189</v>
      </c>
      <c r="L488">
        <f>COUNTIF($A$2:A488,A488)</f>
        <v>21</v>
      </c>
    </row>
    <row r="489" spans="1:12" x14ac:dyDescent="0.3">
      <c r="A489">
        <v>12295</v>
      </c>
      <c r="B489" t="s">
        <v>186</v>
      </c>
      <c r="C489" t="s">
        <v>212</v>
      </c>
      <c r="D489" t="s">
        <v>213</v>
      </c>
      <c r="E489">
        <v>43</v>
      </c>
      <c r="F489">
        <v>36.67</v>
      </c>
      <c r="G489">
        <v>46.67</v>
      </c>
      <c r="H489">
        <v>16.670000000000002</v>
      </c>
      <c r="I489">
        <v>0</v>
      </c>
      <c r="J489" s="1">
        <v>45927.778968622682</v>
      </c>
      <c r="K489" t="s">
        <v>189</v>
      </c>
      <c r="L489">
        <f>COUNTIF($A$2:A489,A489)</f>
        <v>22</v>
      </c>
    </row>
    <row r="490" spans="1:12" x14ac:dyDescent="0.3">
      <c r="A490">
        <v>12295</v>
      </c>
      <c r="B490" t="s">
        <v>186</v>
      </c>
      <c r="C490" t="s">
        <v>196</v>
      </c>
      <c r="D490" t="s">
        <v>197</v>
      </c>
      <c r="E490">
        <v>57</v>
      </c>
      <c r="F490">
        <v>13.33</v>
      </c>
      <c r="G490">
        <v>63.33</v>
      </c>
      <c r="H490">
        <v>23.33</v>
      </c>
      <c r="I490">
        <v>0.01</v>
      </c>
      <c r="J490" s="1">
        <v>45927.778690462961</v>
      </c>
      <c r="K490" t="s">
        <v>189</v>
      </c>
      <c r="L490">
        <f>COUNTIF($A$2:A490,A490)</f>
        <v>23</v>
      </c>
    </row>
    <row r="491" spans="1:12" x14ac:dyDescent="0.3">
      <c r="A491">
        <v>12295</v>
      </c>
      <c r="B491" t="s">
        <v>186</v>
      </c>
      <c r="C491" t="s">
        <v>178</v>
      </c>
      <c r="D491" t="s">
        <v>179</v>
      </c>
      <c r="E491">
        <v>46</v>
      </c>
      <c r="F491">
        <v>10</v>
      </c>
      <c r="G491">
        <v>70</v>
      </c>
      <c r="H491">
        <v>20</v>
      </c>
      <c r="I491">
        <v>0</v>
      </c>
      <c r="J491" s="1">
        <v>45927.778588726855</v>
      </c>
      <c r="K491" t="s">
        <v>189</v>
      </c>
      <c r="L491">
        <f>COUNTIF($A$2:A491,A491)</f>
        <v>24</v>
      </c>
    </row>
    <row r="492" spans="1:12" x14ac:dyDescent="0.3">
      <c r="A492">
        <v>12295</v>
      </c>
      <c r="B492" t="s">
        <v>186</v>
      </c>
      <c r="C492" t="s">
        <v>220</v>
      </c>
      <c r="D492" t="s">
        <v>221</v>
      </c>
      <c r="E492">
        <v>70</v>
      </c>
      <c r="F492">
        <v>10</v>
      </c>
      <c r="G492">
        <v>40</v>
      </c>
      <c r="H492">
        <v>50</v>
      </c>
      <c r="I492">
        <v>0</v>
      </c>
      <c r="J492" s="1">
        <v>45927.77904115741</v>
      </c>
      <c r="K492" t="s">
        <v>189</v>
      </c>
      <c r="L492">
        <f>COUNTIF($A$2:A492,A492)</f>
        <v>25</v>
      </c>
    </row>
    <row r="493" spans="1:12" x14ac:dyDescent="0.3">
      <c r="A493">
        <v>12295</v>
      </c>
      <c r="B493" t="s">
        <v>186</v>
      </c>
      <c r="C493" t="s">
        <v>204</v>
      </c>
      <c r="D493" t="s">
        <v>205</v>
      </c>
      <c r="E493">
        <v>64</v>
      </c>
      <c r="F493">
        <v>6.67</v>
      </c>
      <c r="G493">
        <v>63.33</v>
      </c>
      <c r="H493">
        <v>30</v>
      </c>
      <c r="I493">
        <v>0</v>
      </c>
      <c r="J493" s="1">
        <v>45927.778827534719</v>
      </c>
      <c r="K493" t="s">
        <v>189</v>
      </c>
      <c r="L493">
        <f>COUNTIF($A$2:A493,A493)</f>
        <v>26</v>
      </c>
    </row>
    <row r="494" spans="1:12" x14ac:dyDescent="0.3">
      <c r="A494">
        <v>12295</v>
      </c>
      <c r="B494" t="s">
        <v>186</v>
      </c>
      <c r="C494" t="s">
        <v>210</v>
      </c>
      <c r="D494" t="s">
        <v>211</v>
      </c>
      <c r="E494">
        <v>54</v>
      </c>
      <c r="F494">
        <v>6.67</v>
      </c>
      <c r="G494">
        <v>76.67</v>
      </c>
      <c r="H494">
        <v>16.670000000000002</v>
      </c>
      <c r="I494">
        <v>0</v>
      </c>
      <c r="J494" s="1">
        <v>45927.778927384257</v>
      </c>
      <c r="K494" t="s">
        <v>189</v>
      </c>
      <c r="L494">
        <f>COUNTIF($A$2:A494,A494)</f>
        <v>27</v>
      </c>
    </row>
    <row r="495" spans="1:12" x14ac:dyDescent="0.3">
      <c r="A495">
        <v>12295</v>
      </c>
      <c r="B495" t="s">
        <v>186</v>
      </c>
      <c r="C495" t="s">
        <v>174</v>
      </c>
      <c r="D495" t="s">
        <v>175</v>
      </c>
      <c r="E495">
        <v>61</v>
      </c>
      <c r="F495">
        <v>3.33</v>
      </c>
      <c r="G495">
        <v>73.33</v>
      </c>
      <c r="H495">
        <v>23.33</v>
      </c>
      <c r="I495">
        <v>0.01</v>
      </c>
      <c r="J495" s="1">
        <v>45927.778620578705</v>
      </c>
      <c r="K495" t="s">
        <v>189</v>
      </c>
      <c r="L495">
        <f>COUNTIF($A$2:A495,A495)</f>
        <v>28</v>
      </c>
    </row>
    <row r="496" spans="1:12" x14ac:dyDescent="0.3">
      <c r="A496">
        <v>12295</v>
      </c>
      <c r="B496" t="s">
        <v>186</v>
      </c>
      <c r="C496" t="s">
        <v>88</v>
      </c>
      <c r="D496" t="s">
        <v>89</v>
      </c>
      <c r="E496">
        <v>54</v>
      </c>
      <c r="F496">
        <v>3.33</v>
      </c>
      <c r="G496">
        <v>76.67</v>
      </c>
      <c r="H496">
        <v>20</v>
      </c>
      <c r="I496">
        <v>0</v>
      </c>
      <c r="J496" s="1">
        <v>45927.778635925926</v>
      </c>
      <c r="K496" t="s">
        <v>189</v>
      </c>
      <c r="L496">
        <f>COUNTIF($A$2:A496,A496)</f>
        <v>29</v>
      </c>
    </row>
    <row r="497" spans="1:12" x14ac:dyDescent="0.3">
      <c r="A497">
        <v>12295</v>
      </c>
      <c r="B497" t="s">
        <v>186</v>
      </c>
      <c r="C497" t="s">
        <v>198</v>
      </c>
      <c r="D497" t="s">
        <v>199</v>
      </c>
      <c r="E497">
        <v>38</v>
      </c>
      <c r="F497">
        <v>3.33</v>
      </c>
      <c r="G497">
        <v>30</v>
      </c>
      <c r="H497">
        <v>3.33</v>
      </c>
      <c r="I497">
        <v>63.34</v>
      </c>
      <c r="J497" s="1">
        <v>45927.778708912039</v>
      </c>
      <c r="K497" t="s">
        <v>189</v>
      </c>
      <c r="L497">
        <f>COUNTIF($A$2:A497,A497)</f>
        <v>30</v>
      </c>
    </row>
    <row r="498" spans="1:12" x14ac:dyDescent="0.3">
      <c r="A498">
        <v>12295</v>
      </c>
      <c r="B498" t="s">
        <v>186</v>
      </c>
      <c r="C498" t="s">
        <v>176</v>
      </c>
      <c r="D498" t="s">
        <v>177</v>
      </c>
      <c r="E498">
        <v>60</v>
      </c>
      <c r="F498">
        <v>0</v>
      </c>
      <c r="G498">
        <v>80</v>
      </c>
      <c r="H498">
        <v>20</v>
      </c>
      <c r="I498">
        <v>0</v>
      </c>
      <c r="J498" s="1">
        <v>45927.77860474537</v>
      </c>
      <c r="K498" t="s">
        <v>189</v>
      </c>
      <c r="L498">
        <f>COUNTIF($A$2:A498,A498)</f>
        <v>31</v>
      </c>
    </row>
    <row r="499" spans="1:12" x14ac:dyDescent="0.3">
      <c r="A499">
        <v>12295</v>
      </c>
      <c r="B499" t="s">
        <v>186</v>
      </c>
      <c r="C499" t="s">
        <v>92</v>
      </c>
      <c r="D499" t="s">
        <v>93</v>
      </c>
      <c r="E499">
        <v>62</v>
      </c>
      <c r="F499">
        <v>0</v>
      </c>
      <c r="G499">
        <v>80</v>
      </c>
      <c r="H499">
        <v>20</v>
      </c>
      <c r="I499">
        <v>0</v>
      </c>
      <c r="J499" s="1">
        <v>45927.778671574073</v>
      </c>
      <c r="K499" t="s">
        <v>189</v>
      </c>
      <c r="L499">
        <f>COUNTIF($A$2:A499,A499)</f>
        <v>32</v>
      </c>
    </row>
    <row r="500" spans="1:12" x14ac:dyDescent="0.3">
      <c r="A500">
        <v>12295</v>
      </c>
      <c r="B500" t="s">
        <v>186</v>
      </c>
      <c r="C500" t="s">
        <v>206</v>
      </c>
      <c r="D500" t="s">
        <v>207</v>
      </c>
      <c r="E500">
        <v>73</v>
      </c>
      <c r="F500">
        <v>0</v>
      </c>
      <c r="G500">
        <v>53.33</v>
      </c>
      <c r="H500">
        <v>46.67</v>
      </c>
      <c r="I500">
        <v>0</v>
      </c>
      <c r="J500" s="1">
        <v>45927.778845474539</v>
      </c>
      <c r="K500" t="s">
        <v>189</v>
      </c>
      <c r="L500">
        <f>COUNTIF($A$2:A500,A500)</f>
        <v>33</v>
      </c>
    </row>
    <row r="501" spans="1:12" x14ac:dyDescent="0.3">
      <c r="A501">
        <v>12295</v>
      </c>
      <c r="B501" t="s">
        <v>186</v>
      </c>
      <c r="C501" t="s">
        <v>214</v>
      </c>
      <c r="D501" t="s">
        <v>215</v>
      </c>
      <c r="E501">
        <v>60</v>
      </c>
      <c r="F501">
        <v>0</v>
      </c>
      <c r="G501">
        <v>83.33</v>
      </c>
      <c r="H501">
        <v>16.670000000000002</v>
      </c>
      <c r="I501">
        <v>0</v>
      </c>
      <c r="J501" s="1">
        <v>45927.778983958335</v>
      </c>
      <c r="K501" t="s">
        <v>189</v>
      </c>
      <c r="L501">
        <f>COUNTIF($A$2:A501,A501)</f>
        <v>34</v>
      </c>
    </row>
    <row r="502" spans="1:12" x14ac:dyDescent="0.3">
      <c r="A502">
        <v>12295</v>
      </c>
      <c r="B502" t="s">
        <v>186</v>
      </c>
      <c r="C502" t="s">
        <v>216</v>
      </c>
      <c r="D502" t="s">
        <v>217</v>
      </c>
      <c r="E502">
        <v>70</v>
      </c>
      <c r="F502">
        <v>0</v>
      </c>
      <c r="G502">
        <v>83.33</v>
      </c>
      <c r="H502">
        <v>16.670000000000002</v>
      </c>
      <c r="I502">
        <v>0</v>
      </c>
      <c r="J502" s="1">
        <v>45927.779001805553</v>
      </c>
      <c r="K502" t="s">
        <v>189</v>
      </c>
      <c r="L502">
        <f>COUNTIF($A$2:A502,A502)</f>
        <v>35</v>
      </c>
    </row>
    <row r="503" spans="1:12" x14ac:dyDescent="0.3">
      <c r="A503">
        <v>12295</v>
      </c>
      <c r="B503" t="s">
        <v>186</v>
      </c>
      <c r="C503" t="s">
        <v>218</v>
      </c>
      <c r="D503" t="s">
        <v>219</v>
      </c>
      <c r="E503">
        <v>62</v>
      </c>
      <c r="F503">
        <v>0</v>
      </c>
      <c r="G503">
        <v>83.33</v>
      </c>
      <c r="H503">
        <v>16.670000000000002</v>
      </c>
      <c r="I503">
        <v>0</v>
      </c>
      <c r="J503" s="1">
        <v>45927.779020231479</v>
      </c>
      <c r="K503" t="s">
        <v>189</v>
      </c>
      <c r="L503">
        <f>COUNTIF($A$2:A503,A503)</f>
        <v>36</v>
      </c>
    </row>
    <row r="504" spans="1:12" x14ac:dyDescent="0.3">
      <c r="A504">
        <v>12296</v>
      </c>
      <c r="B504" t="s">
        <v>186</v>
      </c>
      <c r="C504" t="s">
        <v>231</v>
      </c>
      <c r="D504" t="s">
        <v>232</v>
      </c>
      <c r="E504">
        <v>5</v>
      </c>
      <c r="F504">
        <v>90</v>
      </c>
      <c r="G504">
        <v>10</v>
      </c>
      <c r="H504">
        <v>0</v>
      </c>
      <c r="I504">
        <v>0</v>
      </c>
      <c r="J504" s="1">
        <v>45927.779293437503</v>
      </c>
      <c r="K504" t="s">
        <v>233</v>
      </c>
      <c r="L504">
        <f>COUNTIF($A$2:A504,A504)</f>
        <v>1</v>
      </c>
    </row>
    <row r="505" spans="1:12" x14ac:dyDescent="0.3">
      <c r="A505">
        <v>12296</v>
      </c>
      <c r="B505" t="s">
        <v>186</v>
      </c>
      <c r="C505" t="s">
        <v>187</v>
      </c>
      <c r="D505" t="s">
        <v>188</v>
      </c>
      <c r="E505">
        <v>10</v>
      </c>
      <c r="F505">
        <v>86.67</v>
      </c>
      <c r="G505">
        <v>0</v>
      </c>
      <c r="H505">
        <v>13.33</v>
      </c>
      <c r="I505">
        <v>0</v>
      </c>
      <c r="J505" s="1">
        <v>45927.780214178238</v>
      </c>
      <c r="K505" t="s">
        <v>233</v>
      </c>
      <c r="L505">
        <f>COUNTIF($A$2:A505,A505)</f>
        <v>2</v>
      </c>
    </row>
    <row r="506" spans="1:12" x14ac:dyDescent="0.3">
      <c r="A506">
        <v>12296</v>
      </c>
      <c r="B506" t="s">
        <v>186</v>
      </c>
      <c r="C506" t="s">
        <v>98</v>
      </c>
      <c r="D506" t="s">
        <v>99</v>
      </c>
      <c r="E506">
        <v>8</v>
      </c>
      <c r="F506">
        <v>83.33</v>
      </c>
      <c r="G506">
        <v>13.33</v>
      </c>
      <c r="H506">
        <v>3.33</v>
      </c>
      <c r="I506">
        <v>0.01</v>
      </c>
      <c r="J506" s="1">
        <v>45927.779552199077</v>
      </c>
      <c r="K506" t="s">
        <v>233</v>
      </c>
      <c r="L506">
        <f>COUNTIF($A$2:A506,A506)</f>
        <v>3</v>
      </c>
    </row>
    <row r="507" spans="1:12" x14ac:dyDescent="0.3">
      <c r="A507">
        <v>12296</v>
      </c>
      <c r="B507" t="s">
        <v>186</v>
      </c>
      <c r="C507" t="s">
        <v>94</v>
      </c>
      <c r="D507" t="s">
        <v>95</v>
      </c>
      <c r="E507">
        <v>10</v>
      </c>
      <c r="F507">
        <v>83.33</v>
      </c>
      <c r="G507">
        <v>16.670000000000002</v>
      </c>
      <c r="H507">
        <v>0</v>
      </c>
      <c r="I507">
        <v>0</v>
      </c>
      <c r="J507" s="1">
        <v>45927.779666296294</v>
      </c>
      <c r="K507" t="s">
        <v>233</v>
      </c>
      <c r="L507">
        <f>COUNTIF($A$2:A507,A507)</f>
        <v>4</v>
      </c>
    </row>
    <row r="508" spans="1:12" x14ac:dyDescent="0.3">
      <c r="A508">
        <v>12296</v>
      </c>
      <c r="B508" t="s">
        <v>186</v>
      </c>
      <c r="C508" t="s">
        <v>206</v>
      </c>
      <c r="D508" t="s">
        <v>207</v>
      </c>
      <c r="E508">
        <v>13</v>
      </c>
      <c r="F508">
        <v>80</v>
      </c>
      <c r="G508">
        <v>13.33</v>
      </c>
      <c r="H508">
        <v>6.67</v>
      </c>
      <c r="I508">
        <v>0</v>
      </c>
      <c r="J508" s="1">
        <v>45927.779570254628</v>
      </c>
      <c r="K508" t="s">
        <v>233</v>
      </c>
      <c r="L508">
        <f>COUNTIF($A$2:A508,A508)</f>
        <v>5</v>
      </c>
    </row>
    <row r="509" spans="1:12" x14ac:dyDescent="0.3">
      <c r="A509">
        <v>12296</v>
      </c>
      <c r="B509" t="s">
        <v>186</v>
      </c>
      <c r="C509" t="s">
        <v>178</v>
      </c>
      <c r="D509" t="s">
        <v>179</v>
      </c>
      <c r="E509">
        <v>14</v>
      </c>
      <c r="F509">
        <v>80</v>
      </c>
      <c r="G509">
        <v>13.33</v>
      </c>
      <c r="H509">
        <v>6.67</v>
      </c>
      <c r="I509">
        <v>0</v>
      </c>
      <c r="J509" s="1">
        <v>45927.779891342594</v>
      </c>
      <c r="K509" t="s">
        <v>233</v>
      </c>
      <c r="L509">
        <f>COUNTIF($A$2:A509,A509)</f>
        <v>6</v>
      </c>
    </row>
    <row r="510" spans="1:12" x14ac:dyDescent="0.3">
      <c r="A510">
        <v>12296</v>
      </c>
      <c r="B510" t="s">
        <v>186</v>
      </c>
      <c r="C510" t="s">
        <v>224</v>
      </c>
      <c r="D510" t="s">
        <v>225</v>
      </c>
      <c r="E510">
        <v>21</v>
      </c>
      <c r="F510">
        <v>66.67</v>
      </c>
      <c r="G510">
        <v>23.33</v>
      </c>
      <c r="H510">
        <v>10</v>
      </c>
      <c r="I510">
        <v>0</v>
      </c>
      <c r="J510" s="1">
        <v>45927.779363020833</v>
      </c>
      <c r="K510" t="s">
        <v>233</v>
      </c>
      <c r="L510">
        <f>COUNTIF($A$2:A510,A510)</f>
        <v>7</v>
      </c>
    </row>
    <row r="511" spans="1:12" x14ac:dyDescent="0.3">
      <c r="A511">
        <v>12296</v>
      </c>
      <c r="B511" t="s">
        <v>186</v>
      </c>
      <c r="C511" t="s">
        <v>222</v>
      </c>
      <c r="D511" t="s">
        <v>223</v>
      </c>
      <c r="E511">
        <v>21</v>
      </c>
      <c r="F511">
        <v>60</v>
      </c>
      <c r="G511">
        <v>30</v>
      </c>
      <c r="H511">
        <v>10</v>
      </c>
      <c r="I511">
        <v>0</v>
      </c>
      <c r="J511" s="1">
        <v>45927.779380196756</v>
      </c>
      <c r="K511" t="s">
        <v>233</v>
      </c>
      <c r="L511">
        <f>COUNTIF($A$2:A511,A511)</f>
        <v>8</v>
      </c>
    </row>
    <row r="512" spans="1:12" x14ac:dyDescent="0.3">
      <c r="A512">
        <v>12296</v>
      </c>
      <c r="B512" t="s">
        <v>186</v>
      </c>
      <c r="C512" t="s">
        <v>218</v>
      </c>
      <c r="D512" t="s">
        <v>219</v>
      </c>
      <c r="E512">
        <v>20</v>
      </c>
      <c r="F512">
        <v>56.67</v>
      </c>
      <c r="G512">
        <v>36.67</v>
      </c>
      <c r="H512">
        <v>6.67</v>
      </c>
      <c r="I512">
        <v>0</v>
      </c>
      <c r="J512" s="1">
        <v>45927.779445335647</v>
      </c>
      <c r="K512" t="s">
        <v>233</v>
      </c>
      <c r="L512">
        <f>COUNTIF($A$2:A512,A512)</f>
        <v>9</v>
      </c>
    </row>
    <row r="513" spans="1:12" x14ac:dyDescent="0.3">
      <c r="A513">
        <v>12296</v>
      </c>
      <c r="B513" t="s">
        <v>186</v>
      </c>
      <c r="C513" t="s">
        <v>21</v>
      </c>
      <c r="D513" t="s">
        <v>22</v>
      </c>
      <c r="E513">
        <v>31</v>
      </c>
      <c r="F513">
        <v>56.67</v>
      </c>
      <c r="G513">
        <v>30</v>
      </c>
      <c r="H513">
        <v>13.33</v>
      </c>
      <c r="I513">
        <v>0</v>
      </c>
      <c r="J513" s="1">
        <v>45927.780041597223</v>
      </c>
      <c r="K513" t="s">
        <v>233</v>
      </c>
      <c r="L513">
        <f>COUNTIF($A$2:A513,A513)</f>
        <v>10</v>
      </c>
    </row>
    <row r="514" spans="1:12" x14ac:dyDescent="0.3">
      <c r="A514">
        <v>12296</v>
      </c>
      <c r="B514" t="s">
        <v>186</v>
      </c>
      <c r="C514" t="s">
        <v>96</v>
      </c>
      <c r="D514" t="s">
        <v>97</v>
      </c>
      <c r="E514">
        <v>22</v>
      </c>
      <c r="F514">
        <v>53.33</v>
      </c>
      <c r="G514">
        <v>36.67</v>
      </c>
      <c r="H514">
        <v>10</v>
      </c>
      <c r="I514">
        <v>0</v>
      </c>
      <c r="J514" s="1">
        <v>45927.77960603009</v>
      </c>
      <c r="K514" t="s">
        <v>233</v>
      </c>
      <c r="L514">
        <f>COUNTIF($A$2:A514,A514)</f>
        <v>11</v>
      </c>
    </row>
    <row r="515" spans="1:12" x14ac:dyDescent="0.3">
      <c r="A515">
        <v>12296</v>
      </c>
      <c r="B515" t="s">
        <v>186</v>
      </c>
      <c r="C515" t="s">
        <v>88</v>
      </c>
      <c r="D515" t="s">
        <v>89</v>
      </c>
      <c r="E515">
        <v>23</v>
      </c>
      <c r="F515">
        <v>46.67</v>
      </c>
      <c r="G515">
        <v>46.67</v>
      </c>
      <c r="H515">
        <v>6.67</v>
      </c>
      <c r="I515">
        <v>0</v>
      </c>
      <c r="J515" s="1">
        <v>45927.779808148145</v>
      </c>
      <c r="K515" t="s">
        <v>233</v>
      </c>
      <c r="L515">
        <f>COUNTIF($A$2:A515,A515)</f>
        <v>12</v>
      </c>
    </row>
    <row r="516" spans="1:12" x14ac:dyDescent="0.3">
      <c r="A516">
        <v>12296</v>
      </c>
      <c r="B516" t="s">
        <v>186</v>
      </c>
      <c r="C516" t="s">
        <v>176</v>
      </c>
      <c r="D516" t="s">
        <v>177</v>
      </c>
      <c r="E516">
        <v>25</v>
      </c>
      <c r="F516">
        <v>46.67</v>
      </c>
      <c r="G516">
        <v>46.67</v>
      </c>
      <c r="H516">
        <v>6.67</v>
      </c>
      <c r="I516">
        <v>0</v>
      </c>
      <c r="J516" s="1">
        <v>45927.779870046295</v>
      </c>
      <c r="K516" t="s">
        <v>233</v>
      </c>
      <c r="L516">
        <f>COUNTIF($A$2:A516,A516)</f>
        <v>13</v>
      </c>
    </row>
    <row r="517" spans="1:12" x14ac:dyDescent="0.3">
      <c r="A517">
        <v>12296</v>
      </c>
      <c r="B517" t="s">
        <v>186</v>
      </c>
      <c r="C517" t="s">
        <v>19</v>
      </c>
      <c r="D517" t="s">
        <v>20</v>
      </c>
      <c r="E517">
        <v>37</v>
      </c>
      <c r="F517">
        <v>46.67</v>
      </c>
      <c r="G517">
        <v>40</v>
      </c>
      <c r="H517">
        <v>13.33</v>
      </c>
      <c r="I517">
        <v>0</v>
      </c>
      <c r="J517" s="1">
        <v>45927.77999909722</v>
      </c>
      <c r="K517" t="s">
        <v>233</v>
      </c>
      <c r="L517">
        <f>COUNTIF($A$2:A517,A517)</f>
        <v>14</v>
      </c>
    </row>
    <row r="518" spans="1:12" x14ac:dyDescent="0.3">
      <c r="A518">
        <v>12296</v>
      </c>
      <c r="B518" t="s">
        <v>186</v>
      </c>
      <c r="C518" t="s">
        <v>230</v>
      </c>
      <c r="D518" t="s">
        <v>230</v>
      </c>
      <c r="E518">
        <v>23</v>
      </c>
      <c r="F518">
        <v>43.33</v>
      </c>
      <c r="G518">
        <v>46.67</v>
      </c>
      <c r="H518">
        <v>10</v>
      </c>
      <c r="I518">
        <v>0</v>
      </c>
      <c r="J518" s="1">
        <v>45927.779313055558</v>
      </c>
      <c r="K518" t="s">
        <v>233</v>
      </c>
      <c r="L518">
        <f>COUNTIF($A$2:A518,A518)</f>
        <v>15</v>
      </c>
    </row>
    <row r="519" spans="1:12" x14ac:dyDescent="0.3">
      <c r="A519">
        <v>12296</v>
      </c>
      <c r="B519" t="s">
        <v>186</v>
      </c>
      <c r="C519" t="s">
        <v>220</v>
      </c>
      <c r="D519" t="s">
        <v>221</v>
      </c>
      <c r="E519">
        <v>28</v>
      </c>
      <c r="F519">
        <v>43.33</v>
      </c>
      <c r="G519">
        <v>46.67</v>
      </c>
      <c r="H519">
        <v>10</v>
      </c>
      <c r="I519">
        <v>0</v>
      </c>
      <c r="J519" s="1">
        <v>45927.779400613428</v>
      </c>
      <c r="K519" t="s">
        <v>233</v>
      </c>
      <c r="L519">
        <f>COUNTIF($A$2:A519,A519)</f>
        <v>16</v>
      </c>
    </row>
    <row r="520" spans="1:12" x14ac:dyDescent="0.3">
      <c r="A520">
        <v>12296</v>
      </c>
      <c r="B520" t="s">
        <v>186</v>
      </c>
      <c r="C520" t="s">
        <v>204</v>
      </c>
      <c r="D520" t="s">
        <v>205</v>
      </c>
      <c r="E520">
        <v>27</v>
      </c>
      <c r="F520">
        <v>36.67</v>
      </c>
      <c r="G520">
        <v>53.33</v>
      </c>
      <c r="H520">
        <v>10</v>
      </c>
      <c r="I520">
        <v>0</v>
      </c>
      <c r="J520" s="1">
        <v>45927.779586296296</v>
      </c>
      <c r="K520" t="s">
        <v>233</v>
      </c>
      <c r="L520">
        <f>COUNTIF($A$2:A520,A520)</f>
        <v>17</v>
      </c>
    </row>
    <row r="521" spans="1:12" x14ac:dyDescent="0.3">
      <c r="A521">
        <v>12296</v>
      </c>
      <c r="B521" t="s">
        <v>186</v>
      </c>
      <c r="C521" t="s">
        <v>174</v>
      </c>
      <c r="D521" t="s">
        <v>175</v>
      </c>
      <c r="E521">
        <v>29</v>
      </c>
      <c r="F521">
        <v>36.67</v>
      </c>
      <c r="G521">
        <v>53.33</v>
      </c>
      <c r="H521">
        <v>10</v>
      </c>
      <c r="I521">
        <v>0</v>
      </c>
      <c r="J521" s="1">
        <v>45927.779825358797</v>
      </c>
      <c r="K521" t="s">
        <v>233</v>
      </c>
      <c r="L521">
        <f>COUNTIF($A$2:A521,A521)</f>
        <v>18</v>
      </c>
    </row>
    <row r="522" spans="1:12" x14ac:dyDescent="0.3">
      <c r="A522">
        <v>12296</v>
      </c>
      <c r="B522" t="s">
        <v>186</v>
      </c>
      <c r="C522" t="s">
        <v>216</v>
      </c>
      <c r="D522" t="s">
        <v>217</v>
      </c>
      <c r="E522">
        <v>29</v>
      </c>
      <c r="F522">
        <v>30</v>
      </c>
      <c r="G522">
        <v>60</v>
      </c>
      <c r="H522">
        <v>10</v>
      </c>
      <c r="I522">
        <v>0</v>
      </c>
      <c r="J522" s="1">
        <v>45927.779465115738</v>
      </c>
      <c r="K522" t="s">
        <v>233</v>
      </c>
      <c r="L522">
        <f>COUNTIF($A$2:A522,A522)</f>
        <v>19</v>
      </c>
    </row>
    <row r="523" spans="1:12" x14ac:dyDescent="0.3">
      <c r="A523">
        <v>12296</v>
      </c>
      <c r="B523" t="s">
        <v>186</v>
      </c>
      <c r="C523" t="s">
        <v>194</v>
      </c>
      <c r="D523" t="s">
        <v>195</v>
      </c>
      <c r="E523">
        <v>46</v>
      </c>
      <c r="F523">
        <v>30</v>
      </c>
      <c r="G523">
        <v>56.67</v>
      </c>
      <c r="H523">
        <v>13.33</v>
      </c>
      <c r="I523">
        <v>0</v>
      </c>
      <c r="J523" s="1">
        <v>45927.780084803242</v>
      </c>
      <c r="K523" t="s">
        <v>233</v>
      </c>
      <c r="L523">
        <f>COUNTIF($A$2:A523,A523)</f>
        <v>20</v>
      </c>
    </row>
    <row r="524" spans="1:12" x14ac:dyDescent="0.3">
      <c r="A524">
        <v>12296</v>
      </c>
      <c r="B524" t="s">
        <v>186</v>
      </c>
      <c r="C524" t="s">
        <v>34</v>
      </c>
      <c r="D524" t="s">
        <v>35</v>
      </c>
      <c r="E524">
        <v>0</v>
      </c>
      <c r="F524">
        <v>26.67</v>
      </c>
      <c r="G524">
        <v>66.67</v>
      </c>
      <c r="H524">
        <v>6.67</v>
      </c>
      <c r="I524">
        <v>0</v>
      </c>
      <c r="J524" s="1">
        <v>45927.779914189814</v>
      </c>
      <c r="K524" t="s">
        <v>233</v>
      </c>
      <c r="L524">
        <f>COUNTIF($A$2:A524,A524)</f>
        <v>21</v>
      </c>
    </row>
    <row r="525" spans="1:12" x14ac:dyDescent="0.3">
      <c r="A525">
        <v>12296</v>
      </c>
      <c r="B525" t="s">
        <v>186</v>
      </c>
      <c r="C525" t="s">
        <v>17</v>
      </c>
      <c r="D525" t="s">
        <v>18</v>
      </c>
      <c r="E525">
        <v>32</v>
      </c>
      <c r="F525">
        <v>26.67</v>
      </c>
      <c r="G525">
        <v>66.67</v>
      </c>
      <c r="H525">
        <v>6.67</v>
      </c>
      <c r="I525">
        <v>0</v>
      </c>
      <c r="J525" s="1">
        <v>45927.779959432868</v>
      </c>
      <c r="K525" t="s">
        <v>233</v>
      </c>
      <c r="L525">
        <f>COUNTIF($A$2:A525,A525)</f>
        <v>22</v>
      </c>
    </row>
    <row r="526" spans="1:12" x14ac:dyDescent="0.3">
      <c r="A526">
        <v>12296</v>
      </c>
      <c r="B526" t="s">
        <v>186</v>
      </c>
      <c r="C526" t="s">
        <v>212</v>
      </c>
      <c r="D526" t="s">
        <v>213</v>
      </c>
      <c r="E526">
        <v>38</v>
      </c>
      <c r="F526">
        <v>23.33</v>
      </c>
      <c r="G526">
        <v>63.33</v>
      </c>
      <c r="H526">
        <v>13.33</v>
      </c>
      <c r="I526">
        <v>0.01</v>
      </c>
      <c r="J526" s="1">
        <v>45927.77949572917</v>
      </c>
      <c r="K526" t="s">
        <v>233</v>
      </c>
      <c r="L526">
        <f>COUNTIF($A$2:A526,A526)</f>
        <v>23</v>
      </c>
    </row>
    <row r="527" spans="1:12" x14ac:dyDescent="0.3">
      <c r="A527">
        <v>12296</v>
      </c>
      <c r="B527" t="s">
        <v>186</v>
      </c>
      <c r="C527" t="s">
        <v>192</v>
      </c>
      <c r="D527" t="s">
        <v>193</v>
      </c>
      <c r="E527">
        <v>49</v>
      </c>
      <c r="F527">
        <v>20</v>
      </c>
      <c r="G527">
        <v>66.67</v>
      </c>
      <c r="H527">
        <v>13.33</v>
      </c>
      <c r="I527">
        <v>0</v>
      </c>
      <c r="J527" s="1">
        <v>45927.780128622682</v>
      </c>
      <c r="K527" t="s">
        <v>233</v>
      </c>
      <c r="L527">
        <f>COUNTIF($A$2:A527,A527)</f>
        <v>24</v>
      </c>
    </row>
    <row r="528" spans="1:12" x14ac:dyDescent="0.3">
      <c r="A528">
        <v>12296</v>
      </c>
      <c r="B528" t="s">
        <v>186</v>
      </c>
      <c r="C528" t="s">
        <v>190</v>
      </c>
      <c r="D528" t="s">
        <v>191</v>
      </c>
      <c r="E528">
        <v>45</v>
      </c>
      <c r="F528">
        <v>20</v>
      </c>
      <c r="G528">
        <v>66.67</v>
      </c>
      <c r="H528">
        <v>13.33</v>
      </c>
      <c r="I528">
        <v>0</v>
      </c>
      <c r="J528" s="1">
        <v>45927.780170219907</v>
      </c>
      <c r="K528" t="s">
        <v>233</v>
      </c>
      <c r="L528">
        <f>COUNTIF($A$2:A528,A528)</f>
        <v>25</v>
      </c>
    </row>
    <row r="529" spans="1:12" x14ac:dyDescent="0.3">
      <c r="A529">
        <v>12296</v>
      </c>
      <c r="B529" t="s">
        <v>186</v>
      </c>
      <c r="C529" t="s">
        <v>228</v>
      </c>
      <c r="D529" t="s">
        <v>229</v>
      </c>
      <c r="E529">
        <v>34</v>
      </c>
      <c r="F529">
        <v>16.670000000000002</v>
      </c>
      <c r="G529">
        <v>73.33</v>
      </c>
      <c r="H529">
        <v>10</v>
      </c>
      <c r="I529">
        <v>0</v>
      </c>
      <c r="J529" s="1">
        <v>45927.779328368058</v>
      </c>
      <c r="K529" t="s">
        <v>233</v>
      </c>
      <c r="L529">
        <f>COUNTIF($A$2:A529,A529)</f>
        <v>26</v>
      </c>
    </row>
    <row r="530" spans="1:12" x14ac:dyDescent="0.3">
      <c r="A530">
        <v>12296</v>
      </c>
      <c r="B530" t="s">
        <v>186</v>
      </c>
      <c r="C530" t="s">
        <v>210</v>
      </c>
      <c r="D530" t="s">
        <v>211</v>
      </c>
      <c r="E530">
        <v>0</v>
      </c>
      <c r="F530">
        <v>13.33</v>
      </c>
      <c r="G530">
        <v>70</v>
      </c>
      <c r="H530">
        <v>16.670000000000002</v>
      </c>
      <c r="I530">
        <v>0</v>
      </c>
      <c r="J530" s="1">
        <v>45927.779515428243</v>
      </c>
      <c r="K530" t="s">
        <v>233</v>
      </c>
      <c r="L530">
        <f>COUNTIF($A$2:A530,A530)</f>
        <v>27</v>
      </c>
    </row>
    <row r="531" spans="1:12" x14ac:dyDescent="0.3">
      <c r="A531">
        <v>12296</v>
      </c>
      <c r="B531" t="s">
        <v>186</v>
      </c>
      <c r="C531" t="s">
        <v>202</v>
      </c>
      <c r="D531" t="s">
        <v>203</v>
      </c>
      <c r="E531">
        <v>41</v>
      </c>
      <c r="F531">
        <v>13.33</v>
      </c>
      <c r="G531">
        <v>63.33</v>
      </c>
      <c r="H531">
        <v>23.33</v>
      </c>
      <c r="I531">
        <v>0.01</v>
      </c>
      <c r="J531" s="1">
        <v>45927.779623645831</v>
      </c>
      <c r="K531" t="s">
        <v>233</v>
      </c>
      <c r="L531">
        <f>COUNTIF($A$2:A531,A531)</f>
        <v>28</v>
      </c>
    </row>
    <row r="532" spans="1:12" x14ac:dyDescent="0.3">
      <c r="A532">
        <v>12296</v>
      </c>
      <c r="B532" t="s">
        <v>186</v>
      </c>
      <c r="C532" t="s">
        <v>208</v>
      </c>
      <c r="D532" t="s">
        <v>209</v>
      </c>
      <c r="E532">
        <v>0</v>
      </c>
      <c r="F532">
        <v>10</v>
      </c>
      <c r="G532">
        <v>73.33</v>
      </c>
      <c r="H532">
        <v>16.670000000000002</v>
      </c>
      <c r="I532">
        <v>0</v>
      </c>
      <c r="J532" s="1">
        <v>45927.779536678237</v>
      </c>
      <c r="K532" t="s">
        <v>233</v>
      </c>
      <c r="L532">
        <f>COUNTIF($A$2:A532,A532)</f>
        <v>29</v>
      </c>
    </row>
    <row r="533" spans="1:12" x14ac:dyDescent="0.3">
      <c r="A533">
        <v>12296</v>
      </c>
      <c r="B533" t="s">
        <v>186</v>
      </c>
      <c r="C533" t="s">
        <v>200</v>
      </c>
      <c r="D533" t="s">
        <v>201</v>
      </c>
      <c r="E533">
        <v>0</v>
      </c>
      <c r="F533">
        <v>6.67</v>
      </c>
      <c r="G533">
        <v>70</v>
      </c>
      <c r="H533">
        <v>23.33</v>
      </c>
      <c r="I533">
        <v>0</v>
      </c>
      <c r="J533" s="1">
        <v>45927.779645949071</v>
      </c>
      <c r="K533" t="s">
        <v>233</v>
      </c>
      <c r="L533">
        <f>COUNTIF($A$2:A533,A533)</f>
        <v>30</v>
      </c>
    </row>
    <row r="534" spans="1:12" x14ac:dyDescent="0.3">
      <c r="A534">
        <v>12296</v>
      </c>
      <c r="B534" t="s">
        <v>186</v>
      </c>
      <c r="C534" t="s">
        <v>92</v>
      </c>
      <c r="D534" t="s">
        <v>93</v>
      </c>
      <c r="E534">
        <v>51</v>
      </c>
      <c r="F534">
        <v>6.67</v>
      </c>
      <c r="G534">
        <v>73.33</v>
      </c>
      <c r="H534">
        <v>20</v>
      </c>
      <c r="I534">
        <v>0</v>
      </c>
      <c r="J534" s="1">
        <v>45927.779746400462</v>
      </c>
      <c r="K534" t="s">
        <v>233</v>
      </c>
      <c r="L534">
        <f>COUNTIF($A$2:A534,A534)</f>
        <v>31</v>
      </c>
    </row>
    <row r="535" spans="1:12" x14ac:dyDescent="0.3">
      <c r="A535">
        <v>12296</v>
      </c>
      <c r="B535" t="s">
        <v>186</v>
      </c>
      <c r="C535" t="s">
        <v>226</v>
      </c>
      <c r="D535" t="s">
        <v>227</v>
      </c>
      <c r="E535">
        <v>45</v>
      </c>
      <c r="F535">
        <v>3.33</v>
      </c>
      <c r="G535">
        <v>76.67</v>
      </c>
      <c r="H535">
        <v>20</v>
      </c>
      <c r="I535">
        <v>0</v>
      </c>
      <c r="J535" s="1">
        <v>45927.779344421295</v>
      </c>
      <c r="K535" t="s">
        <v>233</v>
      </c>
      <c r="L535">
        <f>COUNTIF($A$2:A535,A535)</f>
        <v>32</v>
      </c>
    </row>
    <row r="536" spans="1:12" x14ac:dyDescent="0.3">
      <c r="A536">
        <v>12296</v>
      </c>
      <c r="B536" t="s">
        <v>186</v>
      </c>
      <c r="C536" t="s">
        <v>214</v>
      </c>
      <c r="D536" t="s">
        <v>215</v>
      </c>
      <c r="E536">
        <v>47</v>
      </c>
      <c r="F536">
        <v>3.33</v>
      </c>
      <c r="G536">
        <v>76.67</v>
      </c>
      <c r="H536">
        <v>20</v>
      </c>
      <c r="I536">
        <v>0</v>
      </c>
      <c r="J536" s="1">
        <v>45927.77948070602</v>
      </c>
      <c r="K536" t="s">
        <v>233</v>
      </c>
      <c r="L536">
        <f>COUNTIF($A$2:A536,A536)</f>
        <v>33</v>
      </c>
    </row>
    <row r="537" spans="1:12" x14ac:dyDescent="0.3">
      <c r="A537">
        <v>12296</v>
      </c>
      <c r="B537" t="s">
        <v>186</v>
      </c>
      <c r="C537" t="s">
        <v>198</v>
      </c>
      <c r="D537" t="s">
        <v>199</v>
      </c>
      <c r="E537">
        <v>39</v>
      </c>
      <c r="F537">
        <v>3.33</v>
      </c>
      <c r="G537">
        <v>23.33</v>
      </c>
      <c r="H537">
        <v>10</v>
      </c>
      <c r="I537">
        <v>63.34</v>
      </c>
      <c r="J537" s="1">
        <v>45927.779683912035</v>
      </c>
      <c r="K537" t="s">
        <v>233</v>
      </c>
      <c r="L537">
        <f>COUNTIF($A$2:A537,A537)</f>
        <v>34</v>
      </c>
    </row>
    <row r="538" spans="1:12" x14ac:dyDescent="0.3">
      <c r="A538">
        <v>12296</v>
      </c>
      <c r="B538" t="s">
        <v>186</v>
      </c>
      <c r="C538" t="s">
        <v>90</v>
      </c>
      <c r="D538" t="s">
        <v>91</v>
      </c>
      <c r="E538">
        <v>57</v>
      </c>
      <c r="F538">
        <v>3.33</v>
      </c>
      <c r="G538">
        <v>63.33</v>
      </c>
      <c r="H538">
        <v>33.33</v>
      </c>
      <c r="I538">
        <v>0.01</v>
      </c>
      <c r="J538" s="1">
        <v>45927.779764282408</v>
      </c>
      <c r="K538" t="s">
        <v>233</v>
      </c>
      <c r="L538">
        <f>COUNTIF($A$2:A538,A538)</f>
        <v>35</v>
      </c>
    </row>
    <row r="539" spans="1:12" x14ac:dyDescent="0.3">
      <c r="A539">
        <v>12296</v>
      </c>
      <c r="B539" t="s">
        <v>186</v>
      </c>
      <c r="C539" t="s">
        <v>196</v>
      </c>
      <c r="D539" t="s">
        <v>197</v>
      </c>
      <c r="E539">
        <v>43</v>
      </c>
      <c r="F539">
        <v>0</v>
      </c>
      <c r="G539">
        <v>86.67</v>
      </c>
      <c r="H539">
        <v>13.33</v>
      </c>
      <c r="I539">
        <v>0</v>
      </c>
      <c r="J539" s="1">
        <v>45927.77972820602</v>
      </c>
      <c r="K539" t="s">
        <v>233</v>
      </c>
      <c r="L539">
        <f>COUNTIF($A$2:A539,A539)</f>
        <v>36</v>
      </c>
    </row>
    <row r="540" spans="1:12" x14ac:dyDescent="0.3">
      <c r="A540">
        <v>12301</v>
      </c>
      <c r="B540" t="s">
        <v>821</v>
      </c>
      <c r="C540" t="s">
        <v>114</v>
      </c>
      <c r="D540" t="s">
        <v>115</v>
      </c>
      <c r="E540">
        <v>0</v>
      </c>
      <c r="F540">
        <v>100</v>
      </c>
      <c r="G540">
        <v>0</v>
      </c>
      <c r="H540">
        <v>0</v>
      </c>
      <c r="I540">
        <v>0</v>
      </c>
      <c r="J540" s="1">
        <v>45928.079442256945</v>
      </c>
      <c r="K540" t="s">
        <v>822</v>
      </c>
      <c r="L540">
        <f>COUNTIF($A$2:A540,A540)</f>
        <v>1</v>
      </c>
    </row>
    <row r="541" spans="1:12" x14ac:dyDescent="0.3">
      <c r="A541">
        <v>12301</v>
      </c>
      <c r="B541" t="s">
        <v>821</v>
      </c>
      <c r="C541" t="s">
        <v>757</v>
      </c>
      <c r="D541" t="s">
        <v>758</v>
      </c>
      <c r="E541">
        <v>3</v>
      </c>
      <c r="F541">
        <v>100</v>
      </c>
      <c r="G541">
        <v>0</v>
      </c>
      <c r="H541">
        <v>0</v>
      </c>
      <c r="I541">
        <v>0</v>
      </c>
      <c r="J541" s="1">
        <v>45928.079481759261</v>
      </c>
      <c r="K541" t="s">
        <v>822</v>
      </c>
      <c r="L541">
        <f>COUNTIF($A$2:A541,A541)</f>
        <v>2</v>
      </c>
    </row>
    <row r="542" spans="1:12" x14ac:dyDescent="0.3">
      <c r="A542">
        <v>12301</v>
      </c>
      <c r="B542" t="s">
        <v>821</v>
      </c>
      <c r="C542" t="s">
        <v>823</v>
      </c>
      <c r="D542" t="s">
        <v>824</v>
      </c>
      <c r="E542">
        <v>6</v>
      </c>
      <c r="F542">
        <v>100</v>
      </c>
      <c r="G542">
        <v>0</v>
      </c>
      <c r="H542">
        <v>0</v>
      </c>
      <c r="I542">
        <v>0</v>
      </c>
      <c r="J542" s="1">
        <v>45928.079501585649</v>
      </c>
      <c r="K542" t="s">
        <v>822</v>
      </c>
      <c r="L542">
        <f>COUNTIF($A$2:A542,A542)</f>
        <v>3</v>
      </c>
    </row>
    <row r="543" spans="1:12" x14ac:dyDescent="0.3">
      <c r="A543">
        <v>12301</v>
      </c>
      <c r="B543" t="s">
        <v>821</v>
      </c>
      <c r="C543" t="s">
        <v>825</v>
      </c>
      <c r="D543" t="s">
        <v>826</v>
      </c>
      <c r="E543">
        <v>0</v>
      </c>
      <c r="F543">
        <v>92</v>
      </c>
      <c r="G543">
        <v>4</v>
      </c>
      <c r="H543">
        <v>4</v>
      </c>
      <c r="I543">
        <v>0</v>
      </c>
      <c r="J543" s="1">
        <v>45928.079525671295</v>
      </c>
      <c r="K543" t="s">
        <v>822</v>
      </c>
      <c r="L543">
        <f>COUNTIF($A$2:A543,A543)</f>
        <v>4</v>
      </c>
    </row>
    <row r="544" spans="1:12" x14ac:dyDescent="0.3">
      <c r="A544">
        <v>12301</v>
      </c>
      <c r="B544" t="s">
        <v>821</v>
      </c>
      <c r="C544" t="s">
        <v>224</v>
      </c>
      <c r="D544" t="s">
        <v>225</v>
      </c>
      <c r="E544">
        <v>15</v>
      </c>
      <c r="F544">
        <v>92</v>
      </c>
      <c r="G544">
        <v>4</v>
      </c>
      <c r="H544">
        <v>4</v>
      </c>
      <c r="I544">
        <v>0</v>
      </c>
      <c r="J544" s="1">
        <v>45928.079541354164</v>
      </c>
      <c r="K544" t="s">
        <v>822</v>
      </c>
      <c r="L544">
        <f>COUNTIF($A$2:A544,A544)</f>
        <v>5</v>
      </c>
    </row>
    <row r="545" spans="1:12" x14ac:dyDescent="0.3">
      <c r="A545">
        <v>12301</v>
      </c>
      <c r="B545" t="s">
        <v>821</v>
      </c>
      <c r="C545" t="s">
        <v>784</v>
      </c>
      <c r="D545" t="s">
        <v>785</v>
      </c>
      <c r="E545">
        <v>15</v>
      </c>
      <c r="F545">
        <v>92</v>
      </c>
      <c r="G545">
        <v>4</v>
      </c>
      <c r="H545">
        <v>4</v>
      </c>
      <c r="I545">
        <v>0</v>
      </c>
      <c r="J545" s="1">
        <v>45928.079557372686</v>
      </c>
      <c r="K545" t="s">
        <v>822</v>
      </c>
      <c r="L545">
        <f>COUNTIF($A$2:A545,A545)</f>
        <v>6</v>
      </c>
    </row>
    <row r="546" spans="1:12" x14ac:dyDescent="0.3">
      <c r="A546">
        <v>12301</v>
      </c>
      <c r="B546" t="s">
        <v>821</v>
      </c>
      <c r="C546" t="s">
        <v>786</v>
      </c>
      <c r="D546" t="s">
        <v>787</v>
      </c>
      <c r="E546">
        <v>19</v>
      </c>
      <c r="F546">
        <v>76</v>
      </c>
      <c r="G546">
        <v>20</v>
      </c>
      <c r="H546">
        <v>4</v>
      </c>
      <c r="I546">
        <v>0</v>
      </c>
      <c r="J546" s="1">
        <v>45928.079574097224</v>
      </c>
      <c r="K546" t="s">
        <v>822</v>
      </c>
      <c r="L546">
        <f>COUNTIF($A$2:A546,A546)</f>
        <v>7</v>
      </c>
    </row>
    <row r="547" spans="1:12" x14ac:dyDescent="0.3">
      <c r="A547">
        <v>12301</v>
      </c>
      <c r="B547" t="s">
        <v>821</v>
      </c>
      <c r="C547" t="s">
        <v>110</v>
      </c>
      <c r="D547" t="s">
        <v>111</v>
      </c>
      <c r="E547">
        <v>22</v>
      </c>
      <c r="F547">
        <v>76</v>
      </c>
      <c r="G547">
        <v>20</v>
      </c>
      <c r="H547">
        <v>4</v>
      </c>
      <c r="I547">
        <v>0</v>
      </c>
      <c r="J547" s="1">
        <v>45928.079593969909</v>
      </c>
      <c r="K547" t="s">
        <v>822</v>
      </c>
      <c r="L547">
        <f>COUNTIF($A$2:A547,A547)</f>
        <v>8</v>
      </c>
    </row>
    <row r="548" spans="1:12" x14ac:dyDescent="0.3">
      <c r="A548">
        <v>12301</v>
      </c>
      <c r="B548" t="s">
        <v>821</v>
      </c>
      <c r="C548" t="s">
        <v>755</v>
      </c>
      <c r="D548" t="s">
        <v>756</v>
      </c>
      <c r="E548">
        <v>16</v>
      </c>
      <c r="F548">
        <v>56</v>
      </c>
      <c r="G548">
        <v>44</v>
      </c>
      <c r="H548">
        <v>0</v>
      </c>
      <c r="I548">
        <v>0</v>
      </c>
      <c r="J548" s="1">
        <v>45928.079461469904</v>
      </c>
      <c r="K548" t="s">
        <v>822</v>
      </c>
      <c r="L548">
        <f>COUNTIF($A$2:A548,A548)</f>
        <v>9</v>
      </c>
    </row>
    <row r="549" spans="1:12" x14ac:dyDescent="0.3">
      <c r="A549">
        <v>12302</v>
      </c>
      <c r="B549" t="s">
        <v>821</v>
      </c>
      <c r="C549" t="s">
        <v>110</v>
      </c>
      <c r="D549" t="s">
        <v>111</v>
      </c>
      <c r="E549">
        <v>0</v>
      </c>
      <c r="F549">
        <v>96.15</v>
      </c>
      <c r="G549">
        <v>0</v>
      </c>
      <c r="H549">
        <v>3.85</v>
      </c>
      <c r="I549">
        <v>0</v>
      </c>
      <c r="J549" s="1">
        <v>45928.079658483795</v>
      </c>
      <c r="K549" t="s">
        <v>827</v>
      </c>
      <c r="L549">
        <f>COUNTIF($A$2:A549,A549)</f>
        <v>1</v>
      </c>
    </row>
    <row r="550" spans="1:12" x14ac:dyDescent="0.3">
      <c r="A550">
        <v>12302</v>
      </c>
      <c r="B550" t="s">
        <v>821</v>
      </c>
      <c r="C550" t="s">
        <v>757</v>
      </c>
      <c r="D550" t="s">
        <v>758</v>
      </c>
      <c r="E550">
        <v>20</v>
      </c>
      <c r="F550">
        <v>88.46</v>
      </c>
      <c r="G550">
        <v>3.85</v>
      </c>
      <c r="H550">
        <v>7.69</v>
      </c>
      <c r="I550">
        <v>0</v>
      </c>
      <c r="J550" s="1">
        <v>45928.079865115738</v>
      </c>
      <c r="K550" t="s">
        <v>827</v>
      </c>
      <c r="L550">
        <f>COUNTIF($A$2:A550,A550)</f>
        <v>2</v>
      </c>
    </row>
    <row r="551" spans="1:12" x14ac:dyDescent="0.3">
      <c r="A551">
        <v>12302</v>
      </c>
      <c r="B551" t="s">
        <v>821</v>
      </c>
      <c r="C551" t="s">
        <v>786</v>
      </c>
      <c r="D551" t="s">
        <v>787</v>
      </c>
      <c r="E551">
        <v>22</v>
      </c>
      <c r="F551">
        <v>84.62</v>
      </c>
      <c r="G551">
        <v>7.69</v>
      </c>
      <c r="H551">
        <v>7.69</v>
      </c>
      <c r="I551">
        <v>0</v>
      </c>
      <c r="J551" s="1">
        <v>45928.079703958334</v>
      </c>
      <c r="K551" t="s">
        <v>827</v>
      </c>
      <c r="L551">
        <f>COUNTIF($A$2:A551,A551)</f>
        <v>3</v>
      </c>
    </row>
    <row r="552" spans="1:12" x14ac:dyDescent="0.3">
      <c r="A552">
        <v>12302</v>
      </c>
      <c r="B552" t="s">
        <v>821</v>
      </c>
      <c r="C552" t="s">
        <v>224</v>
      </c>
      <c r="D552" t="s">
        <v>225</v>
      </c>
      <c r="E552">
        <v>20</v>
      </c>
      <c r="F552">
        <v>84.62</v>
      </c>
      <c r="G552">
        <v>7.69</v>
      </c>
      <c r="H552">
        <v>7.69</v>
      </c>
      <c r="I552">
        <v>0</v>
      </c>
      <c r="J552" s="1">
        <v>45928.079760173612</v>
      </c>
      <c r="K552" t="s">
        <v>827</v>
      </c>
      <c r="L552">
        <f>COUNTIF($A$2:A552,A552)</f>
        <v>4</v>
      </c>
    </row>
    <row r="553" spans="1:12" x14ac:dyDescent="0.3">
      <c r="A553">
        <v>12302</v>
      </c>
      <c r="B553" t="s">
        <v>821</v>
      </c>
      <c r="C553" t="s">
        <v>114</v>
      </c>
      <c r="D553" t="s">
        <v>115</v>
      </c>
      <c r="E553">
        <v>30</v>
      </c>
      <c r="F553">
        <v>84.62</v>
      </c>
      <c r="G553">
        <v>3.85</v>
      </c>
      <c r="H553">
        <v>11.54</v>
      </c>
      <c r="I553">
        <v>0</v>
      </c>
      <c r="J553" s="1">
        <v>45928.079925949074</v>
      </c>
      <c r="K553" t="s">
        <v>827</v>
      </c>
      <c r="L553">
        <f>COUNTIF($A$2:A553,A553)</f>
        <v>5</v>
      </c>
    </row>
    <row r="554" spans="1:12" x14ac:dyDescent="0.3">
      <c r="A554">
        <v>12302</v>
      </c>
      <c r="B554" t="s">
        <v>821</v>
      </c>
      <c r="C554" t="s">
        <v>784</v>
      </c>
      <c r="D554" t="s">
        <v>785</v>
      </c>
      <c r="E554">
        <v>22</v>
      </c>
      <c r="F554">
        <v>76.92</v>
      </c>
      <c r="G554">
        <v>15.38</v>
      </c>
      <c r="H554">
        <v>7.69</v>
      </c>
      <c r="I554">
        <v>0.01</v>
      </c>
      <c r="J554" s="1">
        <v>45928.079720069443</v>
      </c>
      <c r="K554" t="s">
        <v>827</v>
      </c>
      <c r="L554">
        <f>COUNTIF($A$2:A554,A554)</f>
        <v>6</v>
      </c>
    </row>
    <row r="555" spans="1:12" x14ac:dyDescent="0.3">
      <c r="A555">
        <v>12302</v>
      </c>
      <c r="B555" t="s">
        <v>821</v>
      </c>
      <c r="C555" t="s">
        <v>825</v>
      </c>
      <c r="D555" t="s">
        <v>826</v>
      </c>
      <c r="E555">
        <v>23</v>
      </c>
      <c r="F555">
        <v>73.08</v>
      </c>
      <c r="G555">
        <v>19.23</v>
      </c>
      <c r="H555">
        <v>7.69</v>
      </c>
      <c r="I555">
        <v>0</v>
      </c>
      <c r="J555" s="1">
        <v>45928.079804560184</v>
      </c>
      <c r="K555" t="s">
        <v>827</v>
      </c>
      <c r="L555">
        <f>COUNTIF($A$2:A555,A555)</f>
        <v>7</v>
      </c>
    </row>
    <row r="556" spans="1:12" x14ac:dyDescent="0.3">
      <c r="A556">
        <v>12302</v>
      </c>
      <c r="B556" t="s">
        <v>821</v>
      </c>
      <c r="C556" t="s">
        <v>755</v>
      </c>
      <c r="D556" t="s">
        <v>756</v>
      </c>
      <c r="E556">
        <v>40</v>
      </c>
      <c r="F556">
        <v>50</v>
      </c>
      <c r="G556">
        <v>38.46</v>
      </c>
      <c r="H556">
        <v>11.54</v>
      </c>
      <c r="I556">
        <v>0</v>
      </c>
      <c r="J556" s="1">
        <v>45928.079886111111</v>
      </c>
      <c r="K556" t="s">
        <v>827</v>
      </c>
      <c r="L556">
        <f>COUNTIF($A$2:A556,A556)</f>
        <v>8</v>
      </c>
    </row>
    <row r="557" spans="1:12" x14ac:dyDescent="0.3">
      <c r="A557">
        <v>12302</v>
      </c>
      <c r="B557" t="s">
        <v>821</v>
      </c>
      <c r="C557" t="s">
        <v>823</v>
      </c>
      <c r="D557" t="s">
        <v>824</v>
      </c>
      <c r="E557">
        <v>34</v>
      </c>
      <c r="F557">
        <v>46.15</v>
      </c>
      <c r="G557">
        <v>46.15</v>
      </c>
      <c r="H557">
        <v>7.69</v>
      </c>
      <c r="I557">
        <v>0.01</v>
      </c>
      <c r="J557" s="1">
        <v>45928.07982240741</v>
      </c>
      <c r="K557" t="s">
        <v>827</v>
      </c>
      <c r="L557">
        <f>COUNTIF($A$2:A557,A557)</f>
        <v>9</v>
      </c>
    </row>
    <row r="558" spans="1:12" x14ac:dyDescent="0.3">
      <c r="A558">
        <v>12305</v>
      </c>
      <c r="B558" t="s">
        <v>828</v>
      </c>
      <c r="C558" t="s">
        <v>114</v>
      </c>
      <c r="D558" t="s">
        <v>115</v>
      </c>
      <c r="E558">
        <v>2</v>
      </c>
      <c r="F558">
        <v>100</v>
      </c>
      <c r="G558">
        <v>0</v>
      </c>
      <c r="H558">
        <v>0</v>
      </c>
      <c r="I558">
        <v>0</v>
      </c>
      <c r="J558" s="1">
        <v>45928.079982743053</v>
      </c>
      <c r="K558" t="s">
        <v>829</v>
      </c>
      <c r="L558">
        <f>COUNTIF($A$2:A558,A558)</f>
        <v>1</v>
      </c>
    </row>
    <row r="559" spans="1:12" x14ac:dyDescent="0.3">
      <c r="A559">
        <v>12305</v>
      </c>
      <c r="B559" t="s">
        <v>828</v>
      </c>
      <c r="C559" t="s">
        <v>782</v>
      </c>
      <c r="D559" t="s">
        <v>783</v>
      </c>
      <c r="E559">
        <v>2</v>
      </c>
      <c r="F559">
        <v>100</v>
      </c>
      <c r="G559">
        <v>0</v>
      </c>
      <c r="H559">
        <v>0</v>
      </c>
      <c r="I559">
        <v>0</v>
      </c>
      <c r="J559" s="1">
        <v>45928.080054201389</v>
      </c>
      <c r="K559" t="s">
        <v>829</v>
      </c>
      <c r="L559">
        <f>COUNTIF($A$2:A559,A559)</f>
        <v>2</v>
      </c>
    </row>
    <row r="560" spans="1:12" x14ac:dyDescent="0.3">
      <c r="A560">
        <v>12305</v>
      </c>
      <c r="B560" t="s">
        <v>828</v>
      </c>
      <c r="C560" t="s">
        <v>224</v>
      </c>
      <c r="D560" t="s">
        <v>225</v>
      </c>
      <c r="E560">
        <v>11</v>
      </c>
      <c r="F560">
        <v>60</v>
      </c>
      <c r="G560">
        <v>40</v>
      </c>
      <c r="H560">
        <v>0</v>
      </c>
      <c r="I560">
        <v>0</v>
      </c>
      <c r="J560" s="1">
        <v>45928.080070231481</v>
      </c>
      <c r="K560" t="s">
        <v>829</v>
      </c>
      <c r="L560">
        <f>COUNTIF($A$2:A560,A560)</f>
        <v>3</v>
      </c>
    </row>
    <row r="561" spans="1:12" x14ac:dyDescent="0.3">
      <c r="A561">
        <v>12305</v>
      </c>
      <c r="B561" t="s">
        <v>828</v>
      </c>
      <c r="C561" t="s">
        <v>784</v>
      </c>
      <c r="D561" t="s">
        <v>785</v>
      </c>
      <c r="E561">
        <v>12</v>
      </c>
      <c r="F561">
        <v>60</v>
      </c>
      <c r="G561">
        <v>40</v>
      </c>
      <c r="H561">
        <v>0</v>
      </c>
      <c r="I561">
        <v>0</v>
      </c>
      <c r="J561" s="1">
        <v>45928.080089594907</v>
      </c>
      <c r="K561" t="s">
        <v>829</v>
      </c>
      <c r="L561">
        <f>COUNTIF($A$2:A561,A561)</f>
        <v>4</v>
      </c>
    </row>
    <row r="562" spans="1:12" x14ac:dyDescent="0.3">
      <c r="A562">
        <v>12305</v>
      </c>
      <c r="B562" t="s">
        <v>828</v>
      </c>
      <c r="C562" t="s">
        <v>110</v>
      </c>
      <c r="D562" t="s">
        <v>111</v>
      </c>
      <c r="E562">
        <v>16</v>
      </c>
      <c r="F562">
        <v>60</v>
      </c>
      <c r="G562">
        <v>40</v>
      </c>
      <c r="H562">
        <v>0</v>
      </c>
      <c r="I562">
        <v>0</v>
      </c>
      <c r="J562" s="1">
        <v>45928.080125787033</v>
      </c>
      <c r="K562" t="s">
        <v>829</v>
      </c>
      <c r="L562">
        <f>COUNTIF($A$2:A562,A562)</f>
        <v>5</v>
      </c>
    </row>
    <row r="563" spans="1:12" x14ac:dyDescent="0.3">
      <c r="A563">
        <v>12305</v>
      </c>
      <c r="B563" t="s">
        <v>828</v>
      </c>
      <c r="C563" t="s">
        <v>786</v>
      </c>
      <c r="D563" t="s">
        <v>787</v>
      </c>
      <c r="E563">
        <v>21</v>
      </c>
      <c r="F563">
        <v>40</v>
      </c>
      <c r="G563">
        <v>60</v>
      </c>
      <c r="H563">
        <v>0</v>
      </c>
      <c r="I563">
        <v>0</v>
      </c>
      <c r="J563" s="1">
        <v>45928.080106608795</v>
      </c>
      <c r="K563" t="s">
        <v>829</v>
      </c>
      <c r="L563">
        <f>COUNTIF($A$2:A563,A563)</f>
        <v>6</v>
      </c>
    </row>
    <row r="564" spans="1:12" x14ac:dyDescent="0.3">
      <c r="A564">
        <v>12305</v>
      </c>
      <c r="B564" t="s">
        <v>828</v>
      </c>
      <c r="C564" t="s">
        <v>771</v>
      </c>
      <c r="D564" t="s">
        <v>772</v>
      </c>
      <c r="E564">
        <v>26</v>
      </c>
      <c r="F564">
        <v>20</v>
      </c>
      <c r="G564">
        <v>80</v>
      </c>
      <c r="H564">
        <v>0</v>
      </c>
      <c r="I564">
        <v>0</v>
      </c>
      <c r="J564" s="1">
        <v>45928.080019074077</v>
      </c>
      <c r="K564" t="s">
        <v>829</v>
      </c>
      <c r="L564">
        <f>COUNTIF($A$2:A564,A564)</f>
        <v>7</v>
      </c>
    </row>
    <row r="565" spans="1:12" x14ac:dyDescent="0.3">
      <c r="A565">
        <v>12305</v>
      </c>
      <c r="B565" t="s">
        <v>828</v>
      </c>
      <c r="C565" t="s">
        <v>774</v>
      </c>
      <c r="D565" t="s">
        <v>775</v>
      </c>
      <c r="E565">
        <v>0</v>
      </c>
      <c r="F565">
        <v>20</v>
      </c>
      <c r="G565">
        <v>80</v>
      </c>
      <c r="H565">
        <v>0</v>
      </c>
      <c r="I565">
        <v>0</v>
      </c>
      <c r="J565" s="1">
        <v>45928.080039375003</v>
      </c>
      <c r="K565" t="s">
        <v>829</v>
      </c>
      <c r="L565">
        <f>COUNTIF($A$2:A565,A565)</f>
        <v>8</v>
      </c>
    </row>
    <row r="566" spans="1:12" x14ac:dyDescent="0.3">
      <c r="A566">
        <v>12305</v>
      </c>
      <c r="B566" t="s">
        <v>828</v>
      </c>
      <c r="C566" t="s">
        <v>830</v>
      </c>
      <c r="D566" t="s">
        <v>831</v>
      </c>
      <c r="E566">
        <v>19</v>
      </c>
      <c r="F566">
        <v>0</v>
      </c>
      <c r="G566">
        <v>100</v>
      </c>
      <c r="H566">
        <v>0</v>
      </c>
      <c r="I566">
        <v>0</v>
      </c>
      <c r="J566" s="1">
        <v>45928.079998356479</v>
      </c>
      <c r="K566" t="s">
        <v>829</v>
      </c>
      <c r="L566">
        <f>COUNTIF($A$2:A566,A566)</f>
        <v>9</v>
      </c>
    </row>
    <row r="567" spans="1:12" x14ac:dyDescent="0.3">
      <c r="A567">
        <v>12306</v>
      </c>
      <c r="B567" t="s">
        <v>828</v>
      </c>
      <c r="C567" t="s">
        <v>110</v>
      </c>
      <c r="D567" t="s">
        <v>111</v>
      </c>
      <c r="E567">
        <v>1</v>
      </c>
      <c r="F567">
        <v>100</v>
      </c>
      <c r="G567">
        <v>0</v>
      </c>
      <c r="H567">
        <v>0</v>
      </c>
      <c r="I567">
        <v>0</v>
      </c>
      <c r="J567" s="1">
        <v>45928.080172731483</v>
      </c>
      <c r="K567" t="s">
        <v>832</v>
      </c>
      <c r="L567">
        <f>COUNTIF($A$2:A567,A567)</f>
        <v>1</v>
      </c>
    </row>
    <row r="568" spans="1:12" x14ac:dyDescent="0.3">
      <c r="A568">
        <v>12306</v>
      </c>
      <c r="B568" t="s">
        <v>828</v>
      </c>
      <c r="C568" t="s">
        <v>786</v>
      </c>
      <c r="D568" t="s">
        <v>787</v>
      </c>
      <c r="E568">
        <v>4</v>
      </c>
      <c r="F568">
        <v>100</v>
      </c>
      <c r="G568">
        <v>0</v>
      </c>
      <c r="H568">
        <v>0</v>
      </c>
      <c r="I568">
        <v>0</v>
      </c>
      <c r="J568" s="1">
        <v>45928.080192731482</v>
      </c>
      <c r="K568" t="s">
        <v>832</v>
      </c>
      <c r="L568">
        <f>COUNTIF($A$2:A568,A568)</f>
        <v>2</v>
      </c>
    </row>
    <row r="569" spans="1:12" x14ac:dyDescent="0.3">
      <c r="A569">
        <v>12306</v>
      </c>
      <c r="B569" t="s">
        <v>828</v>
      </c>
      <c r="C569" t="s">
        <v>784</v>
      </c>
      <c r="D569" t="s">
        <v>785</v>
      </c>
      <c r="E569">
        <v>4</v>
      </c>
      <c r="F569">
        <v>100</v>
      </c>
      <c r="G569">
        <v>0</v>
      </c>
      <c r="H569">
        <v>0</v>
      </c>
      <c r="I569">
        <v>0</v>
      </c>
      <c r="J569" s="1">
        <v>45928.080210462962</v>
      </c>
      <c r="K569" t="s">
        <v>832</v>
      </c>
      <c r="L569">
        <f>COUNTIF($A$2:A569,A569)</f>
        <v>3</v>
      </c>
    </row>
    <row r="570" spans="1:12" x14ac:dyDescent="0.3">
      <c r="A570">
        <v>12306</v>
      </c>
      <c r="B570" t="s">
        <v>828</v>
      </c>
      <c r="C570" t="s">
        <v>224</v>
      </c>
      <c r="D570" t="s">
        <v>225</v>
      </c>
      <c r="E570">
        <v>0</v>
      </c>
      <c r="F570">
        <v>100</v>
      </c>
      <c r="G570">
        <v>0</v>
      </c>
      <c r="H570">
        <v>0</v>
      </c>
      <c r="I570">
        <v>0</v>
      </c>
      <c r="J570" s="1">
        <v>45928.080231134256</v>
      </c>
      <c r="K570" t="s">
        <v>832</v>
      </c>
      <c r="L570">
        <f>COUNTIF($A$2:A570,A570)</f>
        <v>4</v>
      </c>
    </row>
    <row r="571" spans="1:12" x14ac:dyDescent="0.3">
      <c r="A571">
        <v>12306</v>
      </c>
      <c r="B571" t="s">
        <v>828</v>
      </c>
      <c r="C571" t="s">
        <v>782</v>
      </c>
      <c r="D571" t="s">
        <v>783</v>
      </c>
      <c r="E571">
        <v>1</v>
      </c>
      <c r="F571">
        <v>100</v>
      </c>
      <c r="G571">
        <v>0</v>
      </c>
      <c r="H571">
        <v>0</v>
      </c>
      <c r="I571">
        <v>0</v>
      </c>
      <c r="J571" s="1">
        <v>45928.080248761573</v>
      </c>
      <c r="K571" t="s">
        <v>832</v>
      </c>
      <c r="L571">
        <f>COUNTIF($A$2:A571,A571)</f>
        <v>5</v>
      </c>
    </row>
    <row r="572" spans="1:12" x14ac:dyDescent="0.3">
      <c r="A572">
        <v>12306</v>
      </c>
      <c r="B572" t="s">
        <v>828</v>
      </c>
      <c r="C572" t="s">
        <v>774</v>
      </c>
      <c r="D572" t="s">
        <v>775</v>
      </c>
      <c r="E572">
        <v>1</v>
      </c>
      <c r="F572">
        <v>100</v>
      </c>
      <c r="G572">
        <v>0</v>
      </c>
      <c r="H572">
        <v>0</v>
      </c>
      <c r="I572">
        <v>0</v>
      </c>
      <c r="J572" s="1">
        <v>45928.080266446763</v>
      </c>
      <c r="K572" t="s">
        <v>832</v>
      </c>
      <c r="L572">
        <f>COUNTIF($A$2:A572,A572)</f>
        <v>6</v>
      </c>
    </row>
    <row r="573" spans="1:12" x14ac:dyDescent="0.3">
      <c r="A573">
        <v>12306</v>
      </c>
      <c r="B573" t="s">
        <v>828</v>
      </c>
      <c r="C573" t="s">
        <v>771</v>
      </c>
      <c r="D573" t="s">
        <v>772</v>
      </c>
      <c r="E573">
        <v>2</v>
      </c>
      <c r="F573">
        <v>100</v>
      </c>
      <c r="G573">
        <v>0</v>
      </c>
      <c r="H573">
        <v>0</v>
      </c>
      <c r="I573">
        <v>0</v>
      </c>
      <c r="J573" s="1">
        <v>45928.080287708333</v>
      </c>
      <c r="K573" t="s">
        <v>832</v>
      </c>
      <c r="L573">
        <f>COUNTIF($A$2:A573,A573)</f>
        <v>7</v>
      </c>
    </row>
    <row r="574" spans="1:12" x14ac:dyDescent="0.3">
      <c r="A574">
        <v>12306</v>
      </c>
      <c r="B574" t="s">
        <v>828</v>
      </c>
      <c r="C574" t="s">
        <v>830</v>
      </c>
      <c r="D574" t="s">
        <v>831</v>
      </c>
      <c r="E574">
        <v>0</v>
      </c>
      <c r="F574">
        <v>100</v>
      </c>
      <c r="G574">
        <v>0</v>
      </c>
      <c r="H574">
        <v>0</v>
      </c>
      <c r="I574">
        <v>0</v>
      </c>
      <c r="J574" s="1">
        <v>45928.08030361111</v>
      </c>
      <c r="K574" t="s">
        <v>832</v>
      </c>
      <c r="L574">
        <f>COUNTIF($A$2:A574,A574)</f>
        <v>8</v>
      </c>
    </row>
    <row r="575" spans="1:12" x14ac:dyDescent="0.3">
      <c r="A575">
        <v>12306</v>
      </c>
      <c r="B575" t="s">
        <v>828</v>
      </c>
      <c r="C575" t="s">
        <v>114</v>
      </c>
      <c r="D575" t="s">
        <v>115</v>
      </c>
      <c r="E575">
        <v>0</v>
      </c>
      <c r="F575">
        <v>100</v>
      </c>
      <c r="G575">
        <v>0</v>
      </c>
      <c r="H575">
        <v>0</v>
      </c>
      <c r="I575">
        <v>0</v>
      </c>
      <c r="J575" s="1">
        <v>45928.080320324072</v>
      </c>
      <c r="K575" t="s">
        <v>832</v>
      </c>
      <c r="L575">
        <f>COUNTIF($A$2:A575,A575)</f>
        <v>9</v>
      </c>
    </row>
    <row r="576" spans="1:12" x14ac:dyDescent="0.3">
      <c r="A576">
        <v>12313</v>
      </c>
      <c r="B576" t="s">
        <v>833</v>
      </c>
      <c r="C576" t="s">
        <v>794</v>
      </c>
      <c r="D576" t="s">
        <v>795</v>
      </c>
      <c r="E576">
        <v>0</v>
      </c>
      <c r="F576">
        <v>100</v>
      </c>
      <c r="G576">
        <v>0</v>
      </c>
      <c r="H576">
        <v>0</v>
      </c>
      <c r="I576">
        <v>0</v>
      </c>
      <c r="J576" s="1">
        <v>45928.080372187498</v>
      </c>
      <c r="K576" t="s">
        <v>834</v>
      </c>
      <c r="L576">
        <f>COUNTIF($A$2:A576,A576)</f>
        <v>1</v>
      </c>
    </row>
    <row r="577" spans="1:12" x14ac:dyDescent="0.3">
      <c r="A577">
        <v>12313</v>
      </c>
      <c r="B577" t="s">
        <v>833</v>
      </c>
      <c r="C577" t="s">
        <v>757</v>
      </c>
      <c r="D577" t="s">
        <v>758</v>
      </c>
      <c r="E577">
        <v>2</v>
      </c>
      <c r="F577">
        <v>96.67</v>
      </c>
      <c r="G577">
        <v>3.33</v>
      </c>
      <c r="H577">
        <v>0</v>
      </c>
      <c r="I577">
        <v>0</v>
      </c>
      <c r="J577" s="1">
        <v>45928.080476215277</v>
      </c>
      <c r="K577" t="s">
        <v>834</v>
      </c>
      <c r="L577">
        <f>COUNTIF($A$2:A577,A577)</f>
        <v>2</v>
      </c>
    </row>
    <row r="578" spans="1:12" x14ac:dyDescent="0.3">
      <c r="A578">
        <v>12313</v>
      </c>
      <c r="B578" t="s">
        <v>833</v>
      </c>
      <c r="C578" t="s">
        <v>825</v>
      </c>
      <c r="D578" t="s">
        <v>826</v>
      </c>
      <c r="E578">
        <v>9</v>
      </c>
      <c r="F578">
        <v>96.67</v>
      </c>
      <c r="G578">
        <v>0</v>
      </c>
      <c r="H578">
        <v>3.33</v>
      </c>
      <c r="I578">
        <v>0</v>
      </c>
      <c r="J578" s="1">
        <v>45928.080518148148</v>
      </c>
      <c r="K578" t="s">
        <v>834</v>
      </c>
      <c r="L578">
        <f>COUNTIF($A$2:A578,A578)</f>
        <v>3</v>
      </c>
    </row>
    <row r="579" spans="1:12" x14ac:dyDescent="0.3">
      <c r="A579">
        <v>12313</v>
      </c>
      <c r="B579" t="s">
        <v>833</v>
      </c>
      <c r="C579" t="s">
        <v>751</v>
      </c>
      <c r="D579" t="s">
        <v>752</v>
      </c>
      <c r="E579">
        <v>8</v>
      </c>
      <c r="F579">
        <v>93.33</v>
      </c>
      <c r="G579">
        <v>6.67</v>
      </c>
      <c r="H579">
        <v>0</v>
      </c>
      <c r="I579">
        <v>0</v>
      </c>
      <c r="J579" s="1">
        <v>45928.080414699078</v>
      </c>
      <c r="K579" t="s">
        <v>834</v>
      </c>
      <c r="L579">
        <f>COUNTIF($A$2:A579,A579)</f>
        <v>4</v>
      </c>
    </row>
    <row r="580" spans="1:12" x14ac:dyDescent="0.3">
      <c r="A580">
        <v>12313</v>
      </c>
      <c r="B580" t="s">
        <v>833</v>
      </c>
      <c r="C580" t="s">
        <v>224</v>
      </c>
      <c r="D580" t="s">
        <v>225</v>
      </c>
      <c r="E580">
        <v>12</v>
      </c>
      <c r="F580">
        <v>93.33</v>
      </c>
      <c r="G580">
        <v>3.33</v>
      </c>
      <c r="H580">
        <v>3.33</v>
      </c>
      <c r="I580">
        <v>0.01</v>
      </c>
      <c r="J580" s="1">
        <v>45928.080533437504</v>
      </c>
      <c r="K580" t="s">
        <v>834</v>
      </c>
      <c r="L580">
        <f>COUNTIF($A$2:A580,A580)</f>
        <v>5</v>
      </c>
    </row>
    <row r="581" spans="1:12" x14ac:dyDescent="0.3">
      <c r="A581">
        <v>12313</v>
      </c>
      <c r="B581" t="s">
        <v>833</v>
      </c>
      <c r="C581" t="s">
        <v>110</v>
      </c>
      <c r="D581" t="s">
        <v>111</v>
      </c>
      <c r="E581">
        <v>11</v>
      </c>
      <c r="F581">
        <v>83.33</v>
      </c>
      <c r="G581">
        <v>13.33</v>
      </c>
      <c r="H581">
        <v>3.33</v>
      </c>
      <c r="I581">
        <v>0.01</v>
      </c>
      <c r="J581" s="1">
        <v>45928.080595381944</v>
      </c>
      <c r="K581" t="s">
        <v>834</v>
      </c>
      <c r="L581">
        <f>COUNTIF($A$2:A581,A581)</f>
        <v>6</v>
      </c>
    </row>
    <row r="582" spans="1:12" x14ac:dyDescent="0.3">
      <c r="A582">
        <v>12313</v>
      </c>
      <c r="B582" t="s">
        <v>833</v>
      </c>
      <c r="C582" t="s">
        <v>755</v>
      </c>
      <c r="D582" t="s">
        <v>756</v>
      </c>
      <c r="E582">
        <v>14</v>
      </c>
      <c r="F582">
        <v>76.67</v>
      </c>
      <c r="G582">
        <v>23.33</v>
      </c>
      <c r="H582">
        <v>0</v>
      </c>
      <c r="I582">
        <v>0</v>
      </c>
      <c r="J582" s="1">
        <v>45928.08043509259</v>
      </c>
      <c r="K582" t="s">
        <v>834</v>
      </c>
      <c r="L582">
        <f>COUNTIF($A$2:A582,A582)</f>
        <v>7</v>
      </c>
    </row>
    <row r="583" spans="1:12" x14ac:dyDescent="0.3">
      <c r="A583">
        <v>12313</v>
      </c>
      <c r="B583" t="s">
        <v>833</v>
      </c>
      <c r="C583" t="s">
        <v>786</v>
      </c>
      <c r="D583" t="s">
        <v>787</v>
      </c>
      <c r="E583">
        <v>17</v>
      </c>
      <c r="F583">
        <v>76.67</v>
      </c>
      <c r="G583">
        <v>20</v>
      </c>
      <c r="H583">
        <v>3.33</v>
      </c>
      <c r="I583">
        <v>0</v>
      </c>
      <c r="J583" s="1">
        <v>45928.080579513888</v>
      </c>
      <c r="K583" t="s">
        <v>834</v>
      </c>
      <c r="L583">
        <f>COUNTIF($A$2:A583,A583)</f>
        <v>8</v>
      </c>
    </row>
    <row r="584" spans="1:12" x14ac:dyDescent="0.3">
      <c r="A584">
        <v>12314</v>
      </c>
      <c r="B584" t="s">
        <v>833</v>
      </c>
      <c r="C584" t="s">
        <v>110</v>
      </c>
      <c r="D584" t="s">
        <v>111</v>
      </c>
      <c r="E584">
        <v>9</v>
      </c>
      <c r="F584">
        <v>96.67</v>
      </c>
      <c r="G584">
        <v>0</v>
      </c>
      <c r="H584">
        <v>3.33</v>
      </c>
      <c r="I584">
        <v>0</v>
      </c>
      <c r="J584" s="1">
        <v>45928.080705173612</v>
      </c>
      <c r="K584" t="s">
        <v>835</v>
      </c>
      <c r="L584">
        <f>COUNTIF($A$2:A584,A584)</f>
        <v>1</v>
      </c>
    </row>
    <row r="585" spans="1:12" x14ac:dyDescent="0.3">
      <c r="A585">
        <v>12314</v>
      </c>
      <c r="B585" t="s">
        <v>833</v>
      </c>
      <c r="C585" t="s">
        <v>224</v>
      </c>
      <c r="D585" t="s">
        <v>225</v>
      </c>
      <c r="E585">
        <v>0</v>
      </c>
      <c r="F585">
        <v>93.33</v>
      </c>
      <c r="G585">
        <v>0</v>
      </c>
      <c r="H585">
        <v>6.67</v>
      </c>
      <c r="I585">
        <v>0</v>
      </c>
      <c r="J585" s="1">
        <v>45928.080745648149</v>
      </c>
      <c r="K585" t="s">
        <v>835</v>
      </c>
      <c r="L585">
        <f>COUNTIF($A$2:A585,A585)</f>
        <v>2</v>
      </c>
    </row>
    <row r="586" spans="1:12" x14ac:dyDescent="0.3">
      <c r="A586">
        <v>12314</v>
      </c>
      <c r="B586" t="s">
        <v>833</v>
      </c>
      <c r="C586" t="s">
        <v>757</v>
      </c>
      <c r="D586" t="s">
        <v>758</v>
      </c>
      <c r="E586">
        <v>0</v>
      </c>
      <c r="F586">
        <v>90</v>
      </c>
      <c r="G586">
        <v>3.33</v>
      </c>
      <c r="H586">
        <v>6.67</v>
      </c>
      <c r="I586">
        <v>0</v>
      </c>
      <c r="J586" s="1">
        <v>45928.080819629628</v>
      </c>
      <c r="K586" t="s">
        <v>835</v>
      </c>
      <c r="L586">
        <f>COUNTIF($A$2:A586,A586)</f>
        <v>3</v>
      </c>
    </row>
    <row r="587" spans="1:12" x14ac:dyDescent="0.3">
      <c r="A587">
        <v>12314</v>
      </c>
      <c r="B587" t="s">
        <v>833</v>
      </c>
      <c r="C587" t="s">
        <v>794</v>
      </c>
      <c r="D587" t="s">
        <v>795</v>
      </c>
      <c r="E587">
        <v>19</v>
      </c>
      <c r="F587">
        <v>86.67</v>
      </c>
      <c r="G587">
        <v>3.33</v>
      </c>
      <c r="H587">
        <v>10</v>
      </c>
      <c r="I587">
        <v>0</v>
      </c>
      <c r="J587" s="1">
        <v>45928.080909293982</v>
      </c>
      <c r="K587" t="s">
        <v>835</v>
      </c>
      <c r="L587">
        <f>COUNTIF($A$2:A587,A587)</f>
        <v>4</v>
      </c>
    </row>
    <row r="588" spans="1:12" x14ac:dyDescent="0.3">
      <c r="A588">
        <v>12314</v>
      </c>
      <c r="B588" t="s">
        <v>833</v>
      </c>
      <c r="C588" t="s">
        <v>825</v>
      </c>
      <c r="D588" t="s">
        <v>826</v>
      </c>
      <c r="E588">
        <v>24</v>
      </c>
      <c r="F588">
        <v>83.33</v>
      </c>
      <c r="G588">
        <v>10</v>
      </c>
      <c r="H588">
        <v>6.67</v>
      </c>
      <c r="I588">
        <v>0</v>
      </c>
      <c r="J588" s="1">
        <v>45928.080791412038</v>
      </c>
      <c r="K588" t="s">
        <v>835</v>
      </c>
      <c r="L588">
        <f>COUNTIF($A$2:A588,A588)</f>
        <v>5</v>
      </c>
    </row>
    <row r="589" spans="1:12" x14ac:dyDescent="0.3">
      <c r="A589">
        <v>12314</v>
      </c>
      <c r="B589" t="s">
        <v>833</v>
      </c>
      <c r="C589" t="s">
        <v>786</v>
      </c>
      <c r="D589" t="s">
        <v>787</v>
      </c>
      <c r="E589">
        <v>23</v>
      </c>
      <c r="F589">
        <v>80</v>
      </c>
      <c r="G589">
        <v>13.33</v>
      </c>
      <c r="H589">
        <v>6.67</v>
      </c>
      <c r="I589">
        <v>0</v>
      </c>
      <c r="J589" s="1">
        <v>45928.080720451391</v>
      </c>
      <c r="K589" t="s">
        <v>835</v>
      </c>
      <c r="L589">
        <f>COUNTIF($A$2:A589,A589)</f>
        <v>6</v>
      </c>
    </row>
    <row r="590" spans="1:12" x14ac:dyDescent="0.3">
      <c r="A590">
        <v>12314</v>
      </c>
      <c r="B590" t="s">
        <v>833</v>
      </c>
      <c r="C590" t="s">
        <v>755</v>
      </c>
      <c r="D590" t="s">
        <v>756</v>
      </c>
      <c r="E590">
        <v>0</v>
      </c>
      <c r="F590">
        <v>26.67</v>
      </c>
      <c r="G590">
        <v>63.33</v>
      </c>
      <c r="H590">
        <v>10</v>
      </c>
      <c r="I590">
        <v>0</v>
      </c>
      <c r="J590" s="1">
        <v>45928.080846863428</v>
      </c>
      <c r="K590" t="s">
        <v>835</v>
      </c>
      <c r="L590">
        <f>COUNTIF($A$2:A590,A590)</f>
        <v>7</v>
      </c>
    </row>
    <row r="591" spans="1:12" x14ac:dyDescent="0.3">
      <c r="A591">
        <v>12314</v>
      </c>
      <c r="B591" t="s">
        <v>833</v>
      </c>
      <c r="C591" t="s">
        <v>751</v>
      </c>
      <c r="D591" t="s">
        <v>752</v>
      </c>
      <c r="E591">
        <v>40</v>
      </c>
      <c r="F591">
        <v>13.33</v>
      </c>
      <c r="G591">
        <v>76.67</v>
      </c>
      <c r="H591">
        <v>10</v>
      </c>
      <c r="I591">
        <v>0</v>
      </c>
      <c r="J591" s="1">
        <v>45928.080866018521</v>
      </c>
      <c r="K591" t="s">
        <v>835</v>
      </c>
      <c r="L591">
        <f>COUNTIF($A$2:A591,A591)</f>
        <v>8</v>
      </c>
    </row>
    <row r="592" spans="1:12" x14ac:dyDescent="0.3">
      <c r="A592">
        <v>12367</v>
      </c>
      <c r="B592" t="s">
        <v>957</v>
      </c>
      <c r="C592" t="s">
        <v>958</v>
      </c>
      <c r="D592" t="s">
        <v>959</v>
      </c>
      <c r="E592">
        <v>8</v>
      </c>
      <c r="F592">
        <v>93.42</v>
      </c>
      <c r="G592">
        <v>0.55000000000000004</v>
      </c>
      <c r="H592">
        <v>1.64</v>
      </c>
      <c r="I592">
        <v>4.3899999999999997</v>
      </c>
      <c r="J592" s="1">
        <v>45928.088810543981</v>
      </c>
      <c r="K592" t="s">
        <v>960</v>
      </c>
      <c r="L592">
        <f>COUNTIF($A$2:A592,A592)</f>
        <v>1</v>
      </c>
    </row>
    <row r="593" spans="1:12" x14ac:dyDescent="0.3">
      <c r="A593">
        <v>12367</v>
      </c>
      <c r="B593" t="s">
        <v>957</v>
      </c>
      <c r="C593" t="s">
        <v>963</v>
      </c>
      <c r="D593" t="s">
        <v>964</v>
      </c>
      <c r="E593">
        <v>11</v>
      </c>
      <c r="F593">
        <v>85.75</v>
      </c>
      <c r="G593">
        <v>7.67</v>
      </c>
      <c r="H593">
        <v>1.37</v>
      </c>
      <c r="I593">
        <v>5.21</v>
      </c>
      <c r="J593" s="1">
        <v>45928.088846736115</v>
      </c>
      <c r="K593" t="s">
        <v>960</v>
      </c>
      <c r="L593">
        <f>COUNTIF($A$2:A593,A593)</f>
        <v>2</v>
      </c>
    </row>
    <row r="594" spans="1:12" x14ac:dyDescent="0.3">
      <c r="A594">
        <v>12367</v>
      </c>
      <c r="B594" t="s">
        <v>957</v>
      </c>
      <c r="C594" t="s">
        <v>961</v>
      </c>
      <c r="D594" t="s">
        <v>962</v>
      </c>
      <c r="E594">
        <v>12</v>
      </c>
      <c r="F594">
        <v>81.64</v>
      </c>
      <c r="G594">
        <v>11.78</v>
      </c>
      <c r="H594">
        <v>1.37</v>
      </c>
      <c r="I594">
        <v>5.21</v>
      </c>
      <c r="J594" s="1">
        <v>45928.088826817133</v>
      </c>
      <c r="K594" t="s">
        <v>960</v>
      </c>
      <c r="L594">
        <f>COUNTIF($A$2:A594,A594)</f>
        <v>3</v>
      </c>
    </row>
    <row r="595" spans="1:12" x14ac:dyDescent="0.3">
      <c r="A595">
        <v>12367</v>
      </c>
      <c r="B595" t="s">
        <v>957</v>
      </c>
      <c r="C595" t="s">
        <v>778</v>
      </c>
      <c r="D595" t="s">
        <v>779</v>
      </c>
      <c r="E595">
        <v>14</v>
      </c>
      <c r="F595">
        <v>79.180000000000007</v>
      </c>
      <c r="G595">
        <v>13.97</v>
      </c>
      <c r="H595">
        <v>2.4700000000000002</v>
      </c>
      <c r="I595">
        <v>4.38</v>
      </c>
      <c r="J595" s="1">
        <v>45928.088944768519</v>
      </c>
      <c r="K595" t="s">
        <v>960</v>
      </c>
      <c r="L595">
        <f>COUNTIF($A$2:A595,A595)</f>
        <v>4</v>
      </c>
    </row>
    <row r="596" spans="1:12" x14ac:dyDescent="0.3">
      <c r="A596">
        <v>12367</v>
      </c>
      <c r="B596" t="s">
        <v>957</v>
      </c>
      <c r="C596" t="s">
        <v>973</v>
      </c>
      <c r="D596" t="s">
        <v>974</v>
      </c>
      <c r="E596">
        <v>0</v>
      </c>
      <c r="F596">
        <v>74.52</v>
      </c>
      <c r="G596">
        <v>18.899999999999999</v>
      </c>
      <c r="H596">
        <v>2.19</v>
      </c>
      <c r="I596">
        <v>4.38</v>
      </c>
      <c r="J596" s="1">
        <v>45928.088978495369</v>
      </c>
      <c r="K596" t="s">
        <v>960</v>
      </c>
      <c r="L596">
        <f>COUNTIF($A$2:A596,A596)</f>
        <v>5</v>
      </c>
    </row>
    <row r="597" spans="1:12" x14ac:dyDescent="0.3">
      <c r="A597">
        <v>12367</v>
      </c>
      <c r="B597" t="s">
        <v>957</v>
      </c>
      <c r="C597" t="s">
        <v>788</v>
      </c>
      <c r="D597" t="s">
        <v>789</v>
      </c>
      <c r="E597">
        <v>37</v>
      </c>
      <c r="F597">
        <v>71.510000000000005</v>
      </c>
      <c r="G597">
        <v>6.85</v>
      </c>
      <c r="H597">
        <v>17.260000000000002</v>
      </c>
      <c r="I597">
        <v>4.38</v>
      </c>
      <c r="J597" s="1">
        <v>45928.089284652779</v>
      </c>
      <c r="K597" t="s">
        <v>960</v>
      </c>
      <c r="L597">
        <f>COUNTIF($A$2:A597,A597)</f>
        <v>6</v>
      </c>
    </row>
    <row r="598" spans="1:12" x14ac:dyDescent="0.3">
      <c r="A598">
        <v>12367</v>
      </c>
      <c r="B598" t="s">
        <v>957</v>
      </c>
      <c r="C598" t="s">
        <v>965</v>
      </c>
      <c r="D598" t="s">
        <v>966</v>
      </c>
      <c r="E598">
        <v>16</v>
      </c>
      <c r="F598">
        <v>65.209999999999994</v>
      </c>
      <c r="G598">
        <v>28.22</v>
      </c>
      <c r="H598">
        <v>1.37</v>
      </c>
      <c r="I598">
        <v>5.2</v>
      </c>
      <c r="J598" s="1">
        <v>45928.08886434028</v>
      </c>
      <c r="K598" t="s">
        <v>960</v>
      </c>
      <c r="L598">
        <f>COUNTIF($A$2:A598,A598)</f>
        <v>7</v>
      </c>
    </row>
    <row r="599" spans="1:12" x14ac:dyDescent="0.3">
      <c r="A599">
        <v>12367</v>
      </c>
      <c r="B599" t="s">
        <v>957</v>
      </c>
      <c r="C599" t="s">
        <v>975</v>
      </c>
      <c r="D599" t="s">
        <v>976</v>
      </c>
      <c r="E599">
        <v>21</v>
      </c>
      <c r="F599">
        <v>59.73</v>
      </c>
      <c r="G599">
        <v>33.15</v>
      </c>
      <c r="H599">
        <v>2.74</v>
      </c>
      <c r="I599">
        <v>4.38</v>
      </c>
      <c r="J599" s="1">
        <v>45928.088999409723</v>
      </c>
      <c r="K599" t="s">
        <v>960</v>
      </c>
      <c r="L599">
        <f>COUNTIF($A$2:A599,A599)</f>
        <v>8</v>
      </c>
    </row>
    <row r="600" spans="1:12" x14ac:dyDescent="0.3">
      <c r="A600">
        <v>12367</v>
      </c>
      <c r="B600" t="s">
        <v>957</v>
      </c>
      <c r="C600" t="s">
        <v>224</v>
      </c>
      <c r="D600" t="s">
        <v>225</v>
      </c>
      <c r="E600">
        <v>0</v>
      </c>
      <c r="F600">
        <v>54.52</v>
      </c>
      <c r="G600">
        <v>25.21</v>
      </c>
      <c r="H600">
        <v>15.89</v>
      </c>
      <c r="I600">
        <v>4.38</v>
      </c>
      <c r="J600" s="1">
        <v>45928.089232071761</v>
      </c>
      <c r="K600" t="s">
        <v>960</v>
      </c>
      <c r="L600">
        <f>COUNTIF($A$2:A600,A600)</f>
        <v>9</v>
      </c>
    </row>
    <row r="601" spans="1:12" x14ac:dyDescent="0.3">
      <c r="A601">
        <v>12367</v>
      </c>
      <c r="B601" t="s">
        <v>957</v>
      </c>
      <c r="C601" t="s">
        <v>969</v>
      </c>
      <c r="D601" t="s">
        <v>970</v>
      </c>
      <c r="E601">
        <v>18</v>
      </c>
      <c r="F601">
        <v>52.6</v>
      </c>
      <c r="G601">
        <v>40.82</v>
      </c>
      <c r="H601">
        <v>1.37</v>
      </c>
      <c r="I601">
        <v>5.21</v>
      </c>
      <c r="J601" s="1">
        <v>45928.088905092591</v>
      </c>
      <c r="K601" t="s">
        <v>960</v>
      </c>
      <c r="L601">
        <f>COUNTIF($A$2:A601,A601)</f>
        <v>10</v>
      </c>
    </row>
    <row r="602" spans="1:12" x14ac:dyDescent="0.3">
      <c r="A602">
        <v>12367</v>
      </c>
      <c r="B602" t="s">
        <v>957</v>
      </c>
      <c r="C602" t="s">
        <v>967</v>
      </c>
      <c r="D602" t="s">
        <v>968</v>
      </c>
      <c r="E602">
        <v>18</v>
      </c>
      <c r="F602">
        <v>48.49</v>
      </c>
      <c r="G602">
        <v>44.93</v>
      </c>
      <c r="H602">
        <v>1.37</v>
      </c>
      <c r="I602">
        <v>5.21</v>
      </c>
      <c r="J602" s="1">
        <v>45928.088884548612</v>
      </c>
      <c r="K602" t="s">
        <v>960</v>
      </c>
      <c r="L602">
        <f>COUNTIF($A$2:A602,A602)</f>
        <v>11</v>
      </c>
    </row>
    <row r="603" spans="1:12" x14ac:dyDescent="0.3">
      <c r="A603">
        <v>12367</v>
      </c>
      <c r="B603" t="s">
        <v>957</v>
      </c>
      <c r="C603" t="s">
        <v>971</v>
      </c>
      <c r="D603" t="s">
        <v>972</v>
      </c>
      <c r="E603">
        <v>20</v>
      </c>
      <c r="F603">
        <v>44.66</v>
      </c>
      <c r="G603">
        <v>48.77</v>
      </c>
      <c r="H603">
        <v>1.37</v>
      </c>
      <c r="I603">
        <v>5.2</v>
      </c>
      <c r="J603" s="1">
        <v>45928.088924826392</v>
      </c>
      <c r="K603" t="s">
        <v>960</v>
      </c>
      <c r="L603">
        <f>COUNTIF($A$2:A603,A603)</f>
        <v>12</v>
      </c>
    </row>
    <row r="604" spans="1:12" x14ac:dyDescent="0.3">
      <c r="A604">
        <v>12367</v>
      </c>
      <c r="B604" t="s">
        <v>957</v>
      </c>
      <c r="C604" t="s">
        <v>977</v>
      </c>
      <c r="D604" t="s">
        <v>978</v>
      </c>
      <c r="E604">
        <v>24</v>
      </c>
      <c r="F604">
        <v>43.84</v>
      </c>
      <c r="G604">
        <v>48.77</v>
      </c>
      <c r="H604">
        <v>3.01</v>
      </c>
      <c r="I604">
        <v>4.38</v>
      </c>
      <c r="J604" s="1">
        <v>45928.089021493055</v>
      </c>
      <c r="K604" t="s">
        <v>960</v>
      </c>
      <c r="L604">
        <f>COUNTIF($A$2:A604,A604)</f>
        <v>13</v>
      </c>
    </row>
    <row r="605" spans="1:12" x14ac:dyDescent="0.3">
      <c r="A605">
        <v>12367</v>
      </c>
      <c r="B605" t="s">
        <v>957</v>
      </c>
      <c r="C605" t="s">
        <v>786</v>
      </c>
      <c r="D605" t="s">
        <v>787</v>
      </c>
      <c r="E605">
        <v>53</v>
      </c>
      <c r="F605">
        <v>28.77</v>
      </c>
      <c r="G605">
        <v>45.75</v>
      </c>
      <c r="H605">
        <v>21.1</v>
      </c>
      <c r="I605">
        <v>4.38</v>
      </c>
      <c r="J605" s="1">
        <v>45928.089267881944</v>
      </c>
      <c r="K605" t="s">
        <v>960</v>
      </c>
      <c r="L605">
        <f>COUNTIF($A$2:A605,A605)</f>
        <v>14</v>
      </c>
    </row>
    <row r="606" spans="1:12" x14ac:dyDescent="0.3">
      <c r="A606">
        <v>12367</v>
      </c>
      <c r="B606" t="s">
        <v>957</v>
      </c>
      <c r="C606" t="s">
        <v>780</v>
      </c>
      <c r="D606" t="s">
        <v>781</v>
      </c>
      <c r="E606">
        <v>30</v>
      </c>
      <c r="F606">
        <v>21.92</v>
      </c>
      <c r="G606">
        <v>69.86</v>
      </c>
      <c r="H606">
        <v>3.84</v>
      </c>
      <c r="I606">
        <v>4.38</v>
      </c>
      <c r="J606" s="1">
        <v>45928.089041678242</v>
      </c>
      <c r="K606" t="s">
        <v>960</v>
      </c>
      <c r="L606">
        <f>COUNTIF($A$2:A606,A606)</f>
        <v>15</v>
      </c>
    </row>
    <row r="607" spans="1:12" x14ac:dyDescent="0.3">
      <c r="A607">
        <v>12367</v>
      </c>
      <c r="B607" t="s">
        <v>957</v>
      </c>
      <c r="C607" t="s">
        <v>782</v>
      </c>
      <c r="D607" t="s">
        <v>783</v>
      </c>
      <c r="E607">
        <v>38</v>
      </c>
      <c r="F607">
        <v>18.079999999999998</v>
      </c>
      <c r="G607">
        <v>67.95</v>
      </c>
      <c r="H607">
        <v>9.59</v>
      </c>
      <c r="I607">
        <v>4.38</v>
      </c>
      <c r="J607" s="1">
        <v>45928.089160636577</v>
      </c>
      <c r="K607" t="s">
        <v>960</v>
      </c>
      <c r="L607">
        <f>COUNTIF($A$2:A607,A607)</f>
        <v>16</v>
      </c>
    </row>
    <row r="608" spans="1:12" x14ac:dyDescent="0.3">
      <c r="A608">
        <v>12367</v>
      </c>
      <c r="B608" t="s">
        <v>957</v>
      </c>
      <c r="C608" t="s">
        <v>979</v>
      </c>
      <c r="D608" t="s">
        <v>979</v>
      </c>
      <c r="E608">
        <v>38</v>
      </c>
      <c r="F608">
        <v>7.4</v>
      </c>
      <c r="G608">
        <v>83.29</v>
      </c>
      <c r="H608">
        <v>4.93</v>
      </c>
      <c r="I608">
        <v>4.38</v>
      </c>
      <c r="J608" s="1">
        <v>45928.089061585648</v>
      </c>
      <c r="K608" t="s">
        <v>960</v>
      </c>
      <c r="L608">
        <f>COUNTIF($A$2:A608,A608)</f>
        <v>17</v>
      </c>
    </row>
    <row r="609" spans="1:12" x14ac:dyDescent="0.3">
      <c r="A609">
        <v>12367</v>
      </c>
      <c r="B609" t="s">
        <v>957</v>
      </c>
      <c r="C609" t="s">
        <v>980</v>
      </c>
      <c r="D609" t="s">
        <v>981</v>
      </c>
      <c r="E609">
        <v>41</v>
      </c>
      <c r="F609">
        <v>6.85</v>
      </c>
      <c r="G609">
        <v>81.37</v>
      </c>
      <c r="H609">
        <v>7.4</v>
      </c>
      <c r="I609">
        <v>4.38</v>
      </c>
      <c r="J609" s="1">
        <v>45928.089080578706</v>
      </c>
      <c r="K609" t="s">
        <v>960</v>
      </c>
      <c r="L609">
        <f>COUNTIF($A$2:A609,A609)</f>
        <v>18</v>
      </c>
    </row>
    <row r="610" spans="1:12" x14ac:dyDescent="0.3">
      <c r="A610">
        <v>12367</v>
      </c>
      <c r="B610" t="s">
        <v>957</v>
      </c>
      <c r="C610" t="s">
        <v>230</v>
      </c>
      <c r="D610" t="s">
        <v>230</v>
      </c>
      <c r="E610">
        <v>55</v>
      </c>
      <c r="F610">
        <v>4.1100000000000003</v>
      </c>
      <c r="G610">
        <v>68.489999999999995</v>
      </c>
      <c r="H610">
        <v>23.01</v>
      </c>
      <c r="I610">
        <v>4.3899999999999997</v>
      </c>
      <c r="J610" s="1">
        <v>45928.089180694442</v>
      </c>
      <c r="K610" t="s">
        <v>960</v>
      </c>
      <c r="L610">
        <f>COUNTIF($A$2:A610,A610)</f>
        <v>19</v>
      </c>
    </row>
    <row r="611" spans="1:12" x14ac:dyDescent="0.3">
      <c r="A611">
        <v>12367</v>
      </c>
      <c r="B611" t="s">
        <v>957</v>
      </c>
      <c r="C611" t="s">
        <v>982</v>
      </c>
      <c r="D611" t="s">
        <v>983</v>
      </c>
      <c r="E611">
        <v>0</v>
      </c>
      <c r="F611">
        <v>3.29</v>
      </c>
      <c r="G611">
        <v>81.92</v>
      </c>
      <c r="H611">
        <v>10.41</v>
      </c>
      <c r="I611">
        <v>4.38</v>
      </c>
      <c r="J611" s="1">
        <v>45928.089111678244</v>
      </c>
      <c r="K611" t="s">
        <v>960</v>
      </c>
      <c r="L611">
        <f>COUNTIF($A$2:A611,A611)</f>
        <v>20</v>
      </c>
    </row>
    <row r="612" spans="1:12" x14ac:dyDescent="0.3">
      <c r="A612">
        <v>12367</v>
      </c>
      <c r="B612" t="s">
        <v>957</v>
      </c>
      <c r="C612" t="s">
        <v>986</v>
      </c>
      <c r="D612" t="s">
        <v>987</v>
      </c>
      <c r="E612">
        <v>48</v>
      </c>
      <c r="F612">
        <v>3.29</v>
      </c>
      <c r="G612">
        <v>76.989999999999995</v>
      </c>
      <c r="H612">
        <v>15.34</v>
      </c>
      <c r="I612">
        <v>4.38</v>
      </c>
      <c r="J612" s="1">
        <v>45928.089145011574</v>
      </c>
      <c r="K612" t="s">
        <v>960</v>
      </c>
      <c r="L612">
        <f>COUNTIF($A$2:A612,A612)</f>
        <v>21</v>
      </c>
    </row>
    <row r="613" spans="1:12" x14ac:dyDescent="0.3">
      <c r="A613">
        <v>12367</v>
      </c>
      <c r="B613" t="s">
        <v>957</v>
      </c>
      <c r="C613" t="s">
        <v>228</v>
      </c>
      <c r="D613" t="s">
        <v>229</v>
      </c>
      <c r="E613">
        <v>65</v>
      </c>
      <c r="F613">
        <v>2.74</v>
      </c>
      <c r="G613">
        <v>59.73</v>
      </c>
      <c r="H613">
        <v>33.15</v>
      </c>
      <c r="I613">
        <v>4.38</v>
      </c>
      <c r="J613" s="1">
        <v>45928.08919953704</v>
      </c>
      <c r="K613" t="s">
        <v>960</v>
      </c>
      <c r="L613">
        <f>COUNTIF($A$2:A613,A613)</f>
        <v>22</v>
      </c>
    </row>
    <row r="614" spans="1:12" x14ac:dyDescent="0.3">
      <c r="A614">
        <v>12367</v>
      </c>
      <c r="B614" t="s">
        <v>957</v>
      </c>
      <c r="C614" t="s">
        <v>984</v>
      </c>
      <c r="D614" t="s">
        <v>985</v>
      </c>
      <c r="E614">
        <v>48</v>
      </c>
      <c r="F614">
        <v>2.4700000000000002</v>
      </c>
      <c r="G614">
        <v>79.180000000000007</v>
      </c>
      <c r="H614">
        <v>13.97</v>
      </c>
      <c r="I614">
        <v>4.38</v>
      </c>
      <c r="J614" s="1">
        <v>45928.08912877315</v>
      </c>
      <c r="K614" t="s">
        <v>960</v>
      </c>
      <c r="L614">
        <f>COUNTIF($A$2:A614,A614)</f>
        <v>23</v>
      </c>
    </row>
    <row r="615" spans="1:12" x14ac:dyDescent="0.3">
      <c r="A615">
        <v>12367</v>
      </c>
      <c r="B615" t="s">
        <v>957</v>
      </c>
      <c r="C615" t="s">
        <v>784</v>
      </c>
      <c r="D615" t="s">
        <v>785</v>
      </c>
      <c r="E615">
        <v>101</v>
      </c>
      <c r="F615">
        <v>2.19</v>
      </c>
      <c r="G615">
        <v>3.01</v>
      </c>
      <c r="H615">
        <v>5.21</v>
      </c>
      <c r="I615">
        <v>89.59</v>
      </c>
      <c r="J615" s="1">
        <v>45928.089252777776</v>
      </c>
      <c r="K615" t="s">
        <v>960</v>
      </c>
      <c r="L615">
        <f>COUNTIF($A$2:A615,A615)</f>
        <v>24</v>
      </c>
    </row>
    <row r="616" spans="1:12" x14ac:dyDescent="0.3">
      <c r="A616">
        <v>12368</v>
      </c>
      <c r="B616" t="s">
        <v>957</v>
      </c>
      <c r="C616" t="s">
        <v>788</v>
      </c>
      <c r="D616" t="s">
        <v>789</v>
      </c>
      <c r="E616">
        <v>0</v>
      </c>
      <c r="F616">
        <v>100</v>
      </c>
      <c r="G616">
        <v>0</v>
      </c>
      <c r="H616">
        <v>0</v>
      </c>
      <c r="I616">
        <v>0</v>
      </c>
      <c r="J616" s="1">
        <v>45928.089347893518</v>
      </c>
      <c r="K616" t="s">
        <v>988</v>
      </c>
      <c r="L616">
        <f>COUNTIF($A$2:A616,A616)</f>
        <v>1</v>
      </c>
    </row>
    <row r="617" spans="1:12" x14ac:dyDescent="0.3">
      <c r="A617">
        <v>12368</v>
      </c>
      <c r="B617" t="s">
        <v>957</v>
      </c>
      <c r="C617" t="s">
        <v>958</v>
      </c>
      <c r="D617" t="s">
        <v>959</v>
      </c>
      <c r="E617">
        <v>10</v>
      </c>
      <c r="F617">
        <v>80</v>
      </c>
      <c r="G617">
        <v>10</v>
      </c>
      <c r="H617">
        <v>10</v>
      </c>
      <c r="I617">
        <v>0</v>
      </c>
      <c r="J617" s="1">
        <v>45928.089797071756</v>
      </c>
      <c r="K617" t="s">
        <v>988</v>
      </c>
      <c r="L617">
        <f>COUNTIF($A$2:A617,A617)</f>
        <v>2</v>
      </c>
    </row>
    <row r="618" spans="1:12" x14ac:dyDescent="0.3">
      <c r="A618">
        <v>12368</v>
      </c>
      <c r="B618" t="s">
        <v>957</v>
      </c>
      <c r="C618" t="s">
        <v>778</v>
      </c>
      <c r="D618" t="s">
        <v>779</v>
      </c>
      <c r="E618">
        <v>24</v>
      </c>
      <c r="F618">
        <v>73.33</v>
      </c>
      <c r="G618">
        <v>13.33</v>
      </c>
      <c r="H618">
        <v>13.33</v>
      </c>
      <c r="I618">
        <v>0.01</v>
      </c>
      <c r="J618" s="1">
        <v>45928.089656203701</v>
      </c>
      <c r="K618" t="s">
        <v>988</v>
      </c>
      <c r="L618">
        <f>COUNTIF($A$2:A618,A618)</f>
        <v>3</v>
      </c>
    </row>
    <row r="619" spans="1:12" x14ac:dyDescent="0.3">
      <c r="A619">
        <v>12368</v>
      </c>
      <c r="B619" t="s">
        <v>957</v>
      </c>
      <c r="C619" t="s">
        <v>971</v>
      </c>
      <c r="D619" t="s">
        <v>972</v>
      </c>
      <c r="E619">
        <v>0</v>
      </c>
      <c r="F619">
        <v>73.33</v>
      </c>
      <c r="G619">
        <v>13.33</v>
      </c>
      <c r="H619">
        <v>13.33</v>
      </c>
      <c r="I619">
        <v>0</v>
      </c>
      <c r="J619" s="1">
        <v>45928.089681064812</v>
      </c>
      <c r="K619" t="s">
        <v>988</v>
      </c>
      <c r="L619">
        <f>COUNTIF($A$2:A619,A619)</f>
        <v>4</v>
      </c>
    </row>
    <row r="620" spans="1:12" x14ac:dyDescent="0.3">
      <c r="A620">
        <v>12368</v>
      </c>
      <c r="B620" t="s">
        <v>957</v>
      </c>
      <c r="C620" t="s">
        <v>969</v>
      </c>
      <c r="D620" t="s">
        <v>970</v>
      </c>
      <c r="E620">
        <v>26</v>
      </c>
      <c r="F620">
        <v>73.33</v>
      </c>
      <c r="G620">
        <v>13.33</v>
      </c>
      <c r="H620">
        <v>13.33</v>
      </c>
      <c r="I620">
        <v>0.01</v>
      </c>
      <c r="J620" s="1">
        <v>45928.089698993055</v>
      </c>
      <c r="K620" t="s">
        <v>988</v>
      </c>
      <c r="L620">
        <f>COUNTIF($A$2:A620,A620)</f>
        <v>5</v>
      </c>
    </row>
    <row r="621" spans="1:12" x14ac:dyDescent="0.3">
      <c r="A621">
        <v>12368</v>
      </c>
      <c r="B621" t="s">
        <v>957</v>
      </c>
      <c r="C621" t="s">
        <v>967</v>
      </c>
      <c r="D621" t="s">
        <v>968</v>
      </c>
      <c r="E621">
        <v>26</v>
      </c>
      <c r="F621">
        <v>73.33</v>
      </c>
      <c r="G621">
        <v>13.33</v>
      </c>
      <c r="H621">
        <v>13.33</v>
      </c>
      <c r="I621">
        <v>0.01</v>
      </c>
      <c r="J621" s="1">
        <v>45928.089719166666</v>
      </c>
      <c r="K621" t="s">
        <v>988</v>
      </c>
      <c r="L621">
        <f>COUNTIF($A$2:A621,A621)</f>
        <v>6</v>
      </c>
    </row>
    <row r="622" spans="1:12" x14ac:dyDescent="0.3">
      <c r="A622">
        <v>12368</v>
      </c>
      <c r="B622" t="s">
        <v>957</v>
      </c>
      <c r="C622" t="s">
        <v>224</v>
      </c>
      <c r="D622" t="s">
        <v>225</v>
      </c>
      <c r="E622">
        <v>0</v>
      </c>
      <c r="F622">
        <v>63.33</v>
      </c>
      <c r="G622">
        <v>23.33</v>
      </c>
      <c r="H622">
        <v>13.33</v>
      </c>
      <c r="I622">
        <v>0</v>
      </c>
      <c r="J622" s="1">
        <v>45928.089396597221</v>
      </c>
      <c r="K622" t="s">
        <v>988</v>
      </c>
      <c r="L622">
        <f>COUNTIF($A$2:A622,A622)</f>
        <v>7</v>
      </c>
    </row>
    <row r="623" spans="1:12" x14ac:dyDescent="0.3">
      <c r="A623">
        <v>12368</v>
      </c>
      <c r="B623" t="s">
        <v>957</v>
      </c>
      <c r="C623" t="s">
        <v>228</v>
      </c>
      <c r="D623" t="s">
        <v>229</v>
      </c>
      <c r="E623">
        <v>30</v>
      </c>
      <c r="F623">
        <v>56.67</v>
      </c>
      <c r="G623">
        <v>23.33</v>
      </c>
      <c r="H623">
        <v>20</v>
      </c>
      <c r="I623">
        <v>0</v>
      </c>
      <c r="J623" s="1">
        <v>45928.089412766203</v>
      </c>
      <c r="K623" t="s">
        <v>988</v>
      </c>
      <c r="L623">
        <f>COUNTIF($A$2:A623,A623)</f>
        <v>8</v>
      </c>
    </row>
    <row r="624" spans="1:12" x14ac:dyDescent="0.3">
      <c r="A624">
        <v>12368</v>
      </c>
      <c r="B624" t="s">
        <v>957</v>
      </c>
      <c r="C624" t="s">
        <v>965</v>
      </c>
      <c r="D624" t="s">
        <v>966</v>
      </c>
      <c r="E624">
        <v>34</v>
      </c>
      <c r="F624">
        <v>53.33</v>
      </c>
      <c r="G624">
        <v>30</v>
      </c>
      <c r="H624">
        <v>16.670000000000002</v>
      </c>
      <c r="I624">
        <v>0</v>
      </c>
      <c r="J624" s="1">
        <v>45928.089735555557</v>
      </c>
      <c r="K624" t="s">
        <v>988</v>
      </c>
      <c r="L624">
        <f>COUNTIF($A$2:A624,A624)</f>
        <v>9</v>
      </c>
    </row>
    <row r="625" spans="1:12" x14ac:dyDescent="0.3">
      <c r="A625">
        <v>12368</v>
      </c>
      <c r="B625" t="s">
        <v>957</v>
      </c>
      <c r="C625" t="s">
        <v>961</v>
      </c>
      <c r="D625" t="s">
        <v>962</v>
      </c>
      <c r="E625">
        <v>34</v>
      </c>
      <c r="F625">
        <v>50</v>
      </c>
      <c r="G625">
        <v>33.33</v>
      </c>
      <c r="H625">
        <v>16.670000000000002</v>
      </c>
      <c r="I625">
        <v>0</v>
      </c>
      <c r="J625" s="1">
        <v>45928.089775960645</v>
      </c>
      <c r="K625" t="s">
        <v>988</v>
      </c>
      <c r="L625">
        <f>COUNTIF($A$2:A625,A625)</f>
        <v>10</v>
      </c>
    </row>
    <row r="626" spans="1:12" x14ac:dyDescent="0.3">
      <c r="A626">
        <v>12368</v>
      </c>
      <c r="B626" t="s">
        <v>957</v>
      </c>
      <c r="C626" t="s">
        <v>230</v>
      </c>
      <c r="D626" t="s">
        <v>230</v>
      </c>
      <c r="E626">
        <v>35</v>
      </c>
      <c r="F626">
        <v>46.67</v>
      </c>
      <c r="G626">
        <v>33.33</v>
      </c>
      <c r="H626">
        <v>20</v>
      </c>
      <c r="I626">
        <v>0</v>
      </c>
      <c r="J626" s="1">
        <v>45928.089431701388</v>
      </c>
      <c r="K626" t="s">
        <v>988</v>
      </c>
      <c r="L626">
        <f>COUNTIF($A$2:A626,A626)</f>
        <v>11</v>
      </c>
    </row>
    <row r="627" spans="1:12" x14ac:dyDescent="0.3">
      <c r="A627">
        <v>12368</v>
      </c>
      <c r="B627" t="s">
        <v>957</v>
      </c>
      <c r="C627" t="s">
        <v>963</v>
      </c>
      <c r="D627" t="s">
        <v>964</v>
      </c>
      <c r="E627">
        <v>41</v>
      </c>
      <c r="F627">
        <v>23.33</v>
      </c>
      <c r="G627">
        <v>60</v>
      </c>
      <c r="H627">
        <v>16.670000000000002</v>
      </c>
      <c r="I627">
        <v>0</v>
      </c>
      <c r="J627" s="1">
        <v>45928.089755312503</v>
      </c>
      <c r="K627" t="s">
        <v>988</v>
      </c>
      <c r="L627">
        <f>COUNTIF($A$2:A627,A627)</f>
        <v>12</v>
      </c>
    </row>
    <row r="628" spans="1:12" x14ac:dyDescent="0.3">
      <c r="A628">
        <v>12368</v>
      </c>
      <c r="B628" t="s">
        <v>957</v>
      </c>
      <c r="C628" t="s">
        <v>786</v>
      </c>
      <c r="D628" t="s">
        <v>787</v>
      </c>
      <c r="E628">
        <v>0</v>
      </c>
      <c r="F628">
        <v>16.670000000000002</v>
      </c>
      <c r="G628">
        <v>60</v>
      </c>
      <c r="H628">
        <v>23.33</v>
      </c>
      <c r="I628">
        <v>0</v>
      </c>
      <c r="J628" s="1">
        <v>45928.089371678238</v>
      </c>
      <c r="K628" t="s">
        <v>988</v>
      </c>
      <c r="L628">
        <f>COUNTIF($A$2:A628,A628)</f>
        <v>13</v>
      </c>
    </row>
    <row r="629" spans="1:12" x14ac:dyDescent="0.3">
      <c r="A629">
        <v>12368</v>
      </c>
      <c r="B629" t="s">
        <v>957</v>
      </c>
      <c r="C629" t="s">
        <v>782</v>
      </c>
      <c r="D629" t="s">
        <v>783</v>
      </c>
      <c r="E629">
        <v>54</v>
      </c>
      <c r="F629">
        <v>10</v>
      </c>
      <c r="G629">
        <v>63.33</v>
      </c>
      <c r="H629">
        <v>26.67</v>
      </c>
      <c r="I629">
        <v>0</v>
      </c>
      <c r="J629" s="1">
        <v>45928.089451701388</v>
      </c>
      <c r="K629" t="s">
        <v>988</v>
      </c>
      <c r="L629">
        <f>COUNTIF($A$2:A629,A629)</f>
        <v>14</v>
      </c>
    </row>
    <row r="630" spans="1:12" x14ac:dyDescent="0.3">
      <c r="A630">
        <v>12368</v>
      </c>
      <c r="B630" t="s">
        <v>957</v>
      </c>
      <c r="C630" t="s">
        <v>986</v>
      </c>
      <c r="D630" t="s">
        <v>987</v>
      </c>
      <c r="E630">
        <v>56</v>
      </c>
      <c r="F630">
        <v>10</v>
      </c>
      <c r="G630">
        <v>63.33</v>
      </c>
      <c r="H630">
        <v>26.67</v>
      </c>
      <c r="I630">
        <v>0</v>
      </c>
      <c r="J630" s="1">
        <v>45928.089473032407</v>
      </c>
      <c r="K630" t="s">
        <v>988</v>
      </c>
      <c r="L630">
        <f>COUNTIF($A$2:A630,A630)</f>
        <v>15</v>
      </c>
    </row>
    <row r="631" spans="1:12" x14ac:dyDescent="0.3">
      <c r="A631">
        <v>12368</v>
      </c>
      <c r="B631" t="s">
        <v>957</v>
      </c>
      <c r="C631" t="s">
        <v>973</v>
      </c>
      <c r="D631" t="s">
        <v>974</v>
      </c>
      <c r="E631">
        <v>67</v>
      </c>
      <c r="F631">
        <v>3.33</v>
      </c>
      <c r="G631">
        <v>66.67</v>
      </c>
      <c r="H631">
        <v>30</v>
      </c>
      <c r="I631">
        <v>0</v>
      </c>
      <c r="J631" s="1">
        <v>45928.089636805555</v>
      </c>
      <c r="K631" t="s">
        <v>988</v>
      </c>
      <c r="L631">
        <f>COUNTIF($A$2:A631,A631)</f>
        <v>16</v>
      </c>
    </row>
    <row r="632" spans="1:12" x14ac:dyDescent="0.3">
      <c r="A632">
        <v>12368</v>
      </c>
      <c r="B632" t="s">
        <v>957</v>
      </c>
      <c r="C632" t="s">
        <v>984</v>
      </c>
      <c r="D632" t="s">
        <v>985</v>
      </c>
      <c r="E632">
        <v>63</v>
      </c>
      <c r="F632">
        <v>0</v>
      </c>
      <c r="G632">
        <v>66.67</v>
      </c>
      <c r="H632">
        <v>33.33</v>
      </c>
      <c r="I632">
        <v>0</v>
      </c>
      <c r="J632" s="1">
        <v>45928.089494027779</v>
      </c>
      <c r="K632" t="s">
        <v>988</v>
      </c>
      <c r="L632">
        <f>COUNTIF($A$2:A632,A632)</f>
        <v>17</v>
      </c>
    </row>
    <row r="633" spans="1:12" x14ac:dyDescent="0.3">
      <c r="A633">
        <v>12368</v>
      </c>
      <c r="B633" t="s">
        <v>957</v>
      </c>
      <c r="C633" t="s">
        <v>982</v>
      </c>
      <c r="D633" t="s">
        <v>983</v>
      </c>
      <c r="E633">
        <v>64</v>
      </c>
      <c r="F633">
        <v>0</v>
      </c>
      <c r="G633">
        <v>70</v>
      </c>
      <c r="H633">
        <v>30</v>
      </c>
      <c r="I633">
        <v>0</v>
      </c>
      <c r="J633" s="1">
        <v>45928.089512627317</v>
      </c>
      <c r="K633" t="s">
        <v>988</v>
      </c>
      <c r="L633">
        <f>COUNTIF($A$2:A633,A633)</f>
        <v>18</v>
      </c>
    </row>
    <row r="634" spans="1:12" x14ac:dyDescent="0.3">
      <c r="A634">
        <v>12368</v>
      </c>
      <c r="B634" t="s">
        <v>957</v>
      </c>
      <c r="C634" t="s">
        <v>980</v>
      </c>
      <c r="D634" t="s">
        <v>981</v>
      </c>
      <c r="E634">
        <v>0</v>
      </c>
      <c r="F634">
        <v>0</v>
      </c>
      <c r="G634">
        <v>66.67</v>
      </c>
      <c r="H634">
        <v>33.33</v>
      </c>
      <c r="I634">
        <v>0</v>
      </c>
      <c r="J634" s="1">
        <v>45928.089537395834</v>
      </c>
      <c r="K634" t="s">
        <v>988</v>
      </c>
      <c r="L634">
        <f>COUNTIF($A$2:A634,A634)</f>
        <v>19</v>
      </c>
    </row>
    <row r="635" spans="1:12" x14ac:dyDescent="0.3">
      <c r="A635">
        <v>12368</v>
      </c>
      <c r="B635" t="s">
        <v>957</v>
      </c>
      <c r="C635" t="s">
        <v>979</v>
      </c>
      <c r="D635" t="s">
        <v>979</v>
      </c>
      <c r="E635">
        <v>67</v>
      </c>
      <c r="F635">
        <v>0</v>
      </c>
      <c r="G635">
        <v>70</v>
      </c>
      <c r="H635">
        <v>30</v>
      </c>
      <c r="I635">
        <v>0</v>
      </c>
      <c r="J635" s="1">
        <v>45928.089557361112</v>
      </c>
      <c r="K635" t="s">
        <v>988</v>
      </c>
      <c r="L635">
        <f>COUNTIF($A$2:A635,A635)</f>
        <v>20</v>
      </c>
    </row>
    <row r="636" spans="1:12" x14ac:dyDescent="0.3">
      <c r="A636">
        <v>12368</v>
      </c>
      <c r="B636" t="s">
        <v>957</v>
      </c>
      <c r="C636" t="s">
        <v>780</v>
      </c>
      <c r="D636" t="s">
        <v>781</v>
      </c>
      <c r="E636">
        <v>71</v>
      </c>
      <c r="F636">
        <v>0</v>
      </c>
      <c r="G636">
        <v>63.33</v>
      </c>
      <c r="H636">
        <v>36.67</v>
      </c>
      <c r="I636">
        <v>0</v>
      </c>
      <c r="J636" s="1">
        <v>45928.08957733796</v>
      </c>
      <c r="K636" t="s">
        <v>988</v>
      </c>
      <c r="L636">
        <f>COUNTIF($A$2:A636,A636)</f>
        <v>21</v>
      </c>
    </row>
    <row r="637" spans="1:12" x14ac:dyDescent="0.3">
      <c r="A637">
        <v>12368</v>
      </c>
      <c r="B637" t="s">
        <v>957</v>
      </c>
      <c r="C637" t="s">
        <v>977</v>
      </c>
      <c r="D637" t="s">
        <v>978</v>
      </c>
      <c r="E637">
        <v>0</v>
      </c>
      <c r="F637">
        <v>0</v>
      </c>
      <c r="G637">
        <v>56.67</v>
      </c>
      <c r="H637">
        <v>43.33</v>
      </c>
      <c r="I637">
        <v>0</v>
      </c>
      <c r="J637" s="1">
        <v>45928.089599085652</v>
      </c>
      <c r="K637" t="s">
        <v>988</v>
      </c>
      <c r="L637">
        <f>COUNTIF($A$2:A637,A637)</f>
        <v>22</v>
      </c>
    </row>
    <row r="638" spans="1:12" x14ac:dyDescent="0.3">
      <c r="A638">
        <v>12368</v>
      </c>
      <c r="B638" t="s">
        <v>957</v>
      </c>
      <c r="C638" t="s">
        <v>975</v>
      </c>
      <c r="D638" t="s">
        <v>976</v>
      </c>
      <c r="E638">
        <v>75</v>
      </c>
      <c r="F638">
        <v>0</v>
      </c>
      <c r="G638">
        <v>56.67</v>
      </c>
      <c r="H638">
        <v>43.33</v>
      </c>
      <c r="I638">
        <v>0</v>
      </c>
      <c r="J638" s="1">
        <v>45928.089619722225</v>
      </c>
      <c r="K638" t="s">
        <v>988</v>
      </c>
      <c r="L638">
        <f>COUNTIF($A$2:A638,A638)</f>
        <v>23</v>
      </c>
    </row>
    <row r="639" spans="1:12" x14ac:dyDescent="0.3">
      <c r="A639">
        <v>12423</v>
      </c>
      <c r="B639" t="s">
        <v>836</v>
      </c>
      <c r="C639" t="s">
        <v>837</v>
      </c>
      <c r="D639" t="s">
        <v>838</v>
      </c>
      <c r="E639">
        <v>2</v>
      </c>
      <c r="F639">
        <v>96.67</v>
      </c>
      <c r="G639">
        <v>3.33</v>
      </c>
      <c r="H639">
        <v>0</v>
      </c>
      <c r="I639">
        <v>0</v>
      </c>
      <c r="J639" s="1">
        <v>45928.080997685189</v>
      </c>
      <c r="K639" t="s">
        <v>839</v>
      </c>
      <c r="L639">
        <f>COUNTIF($A$2:A639,A639)</f>
        <v>1</v>
      </c>
    </row>
    <row r="640" spans="1:12" x14ac:dyDescent="0.3">
      <c r="A640">
        <v>12423</v>
      </c>
      <c r="B640" t="s">
        <v>836</v>
      </c>
      <c r="C640" t="s">
        <v>852</v>
      </c>
      <c r="D640" t="s">
        <v>853</v>
      </c>
      <c r="E640">
        <v>5</v>
      </c>
      <c r="F640">
        <v>90</v>
      </c>
      <c r="G640">
        <v>6.67</v>
      </c>
      <c r="H640">
        <v>3.33</v>
      </c>
      <c r="I640">
        <v>0</v>
      </c>
      <c r="J640" s="1">
        <v>45928.08142962963</v>
      </c>
      <c r="K640" t="s">
        <v>839</v>
      </c>
      <c r="L640">
        <f>COUNTIF($A$2:A640,A640)</f>
        <v>2</v>
      </c>
    </row>
    <row r="641" spans="1:12" x14ac:dyDescent="0.3">
      <c r="A641">
        <v>12423</v>
      </c>
      <c r="B641" t="s">
        <v>836</v>
      </c>
      <c r="C641" t="s">
        <v>854</v>
      </c>
      <c r="D641" t="s">
        <v>855</v>
      </c>
      <c r="E641">
        <v>8</v>
      </c>
      <c r="F641">
        <v>90</v>
      </c>
      <c r="G641">
        <v>6.67</v>
      </c>
      <c r="H641">
        <v>3.33</v>
      </c>
      <c r="I641">
        <v>0</v>
      </c>
      <c r="J641" s="1">
        <v>45928.081449537036</v>
      </c>
      <c r="K641" t="s">
        <v>839</v>
      </c>
      <c r="L641">
        <f>COUNTIF($A$2:A641,A641)</f>
        <v>3</v>
      </c>
    </row>
    <row r="642" spans="1:12" x14ac:dyDescent="0.3">
      <c r="A642">
        <v>12423</v>
      </c>
      <c r="B642" t="s">
        <v>836</v>
      </c>
      <c r="C642" t="s">
        <v>860</v>
      </c>
      <c r="D642" t="s">
        <v>861</v>
      </c>
      <c r="E642">
        <v>7</v>
      </c>
      <c r="F642">
        <v>90</v>
      </c>
      <c r="G642">
        <v>6.67</v>
      </c>
      <c r="H642">
        <v>3.33</v>
      </c>
      <c r="I642">
        <v>0</v>
      </c>
      <c r="J642" s="1">
        <v>45928.081534432873</v>
      </c>
      <c r="K642" t="s">
        <v>839</v>
      </c>
      <c r="L642">
        <f>COUNTIF($A$2:A642,A642)</f>
        <v>4</v>
      </c>
    </row>
    <row r="643" spans="1:12" x14ac:dyDescent="0.3">
      <c r="A643">
        <v>12423</v>
      </c>
      <c r="B643" t="s">
        <v>836</v>
      </c>
      <c r="C643" t="s">
        <v>231</v>
      </c>
      <c r="D643" t="s">
        <v>232</v>
      </c>
      <c r="E643">
        <v>11</v>
      </c>
      <c r="F643">
        <v>86.67</v>
      </c>
      <c r="G643">
        <v>6.67</v>
      </c>
      <c r="H643">
        <v>6.67</v>
      </c>
      <c r="I643">
        <v>0</v>
      </c>
      <c r="J643" s="1">
        <v>45928.081579432874</v>
      </c>
      <c r="K643" t="s">
        <v>839</v>
      </c>
      <c r="L643">
        <f>COUNTIF($A$2:A643,A643)</f>
        <v>5</v>
      </c>
    </row>
    <row r="644" spans="1:12" x14ac:dyDescent="0.3">
      <c r="A644">
        <v>12423</v>
      </c>
      <c r="B644" t="s">
        <v>836</v>
      </c>
      <c r="C644" t="s">
        <v>224</v>
      </c>
      <c r="D644" t="s">
        <v>225</v>
      </c>
      <c r="E644">
        <v>10</v>
      </c>
      <c r="F644">
        <v>83.33</v>
      </c>
      <c r="G644">
        <v>16.670000000000002</v>
      </c>
      <c r="H644">
        <v>0</v>
      </c>
      <c r="I644">
        <v>0</v>
      </c>
      <c r="J644" s="1">
        <v>45928.08159765046</v>
      </c>
      <c r="K644" t="s">
        <v>839</v>
      </c>
      <c r="L644">
        <f>COUNTIF($A$2:A644,A644)</f>
        <v>6</v>
      </c>
    </row>
    <row r="645" spans="1:12" x14ac:dyDescent="0.3">
      <c r="A645">
        <v>12423</v>
      </c>
      <c r="B645" t="s">
        <v>836</v>
      </c>
      <c r="C645" t="s">
        <v>110</v>
      </c>
      <c r="D645" t="s">
        <v>111</v>
      </c>
      <c r="E645">
        <v>11</v>
      </c>
      <c r="F645">
        <v>83.33</v>
      </c>
      <c r="G645">
        <v>13.33</v>
      </c>
      <c r="H645">
        <v>3.33</v>
      </c>
      <c r="I645">
        <v>0.01</v>
      </c>
      <c r="J645" s="1">
        <v>45928.081675208334</v>
      </c>
      <c r="K645" t="s">
        <v>839</v>
      </c>
      <c r="L645">
        <f>COUNTIF($A$2:A645,A645)</f>
        <v>7</v>
      </c>
    </row>
    <row r="646" spans="1:12" x14ac:dyDescent="0.3">
      <c r="A646">
        <v>12423</v>
      </c>
      <c r="B646" t="s">
        <v>836</v>
      </c>
      <c r="C646" t="s">
        <v>784</v>
      </c>
      <c r="D646" t="s">
        <v>785</v>
      </c>
      <c r="E646">
        <v>12</v>
      </c>
      <c r="F646">
        <v>80</v>
      </c>
      <c r="G646">
        <v>13.33</v>
      </c>
      <c r="H646">
        <v>6.67</v>
      </c>
      <c r="I646">
        <v>0</v>
      </c>
      <c r="J646" s="1">
        <v>45928.08161321759</v>
      </c>
      <c r="K646" t="s">
        <v>839</v>
      </c>
      <c r="L646">
        <f>COUNTIF($A$2:A646,A646)</f>
        <v>8</v>
      </c>
    </row>
    <row r="647" spans="1:12" x14ac:dyDescent="0.3">
      <c r="A647">
        <v>12423</v>
      </c>
      <c r="B647" t="s">
        <v>836</v>
      </c>
      <c r="C647" t="s">
        <v>840</v>
      </c>
      <c r="D647" t="s">
        <v>841</v>
      </c>
      <c r="E647">
        <v>13</v>
      </c>
      <c r="F647">
        <v>73.33</v>
      </c>
      <c r="G647">
        <v>23.33</v>
      </c>
      <c r="H647">
        <v>3.33</v>
      </c>
      <c r="I647">
        <v>0.01</v>
      </c>
      <c r="J647" s="1">
        <v>45928.08101642361</v>
      </c>
      <c r="K647" t="s">
        <v>839</v>
      </c>
      <c r="L647">
        <f>COUNTIF($A$2:A647,A647)</f>
        <v>9</v>
      </c>
    </row>
    <row r="648" spans="1:12" x14ac:dyDescent="0.3">
      <c r="A648">
        <v>12423</v>
      </c>
      <c r="B648" t="s">
        <v>836</v>
      </c>
      <c r="C648" t="s">
        <v>637</v>
      </c>
      <c r="D648" t="s">
        <v>638</v>
      </c>
      <c r="E648">
        <v>13</v>
      </c>
      <c r="F648">
        <v>70</v>
      </c>
      <c r="G648">
        <v>26.67</v>
      </c>
      <c r="H648">
        <v>3.33</v>
      </c>
      <c r="I648">
        <v>0</v>
      </c>
      <c r="J648" s="1">
        <v>45928.081252430558</v>
      </c>
      <c r="K648" t="s">
        <v>839</v>
      </c>
      <c r="L648">
        <f>COUNTIF($A$2:A648,A648)</f>
        <v>10</v>
      </c>
    </row>
    <row r="649" spans="1:12" x14ac:dyDescent="0.3">
      <c r="A649">
        <v>12423</v>
      </c>
      <c r="B649" t="s">
        <v>836</v>
      </c>
      <c r="C649" t="s">
        <v>856</v>
      </c>
      <c r="D649" t="s">
        <v>857</v>
      </c>
      <c r="E649">
        <v>15</v>
      </c>
      <c r="F649">
        <v>66.67</v>
      </c>
      <c r="G649">
        <v>30</v>
      </c>
      <c r="H649">
        <v>3.33</v>
      </c>
      <c r="I649">
        <v>0</v>
      </c>
      <c r="J649" s="1">
        <v>45928.081490960649</v>
      </c>
      <c r="K649" t="s">
        <v>839</v>
      </c>
      <c r="L649">
        <f>COUNTIF($A$2:A649,A649)</f>
        <v>11</v>
      </c>
    </row>
    <row r="650" spans="1:12" x14ac:dyDescent="0.3">
      <c r="A650">
        <v>12423</v>
      </c>
      <c r="B650" t="s">
        <v>836</v>
      </c>
      <c r="C650" t="s">
        <v>635</v>
      </c>
      <c r="D650" t="s">
        <v>636</v>
      </c>
      <c r="E650">
        <v>19</v>
      </c>
      <c r="F650">
        <v>63.33</v>
      </c>
      <c r="G650">
        <v>30</v>
      </c>
      <c r="H650">
        <v>6.67</v>
      </c>
      <c r="I650">
        <v>0</v>
      </c>
      <c r="J650" s="1">
        <v>45928.081298287034</v>
      </c>
      <c r="K650" t="s">
        <v>839</v>
      </c>
      <c r="L650">
        <f>COUNTIF($A$2:A650,A650)</f>
        <v>12</v>
      </c>
    </row>
    <row r="651" spans="1:12" x14ac:dyDescent="0.3">
      <c r="A651">
        <v>12423</v>
      </c>
      <c r="B651" t="s">
        <v>836</v>
      </c>
      <c r="C651" t="s">
        <v>312</v>
      </c>
      <c r="D651" t="s">
        <v>313</v>
      </c>
      <c r="E651">
        <v>17</v>
      </c>
      <c r="F651">
        <v>63.33</v>
      </c>
      <c r="G651">
        <v>30</v>
      </c>
      <c r="H651">
        <v>6.67</v>
      </c>
      <c r="I651">
        <v>0</v>
      </c>
      <c r="J651" s="1">
        <v>45928.081388136576</v>
      </c>
      <c r="K651" t="s">
        <v>839</v>
      </c>
      <c r="L651">
        <f>COUNTIF($A$2:A651,A651)</f>
        <v>13</v>
      </c>
    </row>
    <row r="652" spans="1:12" x14ac:dyDescent="0.3">
      <c r="A652">
        <v>12423</v>
      </c>
      <c r="B652" t="s">
        <v>836</v>
      </c>
      <c r="C652" t="s">
        <v>310</v>
      </c>
      <c r="D652" t="s">
        <v>311</v>
      </c>
      <c r="E652">
        <v>0</v>
      </c>
      <c r="F652">
        <v>63.33</v>
      </c>
      <c r="G652">
        <v>30</v>
      </c>
      <c r="H652">
        <v>6.67</v>
      </c>
      <c r="I652">
        <v>0</v>
      </c>
      <c r="J652" s="1">
        <v>45928.081413078704</v>
      </c>
      <c r="K652" t="s">
        <v>839</v>
      </c>
      <c r="L652">
        <f>COUNTIF($A$2:A652,A652)</f>
        <v>14</v>
      </c>
    </row>
    <row r="653" spans="1:12" x14ac:dyDescent="0.3">
      <c r="A653">
        <v>12423</v>
      </c>
      <c r="B653" t="s">
        <v>836</v>
      </c>
      <c r="C653" t="s">
        <v>786</v>
      </c>
      <c r="D653" t="s">
        <v>787</v>
      </c>
      <c r="E653">
        <v>17</v>
      </c>
      <c r="F653">
        <v>60</v>
      </c>
      <c r="G653">
        <v>33.33</v>
      </c>
      <c r="H653">
        <v>6.67</v>
      </c>
      <c r="I653">
        <v>0</v>
      </c>
      <c r="J653" s="1">
        <v>45928.08165537037</v>
      </c>
      <c r="K653" t="s">
        <v>839</v>
      </c>
      <c r="L653">
        <f>COUNTIF($A$2:A653,A653)</f>
        <v>15</v>
      </c>
    </row>
    <row r="654" spans="1:12" x14ac:dyDescent="0.3">
      <c r="A654">
        <v>12423</v>
      </c>
      <c r="B654" t="s">
        <v>836</v>
      </c>
      <c r="C654" t="s">
        <v>641</v>
      </c>
      <c r="D654" t="s">
        <v>642</v>
      </c>
      <c r="E654">
        <v>0</v>
      </c>
      <c r="F654">
        <v>53.33</v>
      </c>
      <c r="G654">
        <v>43.33</v>
      </c>
      <c r="H654">
        <v>3.33</v>
      </c>
      <c r="I654">
        <v>0</v>
      </c>
      <c r="J654" s="1">
        <v>45928.081207719908</v>
      </c>
      <c r="K654" t="s">
        <v>839</v>
      </c>
      <c r="L654">
        <f>COUNTIF($A$2:A654,A654)</f>
        <v>16</v>
      </c>
    </row>
    <row r="655" spans="1:12" x14ac:dyDescent="0.3">
      <c r="A655">
        <v>12423</v>
      </c>
      <c r="B655" t="s">
        <v>836</v>
      </c>
      <c r="C655" t="s">
        <v>842</v>
      </c>
      <c r="D655" t="s">
        <v>843</v>
      </c>
      <c r="E655">
        <v>21</v>
      </c>
      <c r="F655">
        <v>50</v>
      </c>
      <c r="G655">
        <v>46.67</v>
      </c>
      <c r="H655">
        <v>3.33</v>
      </c>
      <c r="I655">
        <v>0</v>
      </c>
      <c r="J655" s="1">
        <v>45928.081057407406</v>
      </c>
      <c r="K655" t="s">
        <v>839</v>
      </c>
      <c r="L655">
        <f>COUNTIF($A$2:A655,A655)</f>
        <v>17</v>
      </c>
    </row>
    <row r="656" spans="1:12" x14ac:dyDescent="0.3">
      <c r="A656">
        <v>12423</v>
      </c>
      <c r="B656" t="s">
        <v>836</v>
      </c>
      <c r="C656" t="s">
        <v>844</v>
      </c>
      <c r="D656" t="s">
        <v>845</v>
      </c>
      <c r="E656">
        <v>22</v>
      </c>
      <c r="F656">
        <v>50</v>
      </c>
      <c r="G656">
        <v>46.67</v>
      </c>
      <c r="H656">
        <v>3.33</v>
      </c>
      <c r="I656">
        <v>0</v>
      </c>
      <c r="J656" s="1">
        <v>45928.081099201387</v>
      </c>
      <c r="K656" t="s">
        <v>839</v>
      </c>
      <c r="L656">
        <f>COUNTIF($A$2:A656,A656)</f>
        <v>18</v>
      </c>
    </row>
    <row r="657" spans="1:12" x14ac:dyDescent="0.3">
      <c r="A657">
        <v>12423</v>
      </c>
      <c r="B657" t="s">
        <v>836</v>
      </c>
      <c r="C657" t="s">
        <v>846</v>
      </c>
      <c r="D657" t="s">
        <v>847</v>
      </c>
      <c r="E657">
        <v>0</v>
      </c>
      <c r="F657">
        <v>50</v>
      </c>
      <c r="G657">
        <v>43.33</v>
      </c>
      <c r="H657">
        <v>6.67</v>
      </c>
      <c r="I657">
        <v>0</v>
      </c>
      <c r="J657" s="1">
        <v>45928.081121215277</v>
      </c>
      <c r="K657" t="s">
        <v>839</v>
      </c>
      <c r="L657">
        <f>COUNTIF($A$2:A657,A657)</f>
        <v>19</v>
      </c>
    </row>
    <row r="658" spans="1:12" x14ac:dyDescent="0.3">
      <c r="A658">
        <v>12423</v>
      </c>
      <c r="B658" t="s">
        <v>836</v>
      </c>
      <c r="C658" t="s">
        <v>645</v>
      </c>
      <c r="D658" t="s">
        <v>646</v>
      </c>
      <c r="E658">
        <v>25</v>
      </c>
      <c r="F658">
        <v>43.33</v>
      </c>
      <c r="G658">
        <v>53.33</v>
      </c>
      <c r="H658">
        <v>3.33</v>
      </c>
      <c r="I658">
        <v>0.01</v>
      </c>
      <c r="J658" s="1">
        <v>45928.081184803239</v>
      </c>
      <c r="K658" t="s">
        <v>839</v>
      </c>
      <c r="L658">
        <f>COUNTIF($A$2:A658,A658)</f>
        <v>20</v>
      </c>
    </row>
    <row r="659" spans="1:12" x14ac:dyDescent="0.3">
      <c r="A659">
        <v>12423</v>
      </c>
      <c r="B659" t="s">
        <v>836</v>
      </c>
      <c r="C659" t="s">
        <v>848</v>
      </c>
      <c r="D659" t="s">
        <v>849</v>
      </c>
      <c r="E659">
        <v>33</v>
      </c>
      <c r="F659">
        <v>30</v>
      </c>
      <c r="G659">
        <v>60</v>
      </c>
      <c r="H659">
        <v>10</v>
      </c>
      <c r="I659">
        <v>0</v>
      </c>
      <c r="J659" s="1">
        <v>45928.081139236114</v>
      </c>
      <c r="K659" t="s">
        <v>839</v>
      </c>
      <c r="L659">
        <f>COUNTIF($A$2:A659,A659)</f>
        <v>21</v>
      </c>
    </row>
    <row r="660" spans="1:12" x14ac:dyDescent="0.3">
      <c r="A660">
        <v>12423</v>
      </c>
      <c r="B660" t="s">
        <v>836</v>
      </c>
      <c r="C660" t="s">
        <v>631</v>
      </c>
      <c r="D660" t="s">
        <v>632</v>
      </c>
      <c r="E660">
        <v>30</v>
      </c>
      <c r="F660">
        <v>30</v>
      </c>
      <c r="G660">
        <v>63.33</v>
      </c>
      <c r="H660">
        <v>6.67</v>
      </c>
      <c r="I660">
        <v>0</v>
      </c>
      <c r="J660" s="1">
        <v>45928.081343993057</v>
      </c>
      <c r="K660" t="s">
        <v>839</v>
      </c>
      <c r="L660">
        <f>COUNTIF($A$2:A660,A660)</f>
        <v>22</v>
      </c>
    </row>
    <row r="661" spans="1:12" x14ac:dyDescent="0.3">
      <c r="A661">
        <v>12423</v>
      </c>
      <c r="B661" t="s">
        <v>836</v>
      </c>
      <c r="C661" t="s">
        <v>850</v>
      </c>
      <c r="D661" t="s">
        <v>851</v>
      </c>
      <c r="E661">
        <v>0</v>
      </c>
      <c r="F661">
        <v>26.67</v>
      </c>
      <c r="G661">
        <v>63.33</v>
      </c>
      <c r="H661">
        <v>10</v>
      </c>
      <c r="I661">
        <v>0</v>
      </c>
      <c r="J661" s="1">
        <v>45928.081165370371</v>
      </c>
      <c r="K661" t="s">
        <v>839</v>
      </c>
      <c r="L661">
        <f>COUNTIF($A$2:A661,A661)</f>
        <v>23</v>
      </c>
    </row>
    <row r="662" spans="1:12" x14ac:dyDescent="0.3">
      <c r="A662">
        <v>12423</v>
      </c>
      <c r="B662" t="s">
        <v>836</v>
      </c>
      <c r="C662" t="s">
        <v>858</v>
      </c>
      <c r="D662" t="s">
        <v>859</v>
      </c>
      <c r="E662">
        <v>0</v>
      </c>
      <c r="F662">
        <v>20</v>
      </c>
      <c r="G662">
        <v>73.33</v>
      </c>
      <c r="H662">
        <v>6.67</v>
      </c>
      <c r="I662">
        <v>0</v>
      </c>
      <c r="J662" s="1">
        <v>45928.081517060185</v>
      </c>
      <c r="K662" t="s">
        <v>839</v>
      </c>
      <c r="L662">
        <f>COUNTIF($A$2:A662,A662)</f>
        <v>24</v>
      </c>
    </row>
    <row r="663" spans="1:12" x14ac:dyDescent="0.3">
      <c r="A663">
        <v>12424</v>
      </c>
      <c r="B663" t="s">
        <v>836</v>
      </c>
      <c r="C663" t="s">
        <v>110</v>
      </c>
      <c r="D663" t="s">
        <v>111</v>
      </c>
      <c r="E663">
        <v>0</v>
      </c>
      <c r="F663">
        <v>100</v>
      </c>
      <c r="G663">
        <v>0</v>
      </c>
      <c r="H663">
        <v>0</v>
      </c>
      <c r="I663">
        <v>0</v>
      </c>
      <c r="J663" s="1">
        <v>45928.081767071759</v>
      </c>
      <c r="K663" t="s">
        <v>862</v>
      </c>
      <c r="L663">
        <f>COUNTIF($A$2:A663,A663)</f>
        <v>1</v>
      </c>
    </row>
    <row r="664" spans="1:12" x14ac:dyDescent="0.3">
      <c r="A664">
        <v>12424</v>
      </c>
      <c r="B664" t="s">
        <v>836</v>
      </c>
      <c r="C664" t="s">
        <v>224</v>
      </c>
      <c r="D664" t="s">
        <v>225</v>
      </c>
      <c r="E664">
        <v>8</v>
      </c>
      <c r="F664">
        <v>96.67</v>
      </c>
      <c r="G664">
        <v>0</v>
      </c>
      <c r="H664">
        <v>3.33</v>
      </c>
      <c r="I664">
        <v>0</v>
      </c>
      <c r="J664" s="1">
        <v>45928.081842962965</v>
      </c>
      <c r="K664" t="s">
        <v>862</v>
      </c>
      <c r="L664">
        <f>COUNTIF($A$2:A664,A664)</f>
        <v>2</v>
      </c>
    </row>
    <row r="665" spans="1:12" x14ac:dyDescent="0.3">
      <c r="A665">
        <v>12424</v>
      </c>
      <c r="B665" t="s">
        <v>836</v>
      </c>
      <c r="C665" t="s">
        <v>231</v>
      </c>
      <c r="D665" t="s">
        <v>232</v>
      </c>
      <c r="E665">
        <v>0</v>
      </c>
      <c r="F665">
        <v>96.67</v>
      </c>
      <c r="G665">
        <v>0</v>
      </c>
      <c r="H665">
        <v>3.33</v>
      </c>
      <c r="I665">
        <v>0</v>
      </c>
      <c r="J665" s="1">
        <v>45928.081865960645</v>
      </c>
      <c r="K665" t="s">
        <v>862</v>
      </c>
      <c r="L665">
        <f>COUNTIF($A$2:A665,A665)</f>
        <v>3</v>
      </c>
    </row>
    <row r="666" spans="1:12" x14ac:dyDescent="0.3">
      <c r="A666">
        <v>12424</v>
      </c>
      <c r="B666" t="s">
        <v>836</v>
      </c>
      <c r="C666" t="s">
        <v>860</v>
      </c>
      <c r="D666" t="s">
        <v>861</v>
      </c>
      <c r="E666">
        <v>9</v>
      </c>
      <c r="F666">
        <v>96.67</v>
      </c>
      <c r="G666">
        <v>0</v>
      </c>
      <c r="H666">
        <v>3.33</v>
      </c>
      <c r="I666">
        <v>0</v>
      </c>
      <c r="J666" s="1">
        <v>45928.081908657405</v>
      </c>
      <c r="K666" t="s">
        <v>862</v>
      </c>
      <c r="L666">
        <f>COUNTIF($A$2:A666,A666)</f>
        <v>4</v>
      </c>
    </row>
    <row r="667" spans="1:12" x14ac:dyDescent="0.3">
      <c r="A667">
        <v>12424</v>
      </c>
      <c r="B667" t="s">
        <v>836</v>
      </c>
      <c r="C667" t="s">
        <v>858</v>
      </c>
      <c r="D667" t="s">
        <v>859</v>
      </c>
      <c r="E667">
        <v>7</v>
      </c>
      <c r="F667">
        <v>93.33</v>
      </c>
      <c r="G667">
        <v>3.33</v>
      </c>
      <c r="H667">
        <v>3.33</v>
      </c>
      <c r="I667">
        <v>0.01</v>
      </c>
      <c r="J667" s="1">
        <v>45928.081924201389</v>
      </c>
      <c r="K667" t="s">
        <v>862</v>
      </c>
      <c r="L667">
        <f>COUNTIF($A$2:A667,A667)</f>
        <v>5</v>
      </c>
    </row>
    <row r="668" spans="1:12" x14ac:dyDescent="0.3">
      <c r="A668">
        <v>12424</v>
      </c>
      <c r="B668" t="s">
        <v>836</v>
      </c>
      <c r="C668" t="s">
        <v>786</v>
      </c>
      <c r="D668" t="s">
        <v>787</v>
      </c>
      <c r="E668">
        <v>13</v>
      </c>
      <c r="F668">
        <v>90</v>
      </c>
      <c r="G668">
        <v>6.67</v>
      </c>
      <c r="H668">
        <v>3.33</v>
      </c>
      <c r="I668">
        <v>0</v>
      </c>
      <c r="J668" s="1">
        <v>45928.081783819442</v>
      </c>
      <c r="K668" t="s">
        <v>862</v>
      </c>
      <c r="L668">
        <f>COUNTIF($A$2:A668,A668)</f>
        <v>6</v>
      </c>
    </row>
    <row r="669" spans="1:12" x14ac:dyDescent="0.3">
      <c r="A669">
        <v>12424</v>
      </c>
      <c r="B669" t="s">
        <v>836</v>
      </c>
      <c r="C669" t="s">
        <v>784</v>
      </c>
      <c r="D669" t="s">
        <v>785</v>
      </c>
      <c r="E669">
        <v>17</v>
      </c>
      <c r="F669">
        <v>83.33</v>
      </c>
      <c r="G669">
        <v>13.33</v>
      </c>
      <c r="H669">
        <v>3.33</v>
      </c>
      <c r="I669">
        <v>0.01</v>
      </c>
      <c r="J669" s="1">
        <v>45928.081799664353</v>
      </c>
      <c r="K669" t="s">
        <v>862</v>
      </c>
      <c r="L669">
        <f>COUNTIF($A$2:A669,A669)</f>
        <v>7</v>
      </c>
    </row>
    <row r="670" spans="1:12" x14ac:dyDescent="0.3">
      <c r="A670">
        <v>12424</v>
      </c>
      <c r="B670" t="s">
        <v>836</v>
      </c>
      <c r="C670" t="s">
        <v>856</v>
      </c>
      <c r="D670" t="s">
        <v>857</v>
      </c>
      <c r="E670">
        <v>17</v>
      </c>
      <c r="F670">
        <v>83.33</v>
      </c>
      <c r="G670">
        <v>13.33</v>
      </c>
      <c r="H670">
        <v>3.33</v>
      </c>
      <c r="I670">
        <v>0.01</v>
      </c>
      <c r="J670" s="1">
        <v>45928.081943078701</v>
      </c>
      <c r="K670" t="s">
        <v>862</v>
      </c>
      <c r="L670">
        <f>COUNTIF($A$2:A670,A670)</f>
        <v>8</v>
      </c>
    </row>
    <row r="671" spans="1:12" x14ac:dyDescent="0.3">
      <c r="A671">
        <v>12424</v>
      </c>
      <c r="B671" t="s">
        <v>836</v>
      </c>
      <c r="C671" t="s">
        <v>852</v>
      </c>
      <c r="D671" t="s">
        <v>853</v>
      </c>
      <c r="E671">
        <v>15</v>
      </c>
      <c r="F671">
        <v>83.33</v>
      </c>
      <c r="G671">
        <v>13.33</v>
      </c>
      <c r="H671">
        <v>3.33</v>
      </c>
      <c r="I671">
        <v>0.01</v>
      </c>
      <c r="J671" s="1">
        <v>45928.082005937496</v>
      </c>
      <c r="K671" t="s">
        <v>862</v>
      </c>
      <c r="L671">
        <f>COUNTIF($A$2:A671,A671)</f>
        <v>9</v>
      </c>
    </row>
    <row r="672" spans="1:12" x14ac:dyDescent="0.3">
      <c r="A672">
        <v>12424</v>
      </c>
      <c r="B672" t="s">
        <v>836</v>
      </c>
      <c r="C672" t="s">
        <v>631</v>
      </c>
      <c r="D672" t="s">
        <v>632</v>
      </c>
      <c r="E672">
        <v>15</v>
      </c>
      <c r="F672">
        <v>83.33</v>
      </c>
      <c r="G672">
        <v>13.33</v>
      </c>
      <c r="H672">
        <v>3.33</v>
      </c>
      <c r="I672">
        <v>0.01</v>
      </c>
      <c r="J672" s="1">
        <v>45928.082088564814</v>
      </c>
      <c r="K672" t="s">
        <v>862</v>
      </c>
      <c r="L672">
        <f>COUNTIF($A$2:A672,A672)</f>
        <v>10</v>
      </c>
    </row>
    <row r="673" spans="1:12" x14ac:dyDescent="0.3">
      <c r="A673">
        <v>12424</v>
      </c>
      <c r="B673" t="s">
        <v>836</v>
      </c>
      <c r="C673" t="s">
        <v>637</v>
      </c>
      <c r="D673" t="s">
        <v>638</v>
      </c>
      <c r="E673">
        <v>19</v>
      </c>
      <c r="F673">
        <v>80</v>
      </c>
      <c r="G673">
        <v>16.670000000000002</v>
      </c>
      <c r="H673">
        <v>3.33</v>
      </c>
      <c r="I673">
        <v>0</v>
      </c>
      <c r="J673" s="1">
        <v>45928.082143981483</v>
      </c>
      <c r="K673" t="s">
        <v>862</v>
      </c>
      <c r="L673">
        <f>COUNTIF($A$2:A673,A673)</f>
        <v>11</v>
      </c>
    </row>
    <row r="674" spans="1:12" x14ac:dyDescent="0.3">
      <c r="A674">
        <v>12424</v>
      </c>
      <c r="B674" t="s">
        <v>836</v>
      </c>
      <c r="C674" t="s">
        <v>848</v>
      </c>
      <c r="D674" t="s">
        <v>849</v>
      </c>
      <c r="E674">
        <v>23</v>
      </c>
      <c r="F674">
        <v>70</v>
      </c>
      <c r="G674">
        <v>23.33</v>
      </c>
      <c r="H674">
        <v>6.67</v>
      </c>
      <c r="I674">
        <v>0</v>
      </c>
      <c r="J674" s="1">
        <v>45928.082297905094</v>
      </c>
      <c r="K674" t="s">
        <v>862</v>
      </c>
      <c r="L674">
        <f>COUNTIF($A$2:A674,A674)</f>
        <v>12</v>
      </c>
    </row>
    <row r="675" spans="1:12" x14ac:dyDescent="0.3">
      <c r="A675">
        <v>12424</v>
      </c>
      <c r="B675" t="s">
        <v>836</v>
      </c>
      <c r="C675" t="s">
        <v>846</v>
      </c>
      <c r="D675" t="s">
        <v>847</v>
      </c>
      <c r="E675">
        <v>26</v>
      </c>
      <c r="F675">
        <v>70</v>
      </c>
      <c r="G675">
        <v>20</v>
      </c>
      <c r="H675">
        <v>10</v>
      </c>
      <c r="I675">
        <v>0</v>
      </c>
      <c r="J675" s="1">
        <v>45928.082316215281</v>
      </c>
      <c r="K675" t="s">
        <v>862</v>
      </c>
      <c r="L675">
        <f>COUNTIF($A$2:A675,A675)</f>
        <v>13</v>
      </c>
    </row>
    <row r="676" spans="1:12" x14ac:dyDescent="0.3">
      <c r="A676">
        <v>12424</v>
      </c>
      <c r="B676" t="s">
        <v>836</v>
      </c>
      <c r="C676" t="s">
        <v>837</v>
      </c>
      <c r="D676" t="s">
        <v>838</v>
      </c>
      <c r="E676">
        <v>15</v>
      </c>
      <c r="F676">
        <v>70</v>
      </c>
      <c r="G676">
        <v>16.670000000000002</v>
      </c>
      <c r="H676">
        <v>13.33</v>
      </c>
      <c r="I676">
        <v>0</v>
      </c>
      <c r="J676" s="1">
        <v>45928.082426134257</v>
      </c>
      <c r="K676" t="s">
        <v>862</v>
      </c>
      <c r="L676">
        <f>COUNTIF($A$2:A676,A676)</f>
        <v>14</v>
      </c>
    </row>
    <row r="677" spans="1:12" x14ac:dyDescent="0.3">
      <c r="A677">
        <v>12424</v>
      </c>
      <c r="B677" t="s">
        <v>836</v>
      </c>
      <c r="C677" t="s">
        <v>842</v>
      </c>
      <c r="D677" t="s">
        <v>843</v>
      </c>
      <c r="E677">
        <v>27</v>
      </c>
      <c r="F677">
        <v>66.67</v>
      </c>
      <c r="G677">
        <v>23.33</v>
      </c>
      <c r="H677">
        <v>10</v>
      </c>
      <c r="I677">
        <v>0</v>
      </c>
      <c r="J677" s="1">
        <v>45928.08236335648</v>
      </c>
      <c r="K677" t="s">
        <v>862</v>
      </c>
      <c r="L677">
        <f>COUNTIF($A$2:A677,A677)</f>
        <v>15</v>
      </c>
    </row>
    <row r="678" spans="1:12" x14ac:dyDescent="0.3">
      <c r="A678">
        <v>12424</v>
      </c>
      <c r="B678" t="s">
        <v>836</v>
      </c>
      <c r="C678" t="s">
        <v>850</v>
      </c>
      <c r="D678" t="s">
        <v>851</v>
      </c>
      <c r="E678">
        <v>0</v>
      </c>
      <c r="F678">
        <v>60</v>
      </c>
      <c r="G678">
        <v>33.33</v>
      </c>
      <c r="H678">
        <v>6.67</v>
      </c>
      <c r="I678">
        <v>0</v>
      </c>
      <c r="J678" s="1">
        <v>45928.082256643516</v>
      </c>
      <c r="K678" t="s">
        <v>862</v>
      </c>
      <c r="L678">
        <f>COUNTIF($A$2:A678,A678)</f>
        <v>16</v>
      </c>
    </row>
    <row r="679" spans="1:12" x14ac:dyDescent="0.3">
      <c r="A679">
        <v>12424</v>
      </c>
      <c r="B679" t="s">
        <v>836</v>
      </c>
      <c r="C679" t="s">
        <v>854</v>
      </c>
      <c r="D679" t="s">
        <v>855</v>
      </c>
      <c r="E679">
        <v>21</v>
      </c>
      <c r="F679">
        <v>56.67</v>
      </c>
      <c r="G679">
        <v>40</v>
      </c>
      <c r="H679">
        <v>3.33</v>
      </c>
      <c r="I679">
        <v>0</v>
      </c>
      <c r="J679" s="1">
        <v>45928.081985856479</v>
      </c>
      <c r="K679" t="s">
        <v>862</v>
      </c>
      <c r="L679">
        <f>COUNTIF($A$2:A679,A679)</f>
        <v>17</v>
      </c>
    </row>
    <row r="680" spans="1:12" x14ac:dyDescent="0.3">
      <c r="A680">
        <v>12424</v>
      </c>
      <c r="B680" t="s">
        <v>836</v>
      </c>
      <c r="C680" t="s">
        <v>312</v>
      </c>
      <c r="D680" t="s">
        <v>313</v>
      </c>
      <c r="E680">
        <v>24</v>
      </c>
      <c r="F680">
        <v>56.67</v>
      </c>
      <c r="G680">
        <v>40</v>
      </c>
      <c r="H680">
        <v>3.33</v>
      </c>
      <c r="I680">
        <v>0</v>
      </c>
      <c r="J680" s="1">
        <v>45928.082069861113</v>
      </c>
      <c r="K680" t="s">
        <v>862</v>
      </c>
      <c r="L680">
        <f>COUNTIF($A$2:A680,A680)</f>
        <v>18</v>
      </c>
    </row>
    <row r="681" spans="1:12" x14ac:dyDescent="0.3">
      <c r="A681">
        <v>12424</v>
      </c>
      <c r="B681" t="s">
        <v>836</v>
      </c>
      <c r="C681" t="s">
        <v>645</v>
      </c>
      <c r="D681" t="s">
        <v>646</v>
      </c>
      <c r="E681">
        <v>30</v>
      </c>
      <c r="F681">
        <v>53.33</v>
      </c>
      <c r="G681">
        <v>40</v>
      </c>
      <c r="H681">
        <v>6.67</v>
      </c>
      <c r="I681">
        <v>0</v>
      </c>
      <c r="J681" s="1">
        <v>45928.082234351852</v>
      </c>
      <c r="K681" t="s">
        <v>862</v>
      </c>
      <c r="L681">
        <f>COUNTIF($A$2:A681,A681)</f>
        <v>19</v>
      </c>
    </row>
    <row r="682" spans="1:12" x14ac:dyDescent="0.3">
      <c r="A682">
        <v>12424</v>
      </c>
      <c r="B682" t="s">
        <v>836</v>
      </c>
      <c r="C682" t="s">
        <v>844</v>
      </c>
      <c r="D682" t="s">
        <v>845</v>
      </c>
      <c r="E682">
        <v>0</v>
      </c>
      <c r="F682">
        <v>53.33</v>
      </c>
      <c r="G682">
        <v>36.67</v>
      </c>
      <c r="H682">
        <v>10</v>
      </c>
      <c r="I682">
        <v>0</v>
      </c>
      <c r="J682" s="1">
        <v>45928.08234173611</v>
      </c>
      <c r="K682" t="s">
        <v>862</v>
      </c>
      <c r="L682">
        <f>COUNTIF($A$2:A682,A682)</f>
        <v>20</v>
      </c>
    </row>
    <row r="683" spans="1:12" x14ac:dyDescent="0.3">
      <c r="A683">
        <v>12424</v>
      </c>
      <c r="B683" t="s">
        <v>836</v>
      </c>
      <c r="C683" t="s">
        <v>641</v>
      </c>
      <c r="D683" t="s">
        <v>642</v>
      </c>
      <c r="E683">
        <v>34</v>
      </c>
      <c r="F683">
        <v>36.67</v>
      </c>
      <c r="G683">
        <v>56.67</v>
      </c>
      <c r="H683">
        <v>6.67</v>
      </c>
      <c r="I683">
        <v>0</v>
      </c>
      <c r="J683" s="1">
        <v>45928.082188379631</v>
      </c>
      <c r="K683" t="s">
        <v>862</v>
      </c>
      <c r="L683">
        <f>COUNTIF($A$2:A683,A683)</f>
        <v>21</v>
      </c>
    </row>
    <row r="684" spans="1:12" x14ac:dyDescent="0.3">
      <c r="A684">
        <v>12424</v>
      </c>
      <c r="B684" t="s">
        <v>836</v>
      </c>
      <c r="C684" t="s">
        <v>635</v>
      </c>
      <c r="D684" t="s">
        <v>636</v>
      </c>
      <c r="E684">
        <v>30</v>
      </c>
      <c r="F684">
        <v>33.33</v>
      </c>
      <c r="G684">
        <v>63.33</v>
      </c>
      <c r="H684">
        <v>3.33</v>
      </c>
      <c r="I684">
        <v>0.01</v>
      </c>
      <c r="J684" s="1">
        <v>45928.082103287037</v>
      </c>
      <c r="K684" t="s">
        <v>862</v>
      </c>
      <c r="L684">
        <f>COUNTIF($A$2:A684,A684)</f>
        <v>22</v>
      </c>
    </row>
    <row r="685" spans="1:12" x14ac:dyDescent="0.3">
      <c r="A685">
        <v>12424</v>
      </c>
      <c r="B685" t="s">
        <v>836</v>
      </c>
      <c r="C685" t="s">
        <v>840</v>
      </c>
      <c r="D685" t="s">
        <v>841</v>
      </c>
      <c r="E685">
        <v>49</v>
      </c>
      <c r="F685">
        <v>23.33</v>
      </c>
      <c r="G685">
        <v>63.33</v>
      </c>
      <c r="H685">
        <v>13.33</v>
      </c>
      <c r="I685">
        <v>0.01</v>
      </c>
      <c r="J685" s="1">
        <v>45928.082382743058</v>
      </c>
      <c r="K685" t="s">
        <v>862</v>
      </c>
      <c r="L685">
        <f>COUNTIF($A$2:A685,A685)</f>
        <v>23</v>
      </c>
    </row>
    <row r="686" spans="1:12" x14ac:dyDescent="0.3">
      <c r="A686">
        <v>12424</v>
      </c>
      <c r="B686" t="s">
        <v>836</v>
      </c>
      <c r="C686" t="s">
        <v>310</v>
      </c>
      <c r="D686" t="s">
        <v>311</v>
      </c>
      <c r="E686">
        <v>0</v>
      </c>
      <c r="F686">
        <v>6.67</v>
      </c>
      <c r="G686">
        <v>90</v>
      </c>
      <c r="H686">
        <v>3.33</v>
      </c>
      <c r="I686">
        <v>0</v>
      </c>
      <c r="J686" s="1">
        <v>45928.082029386576</v>
      </c>
      <c r="K686" t="s">
        <v>862</v>
      </c>
      <c r="L686">
        <f>COUNTIF($A$2:A686,A686)</f>
        <v>24</v>
      </c>
    </row>
    <row r="687" spans="1:12" x14ac:dyDescent="0.3">
      <c r="A687">
        <v>12433</v>
      </c>
      <c r="B687" t="s">
        <v>183</v>
      </c>
      <c r="C687" t="s">
        <v>12</v>
      </c>
      <c r="D687" t="s">
        <v>13</v>
      </c>
      <c r="E687">
        <v>2</v>
      </c>
      <c r="F687">
        <v>100</v>
      </c>
      <c r="G687">
        <v>0</v>
      </c>
      <c r="H687">
        <v>0</v>
      </c>
      <c r="I687">
        <v>0</v>
      </c>
      <c r="J687" s="1">
        <v>45927.753380243055</v>
      </c>
      <c r="K687" t="s">
        <v>184</v>
      </c>
      <c r="L687">
        <f>COUNTIF($A$2:A687,A687)</f>
        <v>1</v>
      </c>
    </row>
    <row r="688" spans="1:12" x14ac:dyDescent="0.3">
      <c r="A688">
        <v>12433</v>
      </c>
      <c r="B688" t="s">
        <v>183</v>
      </c>
      <c r="C688" t="s">
        <v>102</v>
      </c>
      <c r="D688" t="s">
        <v>103</v>
      </c>
      <c r="E688">
        <v>5</v>
      </c>
      <c r="F688">
        <v>100</v>
      </c>
      <c r="G688">
        <v>0</v>
      </c>
      <c r="H688">
        <v>0</v>
      </c>
      <c r="I688">
        <v>0</v>
      </c>
      <c r="J688" s="1">
        <v>45927.753507314817</v>
      </c>
      <c r="K688" t="s">
        <v>184</v>
      </c>
      <c r="L688">
        <f>COUNTIF($A$2:A688,A688)</f>
        <v>2</v>
      </c>
    </row>
    <row r="689" spans="1:12" x14ac:dyDescent="0.3">
      <c r="A689">
        <v>12433</v>
      </c>
      <c r="B689" t="s">
        <v>183</v>
      </c>
      <c r="C689" t="s">
        <v>106</v>
      </c>
      <c r="D689" t="s">
        <v>107</v>
      </c>
      <c r="E689">
        <v>7</v>
      </c>
      <c r="F689">
        <v>88.89</v>
      </c>
      <c r="G689">
        <v>11.11</v>
      </c>
      <c r="H689">
        <v>0</v>
      </c>
      <c r="I689">
        <v>0</v>
      </c>
      <c r="J689" s="1">
        <v>45927.753547523149</v>
      </c>
      <c r="K689" t="s">
        <v>184</v>
      </c>
      <c r="L689">
        <f>COUNTIF($A$2:A689,A689)</f>
        <v>3</v>
      </c>
    </row>
    <row r="690" spans="1:12" x14ac:dyDescent="0.3">
      <c r="A690">
        <v>12433</v>
      </c>
      <c r="B690" t="s">
        <v>183</v>
      </c>
      <c r="C690" t="s">
        <v>108</v>
      </c>
      <c r="D690" t="s">
        <v>109</v>
      </c>
      <c r="E690">
        <v>2</v>
      </c>
      <c r="F690">
        <v>88.89</v>
      </c>
      <c r="G690">
        <v>11.11</v>
      </c>
      <c r="H690">
        <v>0</v>
      </c>
      <c r="I690">
        <v>0</v>
      </c>
      <c r="J690" s="1">
        <v>45927.753568159722</v>
      </c>
      <c r="K690" t="s">
        <v>184</v>
      </c>
      <c r="L690">
        <f>COUNTIF($A$2:A690,A690)</f>
        <v>4</v>
      </c>
    </row>
    <row r="691" spans="1:12" x14ac:dyDescent="0.3">
      <c r="A691">
        <v>12433</v>
      </c>
      <c r="B691" t="s">
        <v>183</v>
      </c>
      <c r="C691" t="s">
        <v>96</v>
      </c>
      <c r="D691" t="s">
        <v>97</v>
      </c>
      <c r="E691">
        <v>16</v>
      </c>
      <c r="F691">
        <v>77.78</v>
      </c>
      <c r="G691">
        <v>22.22</v>
      </c>
      <c r="H691">
        <v>0</v>
      </c>
      <c r="I691">
        <v>0</v>
      </c>
      <c r="J691" s="1">
        <v>45927.753464004629</v>
      </c>
      <c r="K691" t="s">
        <v>184</v>
      </c>
      <c r="L691">
        <f>COUNTIF($A$2:A691,A691)</f>
        <v>5</v>
      </c>
    </row>
    <row r="692" spans="1:12" x14ac:dyDescent="0.3">
      <c r="A692">
        <v>12433</v>
      </c>
      <c r="B692" t="s">
        <v>183</v>
      </c>
      <c r="C692" t="s">
        <v>100</v>
      </c>
      <c r="D692" t="s">
        <v>101</v>
      </c>
      <c r="E692">
        <v>7</v>
      </c>
      <c r="F692">
        <v>77.78</v>
      </c>
      <c r="G692">
        <v>22.22</v>
      </c>
      <c r="H692">
        <v>0</v>
      </c>
      <c r="I692">
        <v>0</v>
      </c>
      <c r="J692" s="1">
        <v>45927.753483958331</v>
      </c>
      <c r="K692" t="s">
        <v>184</v>
      </c>
      <c r="L692">
        <f>COUNTIF($A$2:A692,A692)</f>
        <v>6</v>
      </c>
    </row>
    <row r="693" spans="1:12" x14ac:dyDescent="0.3">
      <c r="A693">
        <v>12433</v>
      </c>
      <c r="B693" t="s">
        <v>183</v>
      </c>
      <c r="C693" t="s">
        <v>94</v>
      </c>
      <c r="D693" t="s">
        <v>95</v>
      </c>
      <c r="E693">
        <v>13</v>
      </c>
      <c r="F693">
        <v>66.67</v>
      </c>
      <c r="G693">
        <v>33.33</v>
      </c>
      <c r="H693">
        <v>0</v>
      </c>
      <c r="I693">
        <v>0</v>
      </c>
      <c r="J693" s="1">
        <v>45927.753442372683</v>
      </c>
      <c r="K693" t="s">
        <v>184</v>
      </c>
      <c r="L693">
        <f>COUNTIF($A$2:A693,A693)</f>
        <v>7</v>
      </c>
    </row>
    <row r="694" spans="1:12" x14ac:dyDescent="0.3">
      <c r="A694">
        <v>12433</v>
      </c>
      <c r="B694" t="s">
        <v>183</v>
      </c>
      <c r="C694" t="s">
        <v>104</v>
      </c>
      <c r="D694" t="s">
        <v>105</v>
      </c>
      <c r="E694">
        <v>13</v>
      </c>
      <c r="F694">
        <v>66.67</v>
      </c>
      <c r="G694">
        <v>33.33</v>
      </c>
      <c r="H694">
        <v>0</v>
      </c>
      <c r="I694">
        <v>0</v>
      </c>
      <c r="J694" s="1">
        <v>45927.753528564812</v>
      </c>
      <c r="K694" t="s">
        <v>184</v>
      </c>
      <c r="L694">
        <f>COUNTIF($A$2:A694,A694)</f>
        <v>8</v>
      </c>
    </row>
    <row r="695" spans="1:12" x14ac:dyDescent="0.3">
      <c r="A695">
        <v>12433</v>
      </c>
      <c r="B695" t="s">
        <v>183</v>
      </c>
      <c r="C695" t="s">
        <v>88</v>
      </c>
      <c r="D695" t="s">
        <v>89</v>
      </c>
      <c r="E695">
        <v>14</v>
      </c>
      <c r="F695">
        <v>44.44</v>
      </c>
      <c r="G695">
        <v>55.56</v>
      </c>
      <c r="H695">
        <v>0</v>
      </c>
      <c r="I695">
        <v>0</v>
      </c>
      <c r="J695" s="1">
        <v>45927.75340040509</v>
      </c>
      <c r="K695" t="s">
        <v>184</v>
      </c>
      <c r="L695">
        <f>COUNTIF($A$2:A695,A695)</f>
        <v>9</v>
      </c>
    </row>
    <row r="696" spans="1:12" x14ac:dyDescent="0.3">
      <c r="A696">
        <v>12433</v>
      </c>
      <c r="B696" t="s">
        <v>183</v>
      </c>
      <c r="C696" t="s">
        <v>92</v>
      </c>
      <c r="D696" t="s">
        <v>93</v>
      </c>
      <c r="E696">
        <v>18</v>
      </c>
      <c r="F696">
        <v>33.33</v>
      </c>
      <c r="G696">
        <v>66.67</v>
      </c>
      <c r="H696">
        <v>0</v>
      </c>
      <c r="I696">
        <v>0</v>
      </c>
      <c r="J696" s="1">
        <v>45927.75341996528</v>
      </c>
      <c r="K696" t="s">
        <v>184</v>
      </c>
      <c r="L696">
        <f>COUNTIF($A$2:A696,A696)</f>
        <v>10</v>
      </c>
    </row>
    <row r="697" spans="1:12" x14ac:dyDescent="0.3">
      <c r="A697">
        <v>12434</v>
      </c>
      <c r="B697" t="s">
        <v>183</v>
      </c>
      <c r="C697" t="s">
        <v>108</v>
      </c>
      <c r="D697" t="s">
        <v>109</v>
      </c>
      <c r="E697">
        <v>0</v>
      </c>
      <c r="F697">
        <v>100</v>
      </c>
      <c r="G697">
        <v>0</v>
      </c>
      <c r="H697">
        <v>0</v>
      </c>
      <c r="I697">
        <v>0</v>
      </c>
      <c r="J697" s="1">
        <v>45927.753611099535</v>
      </c>
      <c r="K697" t="s">
        <v>185</v>
      </c>
      <c r="L697">
        <f>COUNTIF($A$2:A697,A697)</f>
        <v>1</v>
      </c>
    </row>
    <row r="698" spans="1:12" x14ac:dyDescent="0.3">
      <c r="A698">
        <v>12434</v>
      </c>
      <c r="B698" t="s">
        <v>183</v>
      </c>
      <c r="C698" t="s">
        <v>102</v>
      </c>
      <c r="D698" t="s">
        <v>103</v>
      </c>
      <c r="E698">
        <v>4</v>
      </c>
      <c r="F698">
        <v>100</v>
      </c>
      <c r="G698">
        <v>0</v>
      </c>
      <c r="H698">
        <v>0</v>
      </c>
      <c r="I698">
        <v>0</v>
      </c>
      <c r="J698" s="1">
        <v>45927.75368267361</v>
      </c>
      <c r="K698" t="s">
        <v>185</v>
      </c>
      <c r="L698">
        <f>COUNTIF($A$2:A698,A698)</f>
        <v>2</v>
      </c>
    </row>
    <row r="699" spans="1:12" x14ac:dyDescent="0.3">
      <c r="A699">
        <v>12434</v>
      </c>
      <c r="B699" t="s">
        <v>183</v>
      </c>
      <c r="C699" t="s">
        <v>100</v>
      </c>
      <c r="D699" t="s">
        <v>101</v>
      </c>
      <c r="E699">
        <v>10</v>
      </c>
      <c r="F699">
        <v>100</v>
      </c>
      <c r="G699">
        <v>0</v>
      </c>
      <c r="H699">
        <v>0</v>
      </c>
      <c r="I699">
        <v>0</v>
      </c>
      <c r="J699" s="1">
        <v>45927.753703333336</v>
      </c>
      <c r="K699" t="s">
        <v>185</v>
      </c>
      <c r="L699">
        <f>COUNTIF($A$2:A699,A699)</f>
        <v>3</v>
      </c>
    </row>
    <row r="700" spans="1:12" x14ac:dyDescent="0.3">
      <c r="A700">
        <v>12434</v>
      </c>
      <c r="B700" t="s">
        <v>183</v>
      </c>
      <c r="C700" t="s">
        <v>94</v>
      </c>
      <c r="D700" t="s">
        <v>95</v>
      </c>
      <c r="E700">
        <v>1</v>
      </c>
      <c r="F700">
        <v>100</v>
      </c>
      <c r="G700">
        <v>0</v>
      </c>
      <c r="H700">
        <v>0</v>
      </c>
      <c r="I700">
        <v>0</v>
      </c>
      <c r="J700" s="1">
        <v>45927.753748368057</v>
      </c>
      <c r="K700" t="s">
        <v>185</v>
      </c>
      <c r="L700">
        <f>COUNTIF($A$2:A700,A700)</f>
        <v>4</v>
      </c>
    </row>
    <row r="701" spans="1:12" x14ac:dyDescent="0.3">
      <c r="A701">
        <v>12434</v>
      </c>
      <c r="B701" t="s">
        <v>183</v>
      </c>
      <c r="C701" t="s">
        <v>104</v>
      </c>
      <c r="D701" t="s">
        <v>105</v>
      </c>
      <c r="E701">
        <v>0</v>
      </c>
      <c r="F701">
        <v>88.89</v>
      </c>
      <c r="G701">
        <v>11.11</v>
      </c>
      <c r="H701">
        <v>0</v>
      </c>
      <c r="I701">
        <v>0</v>
      </c>
      <c r="J701" s="1">
        <v>45927.753662499999</v>
      </c>
      <c r="K701" t="s">
        <v>185</v>
      </c>
      <c r="L701">
        <f>COUNTIF($A$2:A701,A701)</f>
        <v>5</v>
      </c>
    </row>
    <row r="702" spans="1:12" x14ac:dyDescent="0.3">
      <c r="A702">
        <v>12434</v>
      </c>
      <c r="B702" t="s">
        <v>183</v>
      </c>
      <c r="C702" t="s">
        <v>92</v>
      </c>
      <c r="D702" t="s">
        <v>93</v>
      </c>
      <c r="E702">
        <v>7</v>
      </c>
      <c r="F702">
        <v>88.89</v>
      </c>
      <c r="G702">
        <v>11.11</v>
      </c>
      <c r="H702">
        <v>0</v>
      </c>
      <c r="I702">
        <v>0</v>
      </c>
      <c r="J702" s="1">
        <v>45927.753771550924</v>
      </c>
      <c r="K702" t="s">
        <v>185</v>
      </c>
      <c r="L702">
        <f>COUNTIF($A$2:A702,A702)</f>
        <v>6</v>
      </c>
    </row>
    <row r="703" spans="1:12" x14ac:dyDescent="0.3">
      <c r="A703">
        <v>12434</v>
      </c>
      <c r="B703" t="s">
        <v>183</v>
      </c>
      <c r="C703" t="s">
        <v>12</v>
      </c>
      <c r="D703" t="s">
        <v>13</v>
      </c>
      <c r="E703">
        <v>0</v>
      </c>
      <c r="F703">
        <v>88.89</v>
      </c>
      <c r="G703">
        <v>11.11</v>
      </c>
      <c r="H703">
        <v>0</v>
      </c>
      <c r="I703">
        <v>0</v>
      </c>
      <c r="J703" s="1">
        <v>45927.753814629628</v>
      </c>
      <c r="K703" t="s">
        <v>185</v>
      </c>
      <c r="L703">
        <f>COUNTIF($A$2:A703,A703)</f>
        <v>7</v>
      </c>
    </row>
    <row r="704" spans="1:12" x14ac:dyDescent="0.3">
      <c r="A704">
        <v>12434</v>
      </c>
      <c r="B704" t="s">
        <v>183</v>
      </c>
      <c r="C704" t="s">
        <v>106</v>
      </c>
      <c r="D704" t="s">
        <v>107</v>
      </c>
      <c r="E704">
        <v>10</v>
      </c>
      <c r="F704">
        <v>77.78</v>
      </c>
      <c r="G704">
        <v>22.22</v>
      </c>
      <c r="H704">
        <v>0</v>
      </c>
      <c r="I704">
        <v>0</v>
      </c>
      <c r="J704" s="1">
        <v>45927.753634791668</v>
      </c>
      <c r="K704" t="s">
        <v>185</v>
      </c>
      <c r="L704">
        <f>COUNTIF($A$2:A704,A704)</f>
        <v>8</v>
      </c>
    </row>
    <row r="705" spans="1:12" x14ac:dyDescent="0.3">
      <c r="A705">
        <v>12434</v>
      </c>
      <c r="B705" t="s">
        <v>183</v>
      </c>
      <c r="C705" t="s">
        <v>96</v>
      </c>
      <c r="D705" t="s">
        <v>97</v>
      </c>
      <c r="E705">
        <v>6</v>
      </c>
      <c r="F705">
        <v>77.78</v>
      </c>
      <c r="G705">
        <v>22.22</v>
      </c>
      <c r="H705">
        <v>0</v>
      </c>
      <c r="I705">
        <v>0</v>
      </c>
      <c r="J705" s="1">
        <v>45927.75372390046</v>
      </c>
      <c r="K705" t="s">
        <v>185</v>
      </c>
      <c r="L705">
        <f>COUNTIF($A$2:A705,A705)</f>
        <v>9</v>
      </c>
    </row>
    <row r="706" spans="1:12" x14ac:dyDescent="0.3">
      <c r="A706">
        <v>12434</v>
      </c>
      <c r="B706" t="s">
        <v>183</v>
      </c>
      <c r="C706" t="s">
        <v>88</v>
      </c>
      <c r="D706" t="s">
        <v>89</v>
      </c>
      <c r="E706">
        <v>16</v>
      </c>
      <c r="F706">
        <v>66.67</v>
      </c>
      <c r="G706">
        <v>33.33</v>
      </c>
      <c r="H706">
        <v>0</v>
      </c>
      <c r="I706">
        <v>0</v>
      </c>
      <c r="J706" s="1">
        <v>45927.753792152776</v>
      </c>
      <c r="K706" t="s">
        <v>185</v>
      </c>
      <c r="L706">
        <f>COUNTIF($A$2:A706,A706)</f>
        <v>10</v>
      </c>
    </row>
    <row r="707" spans="1:12" x14ac:dyDescent="0.3">
      <c r="A707">
        <v>12509</v>
      </c>
      <c r="B707" t="s">
        <v>619</v>
      </c>
      <c r="C707" t="s">
        <v>125</v>
      </c>
      <c r="D707" t="s">
        <v>126</v>
      </c>
      <c r="E707">
        <v>0</v>
      </c>
      <c r="F707">
        <v>100</v>
      </c>
      <c r="G707">
        <v>0</v>
      </c>
      <c r="H707">
        <v>0</v>
      </c>
      <c r="I707">
        <v>0</v>
      </c>
      <c r="J707" s="1">
        <v>45928.067992384262</v>
      </c>
      <c r="K707" t="s">
        <v>620</v>
      </c>
      <c r="L707">
        <f>COUNTIF($A$2:A707,A707)</f>
        <v>1</v>
      </c>
    </row>
    <row r="708" spans="1:12" x14ac:dyDescent="0.3">
      <c r="A708">
        <v>12509</v>
      </c>
      <c r="B708" t="s">
        <v>619</v>
      </c>
      <c r="C708" t="s">
        <v>187</v>
      </c>
      <c r="D708" t="s">
        <v>188</v>
      </c>
      <c r="E708">
        <v>6</v>
      </c>
      <c r="F708">
        <v>91.67</v>
      </c>
      <c r="G708">
        <v>8.33</v>
      </c>
      <c r="H708">
        <v>0</v>
      </c>
      <c r="I708">
        <v>0</v>
      </c>
      <c r="J708" s="1">
        <v>45928.067546909719</v>
      </c>
      <c r="K708" t="s">
        <v>620</v>
      </c>
      <c r="L708">
        <f>COUNTIF($A$2:A708,A708)</f>
        <v>2</v>
      </c>
    </row>
    <row r="709" spans="1:12" x14ac:dyDescent="0.3">
      <c r="A709">
        <v>12509</v>
      </c>
      <c r="B709" t="s">
        <v>619</v>
      </c>
      <c r="C709" t="s">
        <v>19</v>
      </c>
      <c r="D709" t="s">
        <v>20</v>
      </c>
      <c r="E709">
        <v>11</v>
      </c>
      <c r="F709">
        <v>83.33</v>
      </c>
      <c r="G709">
        <v>16.670000000000002</v>
      </c>
      <c r="H709">
        <v>0</v>
      </c>
      <c r="I709">
        <v>0</v>
      </c>
      <c r="J709" s="1">
        <v>45928.067673136575</v>
      </c>
      <c r="K709" t="s">
        <v>620</v>
      </c>
      <c r="L709">
        <f>COUNTIF($A$2:A709,A709)</f>
        <v>3</v>
      </c>
    </row>
    <row r="710" spans="1:12" x14ac:dyDescent="0.3">
      <c r="A710">
        <v>12509</v>
      </c>
      <c r="B710" t="s">
        <v>619</v>
      </c>
      <c r="C710" t="s">
        <v>21</v>
      </c>
      <c r="D710" t="s">
        <v>22</v>
      </c>
      <c r="E710">
        <v>15</v>
      </c>
      <c r="F710">
        <v>66.67</v>
      </c>
      <c r="G710">
        <v>25</v>
      </c>
      <c r="H710">
        <v>8.33</v>
      </c>
      <c r="I710">
        <v>0</v>
      </c>
      <c r="J710" s="1">
        <v>45928.067649328703</v>
      </c>
      <c r="K710" t="s">
        <v>620</v>
      </c>
      <c r="L710">
        <f>COUNTIF($A$2:A710,A710)</f>
        <v>4</v>
      </c>
    </row>
    <row r="711" spans="1:12" x14ac:dyDescent="0.3">
      <c r="A711">
        <v>12509</v>
      </c>
      <c r="B711" t="s">
        <v>619</v>
      </c>
      <c r="C711" t="s">
        <v>192</v>
      </c>
      <c r="D711" t="s">
        <v>193</v>
      </c>
      <c r="E711">
        <v>23</v>
      </c>
      <c r="F711">
        <v>41.67</v>
      </c>
      <c r="G711">
        <v>50</v>
      </c>
      <c r="H711">
        <v>8.33</v>
      </c>
      <c r="I711">
        <v>0</v>
      </c>
      <c r="J711" s="1">
        <v>45928.067604780095</v>
      </c>
      <c r="K711" t="s">
        <v>620</v>
      </c>
      <c r="L711">
        <f>COUNTIF($A$2:A711,A711)</f>
        <v>5</v>
      </c>
    </row>
    <row r="712" spans="1:12" x14ac:dyDescent="0.3">
      <c r="A712">
        <v>12509</v>
      </c>
      <c r="B712" t="s">
        <v>619</v>
      </c>
      <c r="C712" t="s">
        <v>190</v>
      </c>
      <c r="D712" t="s">
        <v>191</v>
      </c>
      <c r="E712">
        <v>23</v>
      </c>
      <c r="F712">
        <v>33.33</v>
      </c>
      <c r="G712">
        <v>58.33</v>
      </c>
      <c r="H712">
        <v>8.33</v>
      </c>
      <c r="I712">
        <v>0.01</v>
      </c>
      <c r="J712" s="1">
        <v>45928.067564050929</v>
      </c>
      <c r="K712" t="s">
        <v>620</v>
      </c>
      <c r="L712">
        <f>COUNTIF($A$2:A712,A712)</f>
        <v>6</v>
      </c>
    </row>
    <row r="713" spans="1:12" x14ac:dyDescent="0.3">
      <c r="A713">
        <v>12509</v>
      </c>
      <c r="B713" t="s">
        <v>619</v>
      </c>
      <c r="C713" t="s">
        <v>151</v>
      </c>
      <c r="D713" t="s">
        <v>152</v>
      </c>
      <c r="E713">
        <v>48</v>
      </c>
      <c r="F713">
        <v>33.33</v>
      </c>
      <c r="G713">
        <v>41.67</v>
      </c>
      <c r="H713">
        <v>25</v>
      </c>
      <c r="I713">
        <v>0</v>
      </c>
      <c r="J713" s="1">
        <v>45928.067819965276</v>
      </c>
      <c r="K713" t="s">
        <v>620</v>
      </c>
      <c r="L713">
        <f>COUNTIF($A$2:A713,A713)</f>
        <v>7</v>
      </c>
    </row>
    <row r="714" spans="1:12" x14ac:dyDescent="0.3">
      <c r="A714">
        <v>12509</v>
      </c>
      <c r="B714" t="s">
        <v>619</v>
      </c>
      <c r="C714" t="s">
        <v>17</v>
      </c>
      <c r="D714" t="s">
        <v>18</v>
      </c>
      <c r="E714">
        <v>0</v>
      </c>
      <c r="F714">
        <v>25</v>
      </c>
      <c r="G714">
        <v>66.67</v>
      </c>
      <c r="H714">
        <v>8.33</v>
      </c>
      <c r="I714">
        <v>0</v>
      </c>
      <c r="J714" s="1">
        <v>45928.067703738423</v>
      </c>
      <c r="K714" t="s">
        <v>620</v>
      </c>
      <c r="L714">
        <f>COUNTIF($A$2:A714,A714)</f>
        <v>8</v>
      </c>
    </row>
    <row r="715" spans="1:12" x14ac:dyDescent="0.3">
      <c r="A715">
        <v>12509</v>
      </c>
      <c r="B715" t="s">
        <v>619</v>
      </c>
      <c r="C715" t="s">
        <v>34</v>
      </c>
      <c r="D715" t="s">
        <v>35</v>
      </c>
      <c r="E715">
        <v>31</v>
      </c>
      <c r="F715">
        <v>25</v>
      </c>
      <c r="G715">
        <v>58.33</v>
      </c>
      <c r="H715">
        <v>16.670000000000002</v>
      </c>
      <c r="I715">
        <v>0</v>
      </c>
      <c r="J715" s="1">
        <v>45928.067725243054</v>
      </c>
      <c r="K715" t="s">
        <v>620</v>
      </c>
      <c r="L715">
        <f>COUNTIF($A$2:A715,A715)</f>
        <v>9</v>
      </c>
    </row>
    <row r="716" spans="1:12" x14ac:dyDescent="0.3">
      <c r="A716">
        <v>12509</v>
      </c>
      <c r="B716" t="s">
        <v>619</v>
      </c>
      <c r="C716" t="s">
        <v>149</v>
      </c>
      <c r="D716" t="s">
        <v>150</v>
      </c>
      <c r="E716">
        <v>62</v>
      </c>
      <c r="F716">
        <v>25</v>
      </c>
      <c r="G716">
        <v>25</v>
      </c>
      <c r="H716">
        <v>50</v>
      </c>
      <c r="I716">
        <v>0</v>
      </c>
      <c r="J716" s="1">
        <v>45928.067841053242</v>
      </c>
      <c r="K716" t="s">
        <v>620</v>
      </c>
      <c r="L716">
        <f>COUNTIF($A$2:A716,A716)</f>
        <v>10</v>
      </c>
    </row>
    <row r="717" spans="1:12" x14ac:dyDescent="0.3">
      <c r="A717">
        <v>12509</v>
      </c>
      <c r="B717" t="s">
        <v>619</v>
      </c>
      <c r="C717" t="s">
        <v>174</v>
      </c>
      <c r="D717" t="s">
        <v>175</v>
      </c>
      <c r="E717">
        <v>0</v>
      </c>
      <c r="F717">
        <v>8.33</v>
      </c>
      <c r="G717">
        <v>83.33</v>
      </c>
      <c r="H717">
        <v>8.33</v>
      </c>
      <c r="I717">
        <v>0</v>
      </c>
      <c r="J717" s="1">
        <v>45928.067755567128</v>
      </c>
      <c r="K717" t="s">
        <v>620</v>
      </c>
      <c r="L717">
        <f>COUNTIF($A$2:A717,A717)</f>
        <v>11</v>
      </c>
    </row>
    <row r="718" spans="1:12" x14ac:dyDescent="0.3">
      <c r="A718">
        <v>12509</v>
      </c>
      <c r="B718" t="s">
        <v>619</v>
      </c>
      <c r="C718" t="s">
        <v>88</v>
      </c>
      <c r="D718" t="s">
        <v>89</v>
      </c>
      <c r="E718">
        <v>55</v>
      </c>
      <c r="F718">
        <v>8.33</v>
      </c>
      <c r="G718">
        <v>50</v>
      </c>
      <c r="H718">
        <v>41.67</v>
      </c>
      <c r="I718">
        <v>0</v>
      </c>
      <c r="J718" s="1">
        <v>45928.067778263889</v>
      </c>
      <c r="K718" t="s">
        <v>620</v>
      </c>
      <c r="L718">
        <f>COUNTIF($A$2:A718,A718)</f>
        <v>12</v>
      </c>
    </row>
    <row r="719" spans="1:12" x14ac:dyDescent="0.3">
      <c r="A719">
        <v>12509</v>
      </c>
      <c r="B719" t="s">
        <v>619</v>
      </c>
      <c r="C719" t="s">
        <v>160</v>
      </c>
      <c r="D719" t="s">
        <v>161</v>
      </c>
      <c r="E719">
        <v>70</v>
      </c>
      <c r="F719">
        <v>8.33</v>
      </c>
      <c r="G719">
        <v>50</v>
      </c>
      <c r="H719">
        <v>41.67</v>
      </c>
      <c r="I719">
        <v>0</v>
      </c>
      <c r="J719" s="1">
        <v>45928.067801064812</v>
      </c>
      <c r="K719" t="s">
        <v>620</v>
      </c>
      <c r="L719">
        <f>COUNTIF($A$2:A719,A719)</f>
        <v>13</v>
      </c>
    </row>
    <row r="720" spans="1:12" x14ac:dyDescent="0.3">
      <c r="A720">
        <v>12509</v>
      </c>
      <c r="B720" t="s">
        <v>619</v>
      </c>
      <c r="C720" t="s">
        <v>145</v>
      </c>
      <c r="D720" t="s">
        <v>146</v>
      </c>
      <c r="E720">
        <v>71</v>
      </c>
      <c r="F720">
        <v>8.33</v>
      </c>
      <c r="G720">
        <v>25</v>
      </c>
      <c r="H720">
        <v>66.67</v>
      </c>
      <c r="I720">
        <v>0</v>
      </c>
      <c r="J720" s="1">
        <v>45928.067865393517</v>
      </c>
      <c r="K720" t="s">
        <v>620</v>
      </c>
      <c r="L720">
        <f>COUNTIF($A$2:A720,A720)</f>
        <v>14</v>
      </c>
    </row>
    <row r="721" spans="1:12" x14ac:dyDescent="0.3">
      <c r="A721">
        <v>12509</v>
      </c>
      <c r="B721" t="s">
        <v>619</v>
      </c>
      <c r="C721" t="s">
        <v>141</v>
      </c>
      <c r="D721" t="s">
        <v>142</v>
      </c>
      <c r="E721">
        <v>65</v>
      </c>
      <c r="F721">
        <v>8.33</v>
      </c>
      <c r="G721">
        <v>41.67</v>
      </c>
      <c r="H721">
        <v>50</v>
      </c>
      <c r="I721">
        <v>0</v>
      </c>
      <c r="J721" s="1">
        <v>45928.067885613425</v>
      </c>
      <c r="K721" t="s">
        <v>620</v>
      </c>
      <c r="L721">
        <f>COUNTIF($A$2:A721,A721)</f>
        <v>15</v>
      </c>
    </row>
    <row r="722" spans="1:12" x14ac:dyDescent="0.3">
      <c r="A722">
        <v>12509</v>
      </c>
      <c r="B722" t="s">
        <v>619</v>
      </c>
      <c r="C722" t="s">
        <v>129</v>
      </c>
      <c r="D722" t="s">
        <v>130</v>
      </c>
      <c r="E722">
        <v>79</v>
      </c>
      <c r="F722">
        <v>8.33</v>
      </c>
      <c r="G722">
        <v>16.670000000000002</v>
      </c>
      <c r="H722">
        <v>75</v>
      </c>
      <c r="I722">
        <v>0</v>
      </c>
      <c r="J722" s="1">
        <v>45928.067953101854</v>
      </c>
      <c r="K722" t="s">
        <v>620</v>
      </c>
      <c r="L722">
        <f>COUNTIF($A$2:A722,A722)</f>
        <v>16</v>
      </c>
    </row>
    <row r="723" spans="1:12" x14ac:dyDescent="0.3">
      <c r="A723">
        <v>12509</v>
      </c>
      <c r="B723" t="s">
        <v>619</v>
      </c>
      <c r="C723" t="s">
        <v>135</v>
      </c>
      <c r="D723" t="s">
        <v>136</v>
      </c>
      <c r="E723">
        <v>77</v>
      </c>
      <c r="F723">
        <v>0</v>
      </c>
      <c r="G723">
        <v>25</v>
      </c>
      <c r="H723">
        <v>75</v>
      </c>
      <c r="I723">
        <v>0</v>
      </c>
      <c r="J723" s="1">
        <v>45928.067906666663</v>
      </c>
      <c r="K723" t="s">
        <v>620</v>
      </c>
      <c r="L723">
        <f>COUNTIF($A$2:A723,A723)</f>
        <v>17</v>
      </c>
    </row>
    <row r="724" spans="1:12" x14ac:dyDescent="0.3">
      <c r="A724">
        <v>12509</v>
      </c>
      <c r="B724" t="s">
        <v>619</v>
      </c>
      <c r="C724" t="s">
        <v>131</v>
      </c>
      <c r="D724" t="s">
        <v>132</v>
      </c>
      <c r="E724">
        <v>82</v>
      </c>
      <c r="F724">
        <v>0</v>
      </c>
      <c r="G724">
        <v>16.670000000000002</v>
      </c>
      <c r="H724">
        <v>83.33</v>
      </c>
      <c r="I724">
        <v>0</v>
      </c>
      <c r="J724" s="1">
        <v>45928.067929849538</v>
      </c>
      <c r="K724" t="s">
        <v>620</v>
      </c>
      <c r="L724">
        <f>COUNTIF($A$2:A724,A724)</f>
        <v>18</v>
      </c>
    </row>
    <row r="725" spans="1:12" x14ac:dyDescent="0.3">
      <c r="A725">
        <v>12509</v>
      </c>
      <c r="B725" t="s">
        <v>619</v>
      </c>
      <c r="C725" t="s">
        <v>127</v>
      </c>
      <c r="D725" t="s">
        <v>128</v>
      </c>
      <c r="E725">
        <v>79</v>
      </c>
      <c r="F725">
        <v>0</v>
      </c>
      <c r="G725">
        <v>25</v>
      </c>
      <c r="H725">
        <v>75</v>
      </c>
      <c r="I725">
        <v>0</v>
      </c>
      <c r="J725" s="1">
        <v>45928.067973368059</v>
      </c>
      <c r="K725" t="s">
        <v>620</v>
      </c>
      <c r="L725">
        <f>COUNTIF($A$2:A725,A725)</f>
        <v>19</v>
      </c>
    </row>
    <row r="726" spans="1:12" x14ac:dyDescent="0.3">
      <c r="A726">
        <v>12509</v>
      </c>
      <c r="B726" t="s">
        <v>619</v>
      </c>
      <c r="C726" t="s">
        <v>123</v>
      </c>
      <c r="D726" t="s">
        <v>124</v>
      </c>
      <c r="E726">
        <v>0</v>
      </c>
      <c r="F726">
        <v>0</v>
      </c>
      <c r="G726">
        <v>0</v>
      </c>
      <c r="H726">
        <v>100</v>
      </c>
      <c r="I726">
        <v>0</v>
      </c>
      <c r="J726" s="1">
        <v>45928.068021597224</v>
      </c>
      <c r="K726" t="s">
        <v>620</v>
      </c>
      <c r="L726">
        <f>COUNTIF($A$2:A726,A726)</f>
        <v>20</v>
      </c>
    </row>
    <row r="727" spans="1:12" x14ac:dyDescent="0.3">
      <c r="A727">
        <v>12509</v>
      </c>
      <c r="B727" t="s">
        <v>619</v>
      </c>
      <c r="C727" t="s">
        <v>121</v>
      </c>
      <c r="D727" t="s">
        <v>122</v>
      </c>
      <c r="E727">
        <v>0</v>
      </c>
      <c r="F727">
        <v>0</v>
      </c>
      <c r="G727">
        <v>0</v>
      </c>
      <c r="H727">
        <v>100</v>
      </c>
      <c r="I727">
        <v>0</v>
      </c>
      <c r="J727" s="1">
        <v>45928.068063599538</v>
      </c>
      <c r="K727" t="s">
        <v>620</v>
      </c>
      <c r="L727">
        <f>COUNTIF($A$2:A727,A727)</f>
        <v>21</v>
      </c>
    </row>
    <row r="728" spans="1:12" x14ac:dyDescent="0.3">
      <c r="A728">
        <v>12509</v>
      </c>
      <c r="B728" t="s">
        <v>619</v>
      </c>
      <c r="C728" t="s">
        <v>119</v>
      </c>
      <c r="D728" t="s">
        <v>120</v>
      </c>
      <c r="E728">
        <v>174</v>
      </c>
      <c r="F728">
        <v>0</v>
      </c>
      <c r="G728">
        <v>0</v>
      </c>
      <c r="H728">
        <v>100</v>
      </c>
      <c r="I728">
        <v>0</v>
      </c>
      <c r="J728" s="1">
        <v>45928.068083854167</v>
      </c>
      <c r="K728" t="s">
        <v>620</v>
      </c>
      <c r="L728">
        <f>COUNTIF($A$2:A728,A728)</f>
        <v>22</v>
      </c>
    </row>
    <row r="729" spans="1:12" x14ac:dyDescent="0.3">
      <c r="A729">
        <v>12509</v>
      </c>
      <c r="B729" t="s">
        <v>619</v>
      </c>
      <c r="C729" t="s">
        <v>117</v>
      </c>
      <c r="D729" t="s">
        <v>118</v>
      </c>
      <c r="E729">
        <v>205</v>
      </c>
      <c r="F729">
        <v>0</v>
      </c>
      <c r="G729">
        <v>0</v>
      </c>
      <c r="H729">
        <v>100</v>
      </c>
      <c r="I729">
        <v>0</v>
      </c>
      <c r="J729" s="1">
        <v>45928.068103923608</v>
      </c>
      <c r="K729" t="s">
        <v>620</v>
      </c>
      <c r="L729">
        <f>COUNTIF($A$2:A729,A729)</f>
        <v>23</v>
      </c>
    </row>
    <row r="730" spans="1:12" x14ac:dyDescent="0.3">
      <c r="A730">
        <v>12509</v>
      </c>
      <c r="B730" t="s">
        <v>619</v>
      </c>
      <c r="C730" t="s">
        <v>621</v>
      </c>
      <c r="D730" t="s">
        <v>622</v>
      </c>
      <c r="E730">
        <v>240</v>
      </c>
      <c r="F730">
        <v>0</v>
      </c>
      <c r="G730">
        <v>0</v>
      </c>
      <c r="H730">
        <v>100</v>
      </c>
      <c r="I730">
        <v>0</v>
      </c>
      <c r="J730" s="1">
        <v>45928.068127500002</v>
      </c>
      <c r="K730" t="s">
        <v>620</v>
      </c>
      <c r="L730">
        <f>COUNTIF($A$2:A730,A730)</f>
        <v>24</v>
      </c>
    </row>
    <row r="731" spans="1:12" x14ac:dyDescent="0.3">
      <c r="A731">
        <v>12509</v>
      </c>
      <c r="B731" t="s">
        <v>619</v>
      </c>
      <c r="C731" t="s">
        <v>304</v>
      </c>
      <c r="D731" t="s">
        <v>305</v>
      </c>
      <c r="E731">
        <v>249</v>
      </c>
      <c r="F731">
        <v>0</v>
      </c>
      <c r="G731">
        <v>0</v>
      </c>
      <c r="H731">
        <v>100</v>
      </c>
      <c r="I731">
        <v>0</v>
      </c>
      <c r="J731" s="1">
        <v>45928.068147337966</v>
      </c>
      <c r="K731" t="s">
        <v>620</v>
      </c>
      <c r="L731">
        <f>COUNTIF($A$2:A731,A731)</f>
        <v>25</v>
      </c>
    </row>
    <row r="732" spans="1:12" x14ac:dyDescent="0.3">
      <c r="A732">
        <v>12509</v>
      </c>
      <c r="B732" t="s">
        <v>619</v>
      </c>
      <c r="C732" t="s">
        <v>623</v>
      </c>
      <c r="D732" t="s">
        <v>624</v>
      </c>
      <c r="E732">
        <v>245</v>
      </c>
      <c r="F732">
        <v>0</v>
      </c>
      <c r="G732">
        <v>0</v>
      </c>
      <c r="H732">
        <v>100</v>
      </c>
      <c r="I732">
        <v>0</v>
      </c>
      <c r="J732" s="1">
        <v>45928.068165439814</v>
      </c>
      <c r="K732" t="s">
        <v>620</v>
      </c>
      <c r="L732">
        <f>COUNTIF($A$2:A732,A732)</f>
        <v>26</v>
      </c>
    </row>
    <row r="733" spans="1:12" x14ac:dyDescent="0.3">
      <c r="A733">
        <v>12509</v>
      </c>
      <c r="B733" t="s">
        <v>619</v>
      </c>
      <c r="C733" t="s">
        <v>625</v>
      </c>
      <c r="D733" t="s">
        <v>626</v>
      </c>
      <c r="E733">
        <v>208</v>
      </c>
      <c r="F733">
        <v>0</v>
      </c>
      <c r="G733">
        <v>0</v>
      </c>
      <c r="H733">
        <v>100</v>
      </c>
      <c r="I733">
        <v>0</v>
      </c>
      <c r="J733" s="1">
        <v>45928.068187129633</v>
      </c>
      <c r="K733" t="s">
        <v>620</v>
      </c>
      <c r="L733">
        <f>COUNTIF($A$2:A733,A733)</f>
        <v>27</v>
      </c>
    </row>
    <row r="734" spans="1:12" x14ac:dyDescent="0.3">
      <c r="A734">
        <v>12509</v>
      </c>
      <c r="B734" t="s">
        <v>619</v>
      </c>
      <c r="C734" t="s">
        <v>306</v>
      </c>
      <c r="D734" t="s">
        <v>307</v>
      </c>
      <c r="E734">
        <v>197</v>
      </c>
      <c r="F734">
        <v>0</v>
      </c>
      <c r="G734">
        <v>0</v>
      </c>
      <c r="H734">
        <v>100</v>
      </c>
      <c r="I734">
        <v>0</v>
      </c>
      <c r="J734" s="1">
        <v>45928.068207245371</v>
      </c>
      <c r="K734" t="s">
        <v>620</v>
      </c>
      <c r="L734">
        <f>COUNTIF($A$2:A734,A734)</f>
        <v>28</v>
      </c>
    </row>
    <row r="735" spans="1:12" x14ac:dyDescent="0.3">
      <c r="A735">
        <v>12509</v>
      </c>
      <c r="B735" t="s">
        <v>619</v>
      </c>
      <c r="C735" t="s">
        <v>308</v>
      </c>
      <c r="D735" t="s">
        <v>309</v>
      </c>
      <c r="E735">
        <v>222</v>
      </c>
      <c r="F735">
        <v>0</v>
      </c>
      <c r="G735">
        <v>0</v>
      </c>
      <c r="H735">
        <v>100</v>
      </c>
      <c r="I735">
        <v>0</v>
      </c>
      <c r="J735" s="1">
        <v>45928.068224722221</v>
      </c>
      <c r="K735" t="s">
        <v>620</v>
      </c>
      <c r="L735">
        <f>COUNTIF($A$2:A735,A735)</f>
        <v>29</v>
      </c>
    </row>
    <row r="736" spans="1:12" x14ac:dyDescent="0.3">
      <c r="A736">
        <v>12509</v>
      </c>
      <c r="B736" t="s">
        <v>619</v>
      </c>
      <c r="C736" t="s">
        <v>310</v>
      </c>
      <c r="D736" t="s">
        <v>311</v>
      </c>
      <c r="E736">
        <v>238</v>
      </c>
      <c r="F736">
        <v>0</v>
      </c>
      <c r="G736">
        <v>0</v>
      </c>
      <c r="H736">
        <v>100</v>
      </c>
      <c r="I736">
        <v>0</v>
      </c>
      <c r="J736" s="1">
        <v>45928.068245625</v>
      </c>
      <c r="K736" t="s">
        <v>620</v>
      </c>
      <c r="L736">
        <f>COUNTIF($A$2:A736,A736)</f>
        <v>30</v>
      </c>
    </row>
    <row r="737" spans="1:12" x14ac:dyDescent="0.3">
      <c r="A737">
        <v>12509</v>
      </c>
      <c r="B737" t="s">
        <v>619</v>
      </c>
      <c r="C737" t="s">
        <v>312</v>
      </c>
      <c r="D737" t="s">
        <v>313</v>
      </c>
      <c r="E737">
        <v>241</v>
      </c>
      <c r="F737">
        <v>0</v>
      </c>
      <c r="G737">
        <v>0</v>
      </c>
      <c r="H737">
        <v>100</v>
      </c>
      <c r="I737">
        <v>0</v>
      </c>
      <c r="J737" s="1">
        <v>45928.068266111113</v>
      </c>
      <c r="K737" t="s">
        <v>620</v>
      </c>
      <c r="L737">
        <f>COUNTIF($A$2:A737,A737)</f>
        <v>31</v>
      </c>
    </row>
    <row r="738" spans="1:12" x14ac:dyDescent="0.3">
      <c r="A738">
        <v>12509</v>
      </c>
      <c r="B738" t="s">
        <v>619</v>
      </c>
      <c r="C738" t="s">
        <v>627</v>
      </c>
      <c r="D738" t="s">
        <v>628</v>
      </c>
      <c r="E738">
        <v>219</v>
      </c>
      <c r="F738">
        <v>0</v>
      </c>
      <c r="G738">
        <v>0</v>
      </c>
      <c r="H738">
        <v>100</v>
      </c>
      <c r="I738">
        <v>0</v>
      </c>
      <c r="J738" s="1">
        <v>45928.068284490742</v>
      </c>
      <c r="K738" t="s">
        <v>620</v>
      </c>
      <c r="L738">
        <f>COUNTIF($A$2:A738,A738)</f>
        <v>32</v>
      </c>
    </row>
    <row r="739" spans="1:12" x14ac:dyDescent="0.3">
      <c r="A739">
        <v>12509</v>
      </c>
      <c r="B739" t="s">
        <v>619</v>
      </c>
      <c r="C739" t="s">
        <v>629</v>
      </c>
      <c r="D739" t="s">
        <v>630</v>
      </c>
      <c r="E739">
        <v>221</v>
      </c>
      <c r="F739">
        <v>0</v>
      </c>
      <c r="G739">
        <v>0</v>
      </c>
      <c r="H739">
        <v>100</v>
      </c>
      <c r="I739">
        <v>0</v>
      </c>
      <c r="J739" s="1">
        <v>45928.06830564815</v>
      </c>
      <c r="K739" t="s">
        <v>620</v>
      </c>
      <c r="L739">
        <f>COUNTIF($A$2:A739,A739)</f>
        <v>33</v>
      </c>
    </row>
    <row r="740" spans="1:12" x14ac:dyDescent="0.3">
      <c r="A740">
        <v>12509</v>
      </c>
      <c r="B740" t="s">
        <v>619</v>
      </c>
      <c r="C740" t="s">
        <v>631</v>
      </c>
      <c r="D740" t="s">
        <v>632</v>
      </c>
      <c r="E740">
        <v>225</v>
      </c>
      <c r="F740">
        <v>0</v>
      </c>
      <c r="G740">
        <v>0</v>
      </c>
      <c r="H740">
        <v>100</v>
      </c>
      <c r="I740">
        <v>0</v>
      </c>
      <c r="J740" s="1">
        <v>45928.068325798609</v>
      </c>
      <c r="K740" t="s">
        <v>620</v>
      </c>
      <c r="L740">
        <f>COUNTIF($A$2:A740,A740)</f>
        <v>34</v>
      </c>
    </row>
    <row r="741" spans="1:12" x14ac:dyDescent="0.3">
      <c r="A741">
        <v>12509</v>
      </c>
      <c r="B741" t="s">
        <v>619</v>
      </c>
      <c r="C741" t="s">
        <v>633</v>
      </c>
      <c r="D741" t="s">
        <v>634</v>
      </c>
      <c r="E741">
        <v>232</v>
      </c>
      <c r="F741">
        <v>0</v>
      </c>
      <c r="G741">
        <v>0</v>
      </c>
      <c r="H741">
        <v>100</v>
      </c>
      <c r="I741">
        <v>0</v>
      </c>
      <c r="J741" s="1">
        <v>45928.068347604167</v>
      </c>
      <c r="K741" t="s">
        <v>620</v>
      </c>
      <c r="L741">
        <f>COUNTIF($A$2:A741,A741)</f>
        <v>35</v>
      </c>
    </row>
    <row r="742" spans="1:12" x14ac:dyDescent="0.3">
      <c r="A742">
        <v>12509</v>
      </c>
      <c r="B742" t="s">
        <v>619</v>
      </c>
      <c r="C742" t="s">
        <v>635</v>
      </c>
      <c r="D742" t="s">
        <v>636</v>
      </c>
      <c r="E742">
        <v>252</v>
      </c>
      <c r="F742">
        <v>0</v>
      </c>
      <c r="G742">
        <v>0</v>
      </c>
      <c r="H742">
        <v>100</v>
      </c>
      <c r="I742">
        <v>0</v>
      </c>
      <c r="J742" s="1">
        <v>45928.068369699075</v>
      </c>
      <c r="K742" t="s">
        <v>620</v>
      </c>
      <c r="L742">
        <f>COUNTIF($A$2:A742,A742)</f>
        <v>36</v>
      </c>
    </row>
    <row r="743" spans="1:12" x14ac:dyDescent="0.3">
      <c r="A743">
        <v>12509</v>
      </c>
      <c r="B743" t="s">
        <v>619</v>
      </c>
      <c r="C743" t="s">
        <v>637</v>
      </c>
      <c r="D743" t="s">
        <v>638</v>
      </c>
      <c r="E743">
        <v>222</v>
      </c>
      <c r="F743">
        <v>0</v>
      </c>
      <c r="G743">
        <v>0</v>
      </c>
      <c r="H743">
        <v>100</v>
      </c>
      <c r="I743">
        <v>0</v>
      </c>
      <c r="J743" s="1">
        <v>45928.068392615744</v>
      </c>
      <c r="K743" t="s">
        <v>620</v>
      </c>
      <c r="L743">
        <f>COUNTIF($A$2:A743,A743)</f>
        <v>37</v>
      </c>
    </row>
    <row r="744" spans="1:12" x14ac:dyDescent="0.3">
      <c r="A744">
        <v>12509</v>
      </c>
      <c r="B744" t="s">
        <v>619</v>
      </c>
      <c r="C744" t="s">
        <v>639</v>
      </c>
      <c r="D744" t="s">
        <v>640</v>
      </c>
      <c r="E744">
        <v>230</v>
      </c>
      <c r="F744">
        <v>0</v>
      </c>
      <c r="G744">
        <v>0</v>
      </c>
      <c r="H744">
        <v>100</v>
      </c>
      <c r="I744">
        <v>0</v>
      </c>
      <c r="J744" s="1">
        <v>45928.068412511573</v>
      </c>
      <c r="K744" t="s">
        <v>620</v>
      </c>
      <c r="L744">
        <f>COUNTIF($A$2:A744,A744)</f>
        <v>38</v>
      </c>
    </row>
    <row r="745" spans="1:12" x14ac:dyDescent="0.3">
      <c r="A745">
        <v>12509</v>
      </c>
      <c r="B745" t="s">
        <v>619</v>
      </c>
      <c r="C745" t="s">
        <v>641</v>
      </c>
      <c r="D745" t="s">
        <v>642</v>
      </c>
      <c r="E745">
        <v>248</v>
      </c>
      <c r="F745">
        <v>0</v>
      </c>
      <c r="G745">
        <v>0</v>
      </c>
      <c r="H745">
        <v>100</v>
      </c>
      <c r="I745">
        <v>0</v>
      </c>
      <c r="J745" s="1">
        <v>45928.068435474539</v>
      </c>
      <c r="K745" t="s">
        <v>620</v>
      </c>
      <c r="L745">
        <f>COUNTIF($A$2:A745,A745)</f>
        <v>39</v>
      </c>
    </row>
    <row r="746" spans="1:12" x14ac:dyDescent="0.3">
      <c r="A746">
        <v>12509</v>
      </c>
      <c r="B746" t="s">
        <v>619</v>
      </c>
      <c r="C746" t="s">
        <v>643</v>
      </c>
      <c r="D746" t="s">
        <v>644</v>
      </c>
      <c r="E746">
        <v>225</v>
      </c>
      <c r="F746">
        <v>0</v>
      </c>
      <c r="G746">
        <v>0</v>
      </c>
      <c r="H746">
        <v>100</v>
      </c>
      <c r="I746">
        <v>0</v>
      </c>
      <c r="J746" s="1">
        <v>45928.068457164351</v>
      </c>
      <c r="K746" t="s">
        <v>620</v>
      </c>
      <c r="L746">
        <f>COUNTIF($A$2:A746,A746)</f>
        <v>40</v>
      </c>
    </row>
    <row r="747" spans="1:12" x14ac:dyDescent="0.3">
      <c r="A747">
        <v>12509</v>
      </c>
      <c r="B747" t="s">
        <v>619</v>
      </c>
      <c r="C747" t="s">
        <v>645</v>
      </c>
      <c r="D747" t="s">
        <v>646</v>
      </c>
      <c r="E747">
        <v>208</v>
      </c>
      <c r="F747">
        <v>0</v>
      </c>
      <c r="G747">
        <v>8.33</v>
      </c>
      <c r="H747">
        <v>91.67</v>
      </c>
      <c r="I747">
        <v>0</v>
      </c>
      <c r="J747" s="1">
        <v>45928.068482337963</v>
      </c>
      <c r="K747" t="s">
        <v>620</v>
      </c>
      <c r="L747">
        <f>COUNTIF($A$2:A747,A747)</f>
        <v>41</v>
      </c>
    </row>
    <row r="748" spans="1:12" x14ac:dyDescent="0.3">
      <c r="A748">
        <v>12510</v>
      </c>
      <c r="B748" t="s">
        <v>647</v>
      </c>
      <c r="C748" t="s">
        <v>645</v>
      </c>
      <c r="D748" t="s">
        <v>646</v>
      </c>
      <c r="E748">
        <v>2</v>
      </c>
      <c r="F748">
        <v>100</v>
      </c>
      <c r="G748">
        <v>0</v>
      </c>
      <c r="H748">
        <v>0</v>
      </c>
      <c r="I748">
        <v>0</v>
      </c>
      <c r="J748" s="1">
        <v>45928.068572199074</v>
      </c>
      <c r="K748" t="s">
        <v>648</v>
      </c>
      <c r="L748">
        <f>COUNTIF($A$2:A748,A748)</f>
        <v>1</v>
      </c>
    </row>
    <row r="749" spans="1:12" x14ac:dyDescent="0.3">
      <c r="A749">
        <v>12510</v>
      </c>
      <c r="B749" t="s">
        <v>647</v>
      </c>
      <c r="C749" t="s">
        <v>643</v>
      </c>
      <c r="D749" t="s">
        <v>644</v>
      </c>
      <c r="E749">
        <v>0</v>
      </c>
      <c r="F749">
        <v>100</v>
      </c>
      <c r="G749">
        <v>0</v>
      </c>
      <c r="H749">
        <v>0</v>
      </c>
      <c r="I749">
        <v>0</v>
      </c>
      <c r="J749" s="1">
        <v>45928.068600243052</v>
      </c>
      <c r="K749" t="s">
        <v>648</v>
      </c>
      <c r="L749">
        <f>COUNTIF($A$2:A749,A749)</f>
        <v>2</v>
      </c>
    </row>
    <row r="750" spans="1:12" x14ac:dyDescent="0.3">
      <c r="A750">
        <v>12510</v>
      </c>
      <c r="B750" t="s">
        <v>647</v>
      </c>
      <c r="C750" t="s">
        <v>637</v>
      </c>
      <c r="D750" t="s">
        <v>638</v>
      </c>
      <c r="E750">
        <v>3</v>
      </c>
      <c r="F750">
        <v>100</v>
      </c>
      <c r="G750">
        <v>0</v>
      </c>
      <c r="H750">
        <v>0</v>
      </c>
      <c r="I750">
        <v>0</v>
      </c>
      <c r="J750" s="1">
        <v>45928.068686597224</v>
      </c>
      <c r="K750" t="s">
        <v>648</v>
      </c>
      <c r="L750">
        <f>COUNTIF($A$2:A750,A750)</f>
        <v>3</v>
      </c>
    </row>
    <row r="751" spans="1:12" x14ac:dyDescent="0.3">
      <c r="A751">
        <v>12510</v>
      </c>
      <c r="B751" t="s">
        <v>647</v>
      </c>
      <c r="C751" t="s">
        <v>641</v>
      </c>
      <c r="D751" t="s">
        <v>642</v>
      </c>
      <c r="E751">
        <v>8</v>
      </c>
      <c r="F751">
        <v>92.31</v>
      </c>
      <c r="G751">
        <v>7.69</v>
      </c>
      <c r="H751">
        <v>0</v>
      </c>
      <c r="I751">
        <v>0</v>
      </c>
      <c r="J751" s="1">
        <v>45928.068646493055</v>
      </c>
      <c r="K751" t="s">
        <v>648</v>
      </c>
      <c r="L751">
        <f>COUNTIF($A$2:A751,A751)</f>
        <v>4</v>
      </c>
    </row>
    <row r="752" spans="1:12" x14ac:dyDescent="0.3">
      <c r="A752">
        <v>12510</v>
      </c>
      <c r="B752" t="s">
        <v>647</v>
      </c>
      <c r="C752" t="s">
        <v>635</v>
      </c>
      <c r="D752" t="s">
        <v>636</v>
      </c>
      <c r="E752">
        <v>7</v>
      </c>
      <c r="F752">
        <v>92.31</v>
      </c>
      <c r="G752">
        <v>7.69</v>
      </c>
      <c r="H752">
        <v>0</v>
      </c>
      <c r="I752">
        <v>0</v>
      </c>
      <c r="J752" s="1">
        <v>45928.068735462963</v>
      </c>
      <c r="K752" t="s">
        <v>648</v>
      </c>
      <c r="L752">
        <f>COUNTIF($A$2:A752,A752)</f>
        <v>5</v>
      </c>
    </row>
    <row r="753" spans="1:12" x14ac:dyDescent="0.3">
      <c r="A753">
        <v>12510</v>
      </c>
      <c r="B753" t="s">
        <v>647</v>
      </c>
      <c r="C753" t="s">
        <v>312</v>
      </c>
      <c r="D753" t="s">
        <v>313</v>
      </c>
      <c r="E753">
        <v>8</v>
      </c>
      <c r="F753">
        <v>76.92</v>
      </c>
      <c r="G753">
        <v>23.08</v>
      </c>
      <c r="H753">
        <v>0</v>
      </c>
      <c r="I753">
        <v>0</v>
      </c>
      <c r="J753" s="1">
        <v>45928.068847893519</v>
      </c>
      <c r="K753" t="s">
        <v>648</v>
      </c>
      <c r="L753">
        <f>COUNTIF($A$2:A753,A753)</f>
        <v>6</v>
      </c>
    </row>
    <row r="754" spans="1:12" x14ac:dyDescent="0.3">
      <c r="A754">
        <v>12510</v>
      </c>
      <c r="B754" t="s">
        <v>647</v>
      </c>
      <c r="C754" t="s">
        <v>306</v>
      </c>
      <c r="D754" t="s">
        <v>307</v>
      </c>
      <c r="E754">
        <v>12</v>
      </c>
      <c r="F754">
        <v>76.92</v>
      </c>
      <c r="G754">
        <v>15.38</v>
      </c>
      <c r="H754">
        <v>7.69</v>
      </c>
      <c r="I754">
        <v>0.01</v>
      </c>
      <c r="J754" s="1">
        <v>45928.068932430557</v>
      </c>
      <c r="K754" t="s">
        <v>648</v>
      </c>
      <c r="L754">
        <f>COUNTIF($A$2:A754,A754)</f>
        <v>7</v>
      </c>
    </row>
    <row r="755" spans="1:12" x14ac:dyDescent="0.3">
      <c r="A755">
        <v>12510</v>
      </c>
      <c r="B755" t="s">
        <v>647</v>
      </c>
      <c r="C755" t="s">
        <v>310</v>
      </c>
      <c r="D755" t="s">
        <v>311</v>
      </c>
      <c r="E755">
        <v>20</v>
      </c>
      <c r="F755">
        <v>69.23</v>
      </c>
      <c r="G755">
        <v>30.77</v>
      </c>
      <c r="H755">
        <v>0</v>
      </c>
      <c r="I755">
        <v>0</v>
      </c>
      <c r="J755" s="1">
        <v>45928.068893784723</v>
      </c>
      <c r="K755" t="s">
        <v>648</v>
      </c>
      <c r="L755">
        <f>COUNTIF($A$2:A755,A755)</f>
        <v>8</v>
      </c>
    </row>
    <row r="756" spans="1:12" x14ac:dyDescent="0.3">
      <c r="A756">
        <v>12510</v>
      </c>
      <c r="B756" t="s">
        <v>647</v>
      </c>
      <c r="C756" t="s">
        <v>625</v>
      </c>
      <c r="D756" t="s">
        <v>626</v>
      </c>
      <c r="E756">
        <v>21</v>
      </c>
      <c r="F756">
        <v>69.23</v>
      </c>
      <c r="G756">
        <v>15.38</v>
      </c>
      <c r="H756">
        <v>15.38</v>
      </c>
      <c r="I756">
        <v>0.01</v>
      </c>
      <c r="J756" s="1">
        <v>45928.068953472219</v>
      </c>
      <c r="K756" t="s">
        <v>648</v>
      </c>
      <c r="L756">
        <f>COUNTIF($A$2:A756,A756)</f>
        <v>9</v>
      </c>
    </row>
    <row r="757" spans="1:12" x14ac:dyDescent="0.3">
      <c r="A757">
        <v>12510</v>
      </c>
      <c r="B757" t="s">
        <v>647</v>
      </c>
      <c r="C757" t="s">
        <v>623</v>
      </c>
      <c r="D757" t="s">
        <v>624</v>
      </c>
      <c r="E757">
        <v>19</v>
      </c>
      <c r="F757">
        <v>69.23</v>
      </c>
      <c r="G757">
        <v>15.38</v>
      </c>
      <c r="H757">
        <v>15.38</v>
      </c>
      <c r="I757">
        <v>0.01</v>
      </c>
      <c r="J757" s="1">
        <v>45928.068976331022</v>
      </c>
      <c r="K757" t="s">
        <v>648</v>
      </c>
      <c r="L757">
        <f>COUNTIF($A$2:A757,A757)</f>
        <v>10</v>
      </c>
    </row>
    <row r="758" spans="1:12" x14ac:dyDescent="0.3">
      <c r="A758">
        <v>12510</v>
      </c>
      <c r="B758" t="s">
        <v>647</v>
      </c>
      <c r="C758" t="s">
        <v>639</v>
      </c>
      <c r="D758" t="s">
        <v>640</v>
      </c>
      <c r="E758">
        <v>14</v>
      </c>
      <c r="F758">
        <v>61.54</v>
      </c>
      <c r="G758">
        <v>38.46</v>
      </c>
      <c r="H758">
        <v>0</v>
      </c>
      <c r="I758">
        <v>0</v>
      </c>
      <c r="J758" s="1">
        <v>45928.068668009262</v>
      </c>
      <c r="K758" t="s">
        <v>648</v>
      </c>
      <c r="L758">
        <f>COUNTIF($A$2:A758,A758)</f>
        <v>11</v>
      </c>
    </row>
    <row r="759" spans="1:12" x14ac:dyDescent="0.3">
      <c r="A759">
        <v>12510</v>
      </c>
      <c r="B759" t="s">
        <v>647</v>
      </c>
      <c r="C759" t="s">
        <v>304</v>
      </c>
      <c r="D759" t="s">
        <v>305</v>
      </c>
      <c r="E759">
        <v>24</v>
      </c>
      <c r="F759">
        <v>53.85</v>
      </c>
      <c r="G759">
        <v>30.77</v>
      </c>
      <c r="H759">
        <v>15.38</v>
      </c>
      <c r="I759">
        <v>0</v>
      </c>
      <c r="J759" s="1">
        <v>45928.069022476855</v>
      </c>
      <c r="K759" t="s">
        <v>648</v>
      </c>
      <c r="L759">
        <f>COUNTIF($A$2:A759,A759)</f>
        <v>12</v>
      </c>
    </row>
    <row r="760" spans="1:12" x14ac:dyDescent="0.3">
      <c r="A760">
        <v>12510</v>
      </c>
      <c r="B760" t="s">
        <v>647</v>
      </c>
      <c r="C760" t="s">
        <v>627</v>
      </c>
      <c r="D760" t="s">
        <v>628</v>
      </c>
      <c r="E760">
        <v>22</v>
      </c>
      <c r="F760">
        <v>38.46</v>
      </c>
      <c r="G760">
        <v>61.54</v>
      </c>
      <c r="H760">
        <v>0</v>
      </c>
      <c r="I760">
        <v>0</v>
      </c>
      <c r="J760" s="1">
        <v>45928.068829039352</v>
      </c>
      <c r="K760" t="s">
        <v>648</v>
      </c>
      <c r="L760">
        <f>COUNTIF($A$2:A760,A760)</f>
        <v>13</v>
      </c>
    </row>
    <row r="761" spans="1:12" x14ac:dyDescent="0.3">
      <c r="A761">
        <v>12510</v>
      </c>
      <c r="B761" t="s">
        <v>647</v>
      </c>
      <c r="C761" t="s">
        <v>308</v>
      </c>
      <c r="D761" t="s">
        <v>309</v>
      </c>
      <c r="E761">
        <v>19</v>
      </c>
      <c r="F761">
        <v>38.46</v>
      </c>
      <c r="G761">
        <v>61.54</v>
      </c>
      <c r="H761">
        <v>0</v>
      </c>
      <c r="I761">
        <v>0</v>
      </c>
      <c r="J761" s="1">
        <v>45928.068914293981</v>
      </c>
      <c r="K761" t="s">
        <v>648</v>
      </c>
      <c r="L761">
        <f>COUNTIF($A$2:A761,A761)</f>
        <v>14</v>
      </c>
    </row>
    <row r="762" spans="1:12" x14ac:dyDescent="0.3">
      <c r="A762">
        <v>12510</v>
      </c>
      <c r="B762" t="s">
        <v>647</v>
      </c>
      <c r="C762" t="s">
        <v>633</v>
      </c>
      <c r="D762" t="s">
        <v>634</v>
      </c>
      <c r="E762">
        <v>18</v>
      </c>
      <c r="F762">
        <v>30.77</v>
      </c>
      <c r="G762">
        <v>69.23</v>
      </c>
      <c r="H762">
        <v>0</v>
      </c>
      <c r="I762">
        <v>0</v>
      </c>
      <c r="J762" s="1">
        <v>45928.068761666669</v>
      </c>
      <c r="K762" t="s">
        <v>648</v>
      </c>
      <c r="L762">
        <f>COUNTIF($A$2:A762,A762)</f>
        <v>15</v>
      </c>
    </row>
    <row r="763" spans="1:12" x14ac:dyDescent="0.3">
      <c r="A763">
        <v>12510</v>
      </c>
      <c r="B763" t="s">
        <v>647</v>
      </c>
      <c r="C763" t="s">
        <v>631</v>
      </c>
      <c r="D763" t="s">
        <v>632</v>
      </c>
      <c r="E763">
        <v>21</v>
      </c>
      <c r="F763">
        <v>23.08</v>
      </c>
      <c r="G763">
        <v>76.92</v>
      </c>
      <c r="H763">
        <v>0</v>
      </c>
      <c r="I763">
        <v>0</v>
      </c>
      <c r="J763" s="1">
        <v>45928.06878332176</v>
      </c>
      <c r="K763" t="s">
        <v>648</v>
      </c>
      <c r="L763">
        <f>COUNTIF($A$2:A763,A763)</f>
        <v>16</v>
      </c>
    </row>
    <row r="764" spans="1:12" x14ac:dyDescent="0.3">
      <c r="A764">
        <v>12510</v>
      </c>
      <c r="B764" t="s">
        <v>647</v>
      </c>
      <c r="C764" t="s">
        <v>187</v>
      </c>
      <c r="D764" t="s">
        <v>188</v>
      </c>
      <c r="E764">
        <v>169</v>
      </c>
      <c r="F764">
        <v>15.38</v>
      </c>
      <c r="G764">
        <v>0</v>
      </c>
      <c r="H764">
        <v>84.62</v>
      </c>
      <c r="I764">
        <v>0</v>
      </c>
      <c r="J764" s="1">
        <v>45928.069487881941</v>
      </c>
      <c r="K764" t="s">
        <v>648</v>
      </c>
      <c r="L764">
        <f>COUNTIF($A$2:A764,A764)</f>
        <v>17</v>
      </c>
    </row>
    <row r="765" spans="1:12" x14ac:dyDescent="0.3">
      <c r="A765">
        <v>12510</v>
      </c>
      <c r="B765" t="s">
        <v>647</v>
      </c>
      <c r="C765" t="s">
        <v>629</v>
      </c>
      <c r="D765" t="s">
        <v>630</v>
      </c>
      <c r="E765">
        <v>29</v>
      </c>
      <c r="F765">
        <v>7.69</v>
      </c>
      <c r="G765">
        <v>92.31</v>
      </c>
      <c r="H765">
        <v>0</v>
      </c>
      <c r="I765">
        <v>0</v>
      </c>
      <c r="J765" s="1">
        <v>45928.068805810188</v>
      </c>
      <c r="K765" t="s">
        <v>648</v>
      </c>
      <c r="L765">
        <f>COUNTIF($A$2:A765,A765)</f>
        <v>18</v>
      </c>
    </row>
    <row r="766" spans="1:12" x14ac:dyDescent="0.3">
      <c r="A766">
        <v>12510</v>
      </c>
      <c r="B766" t="s">
        <v>647</v>
      </c>
      <c r="C766" t="s">
        <v>17</v>
      </c>
      <c r="D766" t="s">
        <v>18</v>
      </c>
      <c r="E766">
        <v>201</v>
      </c>
      <c r="F766">
        <v>7.69</v>
      </c>
      <c r="G766">
        <v>0</v>
      </c>
      <c r="H766">
        <v>92.31</v>
      </c>
      <c r="I766">
        <v>0</v>
      </c>
      <c r="J766" s="1">
        <v>45928.069395023151</v>
      </c>
      <c r="K766" t="s">
        <v>648</v>
      </c>
      <c r="L766">
        <f>COUNTIF($A$2:A766,A766)</f>
        <v>19</v>
      </c>
    </row>
    <row r="767" spans="1:12" x14ac:dyDescent="0.3">
      <c r="A767">
        <v>12510</v>
      </c>
      <c r="B767" t="s">
        <v>647</v>
      </c>
      <c r="C767" t="s">
        <v>19</v>
      </c>
      <c r="D767" t="s">
        <v>20</v>
      </c>
      <c r="E767">
        <v>187</v>
      </c>
      <c r="F767">
        <v>7.69</v>
      </c>
      <c r="G767">
        <v>7.69</v>
      </c>
      <c r="H767">
        <v>84.62</v>
      </c>
      <c r="I767">
        <v>0</v>
      </c>
      <c r="J767" s="1">
        <v>45928.069410694443</v>
      </c>
      <c r="K767" t="s">
        <v>648</v>
      </c>
      <c r="L767">
        <f>COUNTIF($A$2:A767,A767)</f>
        <v>20</v>
      </c>
    </row>
    <row r="768" spans="1:12" x14ac:dyDescent="0.3">
      <c r="A768">
        <v>12510</v>
      </c>
      <c r="B768" t="s">
        <v>647</v>
      </c>
      <c r="C768" t="s">
        <v>21</v>
      </c>
      <c r="D768" t="s">
        <v>22</v>
      </c>
      <c r="E768">
        <v>182</v>
      </c>
      <c r="F768">
        <v>7.69</v>
      </c>
      <c r="G768">
        <v>7.69</v>
      </c>
      <c r="H768">
        <v>84.62</v>
      </c>
      <c r="I768">
        <v>0</v>
      </c>
      <c r="J768" s="1">
        <v>45928.069427800925</v>
      </c>
      <c r="K768" t="s">
        <v>648</v>
      </c>
      <c r="L768">
        <f>COUNTIF($A$2:A768,A768)</f>
        <v>21</v>
      </c>
    </row>
    <row r="769" spans="1:12" x14ac:dyDescent="0.3">
      <c r="A769">
        <v>12510</v>
      </c>
      <c r="B769" t="s">
        <v>647</v>
      </c>
      <c r="C769" t="s">
        <v>192</v>
      </c>
      <c r="D769" t="s">
        <v>193</v>
      </c>
      <c r="E769">
        <v>198</v>
      </c>
      <c r="F769">
        <v>7.69</v>
      </c>
      <c r="G769">
        <v>7.69</v>
      </c>
      <c r="H769">
        <v>84.62</v>
      </c>
      <c r="I769">
        <v>0</v>
      </c>
      <c r="J769" s="1">
        <v>45928.069446354166</v>
      </c>
      <c r="K769" t="s">
        <v>648</v>
      </c>
      <c r="L769">
        <f>COUNTIF($A$2:A769,A769)</f>
        <v>22</v>
      </c>
    </row>
    <row r="770" spans="1:12" x14ac:dyDescent="0.3">
      <c r="A770">
        <v>12510</v>
      </c>
      <c r="B770" t="s">
        <v>647</v>
      </c>
      <c r="C770" t="s">
        <v>621</v>
      </c>
      <c r="D770" t="s">
        <v>622</v>
      </c>
      <c r="E770">
        <v>58</v>
      </c>
      <c r="F770">
        <v>0</v>
      </c>
      <c r="G770">
        <v>53.85</v>
      </c>
      <c r="H770">
        <v>46.15</v>
      </c>
      <c r="I770">
        <v>0</v>
      </c>
      <c r="J770" s="1">
        <v>45928.069041782408</v>
      </c>
      <c r="K770" t="s">
        <v>648</v>
      </c>
      <c r="L770">
        <f>COUNTIF($A$2:A770,A770)</f>
        <v>23</v>
      </c>
    </row>
    <row r="771" spans="1:12" x14ac:dyDescent="0.3">
      <c r="A771">
        <v>12510</v>
      </c>
      <c r="B771" t="s">
        <v>647</v>
      </c>
      <c r="C771" t="s">
        <v>117</v>
      </c>
      <c r="D771" t="s">
        <v>118</v>
      </c>
      <c r="E771">
        <v>78</v>
      </c>
      <c r="F771">
        <v>0</v>
      </c>
      <c r="G771">
        <v>46.15</v>
      </c>
      <c r="H771">
        <v>53.85</v>
      </c>
      <c r="I771">
        <v>0</v>
      </c>
      <c r="J771" s="1">
        <v>45928.069064317133</v>
      </c>
      <c r="K771" t="s">
        <v>648</v>
      </c>
      <c r="L771">
        <f>COUNTIF($A$2:A771,A771)</f>
        <v>24</v>
      </c>
    </row>
    <row r="772" spans="1:12" x14ac:dyDescent="0.3">
      <c r="A772">
        <v>12510</v>
      </c>
      <c r="B772" t="s">
        <v>647</v>
      </c>
      <c r="C772" t="s">
        <v>119</v>
      </c>
      <c r="D772" t="s">
        <v>120</v>
      </c>
      <c r="E772">
        <v>0</v>
      </c>
      <c r="F772">
        <v>0</v>
      </c>
      <c r="G772">
        <v>23.08</v>
      </c>
      <c r="H772">
        <v>76.92</v>
      </c>
      <c r="I772">
        <v>0</v>
      </c>
      <c r="J772" s="1">
        <v>45928.069092384256</v>
      </c>
      <c r="K772" t="s">
        <v>648</v>
      </c>
      <c r="L772">
        <f>COUNTIF($A$2:A772,A772)</f>
        <v>25</v>
      </c>
    </row>
    <row r="773" spans="1:12" x14ac:dyDescent="0.3">
      <c r="A773">
        <v>12510</v>
      </c>
      <c r="B773" t="s">
        <v>647</v>
      </c>
      <c r="C773" t="s">
        <v>121</v>
      </c>
      <c r="D773" t="s">
        <v>122</v>
      </c>
      <c r="E773">
        <v>97</v>
      </c>
      <c r="F773">
        <v>0</v>
      </c>
      <c r="G773">
        <v>23.08</v>
      </c>
      <c r="H773">
        <v>76.92</v>
      </c>
      <c r="I773">
        <v>0</v>
      </c>
      <c r="J773" s="1">
        <v>45928.069116701387</v>
      </c>
      <c r="K773" t="s">
        <v>648</v>
      </c>
      <c r="L773">
        <f>COUNTIF($A$2:A773,A773)</f>
        <v>26</v>
      </c>
    </row>
    <row r="774" spans="1:12" x14ac:dyDescent="0.3">
      <c r="A774">
        <v>12510</v>
      </c>
      <c r="B774" t="s">
        <v>647</v>
      </c>
      <c r="C774" t="s">
        <v>123</v>
      </c>
      <c r="D774" t="s">
        <v>124</v>
      </c>
      <c r="E774">
        <v>97</v>
      </c>
      <c r="F774">
        <v>0</v>
      </c>
      <c r="G774">
        <v>23.08</v>
      </c>
      <c r="H774">
        <v>76.92</v>
      </c>
      <c r="I774">
        <v>0</v>
      </c>
      <c r="J774" s="1">
        <v>45928.069137442129</v>
      </c>
      <c r="K774" t="s">
        <v>648</v>
      </c>
      <c r="L774">
        <f>COUNTIF($A$2:A774,A774)</f>
        <v>27</v>
      </c>
    </row>
    <row r="775" spans="1:12" x14ac:dyDescent="0.3">
      <c r="A775">
        <v>12510</v>
      </c>
      <c r="B775" t="s">
        <v>647</v>
      </c>
      <c r="C775" t="s">
        <v>125</v>
      </c>
      <c r="D775" t="s">
        <v>126</v>
      </c>
      <c r="E775">
        <v>131</v>
      </c>
      <c r="F775">
        <v>0</v>
      </c>
      <c r="G775">
        <v>15.38</v>
      </c>
      <c r="H775">
        <v>84.62</v>
      </c>
      <c r="I775">
        <v>0</v>
      </c>
      <c r="J775" s="1">
        <v>45928.069157094906</v>
      </c>
      <c r="K775" t="s">
        <v>648</v>
      </c>
      <c r="L775">
        <f>COUNTIF($A$2:A775,A775)</f>
        <v>28</v>
      </c>
    </row>
    <row r="776" spans="1:12" x14ac:dyDescent="0.3">
      <c r="A776">
        <v>12510</v>
      </c>
      <c r="B776" t="s">
        <v>647</v>
      </c>
      <c r="C776" t="s">
        <v>127</v>
      </c>
      <c r="D776" t="s">
        <v>128</v>
      </c>
      <c r="E776">
        <v>124</v>
      </c>
      <c r="F776">
        <v>0</v>
      </c>
      <c r="G776">
        <v>7.69</v>
      </c>
      <c r="H776">
        <v>92.31</v>
      </c>
      <c r="I776">
        <v>0</v>
      </c>
      <c r="J776" s="1">
        <v>45928.069178726852</v>
      </c>
      <c r="K776" t="s">
        <v>648</v>
      </c>
      <c r="L776">
        <f>COUNTIF($A$2:A776,A776)</f>
        <v>29</v>
      </c>
    </row>
    <row r="777" spans="1:12" x14ac:dyDescent="0.3">
      <c r="A777">
        <v>12510</v>
      </c>
      <c r="B777" t="s">
        <v>647</v>
      </c>
      <c r="C777" t="s">
        <v>129</v>
      </c>
      <c r="D777" t="s">
        <v>130</v>
      </c>
      <c r="E777">
        <v>119</v>
      </c>
      <c r="F777">
        <v>0</v>
      </c>
      <c r="G777">
        <v>15.38</v>
      </c>
      <c r="H777">
        <v>84.62</v>
      </c>
      <c r="I777">
        <v>0</v>
      </c>
      <c r="J777" s="1">
        <v>45928.0692016088</v>
      </c>
      <c r="K777" t="s">
        <v>648</v>
      </c>
      <c r="L777">
        <f>COUNTIF($A$2:A777,A777)</f>
        <v>30</v>
      </c>
    </row>
    <row r="778" spans="1:12" x14ac:dyDescent="0.3">
      <c r="A778">
        <v>12510</v>
      </c>
      <c r="B778" t="s">
        <v>647</v>
      </c>
      <c r="C778" t="s">
        <v>131</v>
      </c>
      <c r="D778" t="s">
        <v>132</v>
      </c>
      <c r="E778">
        <v>126</v>
      </c>
      <c r="F778">
        <v>0</v>
      </c>
      <c r="G778">
        <v>7.69</v>
      </c>
      <c r="H778">
        <v>92.31</v>
      </c>
      <c r="I778">
        <v>0</v>
      </c>
      <c r="J778" s="1">
        <v>45928.069225474537</v>
      </c>
      <c r="K778" t="s">
        <v>648</v>
      </c>
      <c r="L778">
        <f>COUNTIF($A$2:A778,A778)</f>
        <v>31</v>
      </c>
    </row>
    <row r="779" spans="1:12" x14ac:dyDescent="0.3">
      <c r="A779">
        <v>12510</v>
      </c>
      <c r="B779" t="s">
        <v>647</v>
      </c>
      <c r="C779" t="s">
        <v>135</v>
      </c>
      <c r="D779" t="s">
        <v>136</v>
      </c>
      <c r="E779">
        <v>123</v>
      </c>
      <c r="F779">
        <v>0</v>
      </c>
      <c r="G779">
        <v>7.69</v>
      </c>
      <c r="H779">
        <v>92.31</v>
      </c>
      <c r="I779">
        <v>0</v>
      </c>
      <c r="J779" s="1">
        <v>45928.069246909719</v>
      </c>
      <c r="K779" t="s">
        <v>648</v>
      </c>
      <c r="L779">
        <f>COUNTIF($A$2:A779,A779)</f>
        <v>32</v>
      </c>
    </row>
    <row r="780" spans="1:12" x14ac:dyDescent="0.3">
      <c r="A780">
        <v>12510</v>
      </c>
      <c r="B780" t="s">
        <v>647</v>
      </c>
      <c r="C780" t="s">
        <v>141</v>
      </c>
      <c r="D780" t="s">
        <v>142</v>
      </c>
      <c r="E780">
        <v>110</v>
      </c>
      <c r="F780">
        <v>0</v>
      </c>
      <c r="G780">
        <v>15.38</v>
      </c>
      <c r="H780">
        <v>84.62</v>
      </c>
      <c r="I780">
        <v>0</v>
      </c>
      <c r="J780" s="1">
        <v>45928.069266527775</v>
      </c>
      <c r="K780" t="s">
        <v>648</v>
      </c>
      <c r="L780">
        <f>COUNTIF($A$2:A780,A780)</f>
        <v>33</v>
      </c>
    </row>
    <row r="781" spans="1:12" x14ac:dyDescent="0.3">
      <c r="A781">
        <v>12510</v>
      </c>
      <c r="B781" t="s">
        <v>647</v>
      </c>
      <c r="C781" t="s">
        <v>145</v>
      </c>
      <c r="D781" t="s">
        <v>146</v>
      </c>
      <c r="E781">
        <v>112</v>
      </c>
      <c r="F781">
        <v>0</v>
      </c>
      <c r="G781">
        <v>15.38</v>
      </c>
      <c r="H781">
        <v>84.62</v>
      </c>
      <c r="I781">
        <v>0</v>
      </c>
      <c r="J781" s="1">
        <v>45928.069286863429</v>
      </c>
      <c r="K781" t="s">
        <v>648</v>
      </c>
      <c r="L781">
        <f>COUNTIF($A$2:A781,A781)</f>
        <v>34</v>
      </c>
    </row>
    <row r="782" spans="1:12" x14ac:dyDescent="0.3">
      <c r="A782">
        <v>12510</v>
      </c>
      <c r="B782" t="s">
        <v>647</v>
      </c>
      <c r="C782" t="s">
        <v>149</v>
      </c>
      <c r="D782" t="s">
        <v>150</v>
      </c>
      <c r="E782">
        <v>124</v>
      </c>
      <c r="F782">
        <v>0</v>
      </c>
      <c r="G782">
        <v>7.69</v>
      </c>
      <c r="H782">
        <v>92.31</v>
      </c>
      <c r="I782">
        <v>0</v>
      </c>
      <c r="J782" s="1">
        <v>45928.06930599537</v>
      </c>
      <c r="K782" t="s">
        <v>648</v>
      </c>
      <c r="L782">
        <f>COUNTIF($A$2:A782,A782)</f>
        <v>35</v>
      </c>
    </row>
    <row r="783" spans="1:12" x14ac:dyDescent="0.3">
      <c r="A783">
        <v>12510</v>
      </c>
      <c r="B783" t="s">
        <v>647</v>
      </c>
      <c r="C783" t="s">
        <v>151</v>
      </c>
      <c r="D783" t="s">
        <v>152</v>
      </c>
      <c r="E783">
        <v>133</v>
      </c>
      <c r="F783">
        <v>0</v>
      </c>
      <c r="G783">
        <v>15.38</v>
      </c>
      <c r="H783">
        <v>84.62</v>
      </c>
      <c r="I783">
        <v>0</v>
      </c>
      <c r="J783" s="1">
        <v>45928.069322766205</v>
      </c>
      <c r="K783" t="s">
        <v>648</v>
      </c>
      <c r="L783">
        <f>COUNTIF($A$2:A783,A783)</f>
        <v>36</v>
      </c>
    </row>
    <row r="784" spans="1:12" x14ac:dyDescent="0.3">
      <c r="A784">
        <v>12510</v>
      </c>
      <c r="B784" t="s">
        <v>647</v>
      </c>
      <c r="C784" t="s">
        <v>160</v>
      </c>
      <c r="D784" t="s">
        <v>161</v>
      </c>
      <c r="E784">
        <v>161</v>
      </c>
      <c r="F784">
        <v>0</v>
      </c>
      <c r="G784">
        <v>15.38</v>
      </c>
      <c r="H784">
        <v>84.62</v>
      </c>
      <c r="I784">
        <v>0</v>
      </c>
      <c r="J784" s="1">
        <v>45928.069338321759</v>
      </c>
      <c r="K784" t="s">
        <v>648</v>
      </c>
      <c r="L784">
        <f>COUNTIF($A$2:A784,A784)</f>
        <v>37</v>
      </c>
    </row>
    <row r="785" spans="1:12" x14ac:dyDescent="0.3">
      <c r="A785">
        <v>12510</v>
      </c>
      <c r="B785" t="s">
        <v>647</v>
      </c>
      <c r="C785" t="s">
        <v>88</v>
      </c>
      <c r="D785" t="s">
        <v>89</v>
      </c>
      <c r="E785">
        <v>158</v>
      </c>
      <c r="F785">
        <v>0</v>
      </c>
      <c r="G785">
        <v>15.38</v>
      </c>
      <c r="H785">
        <v>84.62</v>
      </c>
      <c r="I785">
        <v>0</v>
      </c>
      <c r="J785" s="1">
        <v>45928.06935795139</v>
      </c>
      <c r="K785" t="s">
        <v>648</v>
      </c>
      <c r="L785">
        <f>COUNTIF($A$2:A785,A785)</f>
        <v>38</v>
      </c>
    </row>
    <row r="786" spans="1:12" x14ac:dyDescent="0.3">
      <c r="A786">
        <v>12510</v>
      </c>
      <c r="B786" t="s">
        <v>647</v>
      </c>
      <c r="C786" t="s">
        <v>34</v>
      </c>
      <c r="D786" t="s">
        <v>35</v>
      </c>
      <c r="E786">
        <v>200</v>
      </c>
      <c r="F786">
        <v>0</v>
      </c>
      <c r="G786">
        <v>7.69</v>
      </c>
      <c r="H786">
        <v>92.31</v>
      </c>
      <c r="I786">
        <v>0</v>
      </c>
      <c r="J786" s="1">
        <v>45928.069378460648</v>
      </c>
      <c r="K786" t="s">
        <v>648</v>
      </c>
      <c r="L786">
        <f>COUNTIF($A$2:A786,A786)</f>
        <v>39</v>
      </c>
    </row>
    <row r="787" spans="1:12" x14ac:dyDescent="0.3">
      <c r="A787">
        <v>12510</v>
      </c>
      <c r="B787" t="s">
        <v>647</v>
      </c>
      <c r="C787" t="s">
        <v>190</v>
      </c>
      <c r="D787" t="s">
        <v>191</v>
      </c>
      <c r="E787">
        <v>208</v>
      </c>
      <c r="F787">
        <v>0</v>
      </c>
      <c r="G787">
        <v>15.38</v>
      </c>
      <c r="H787">
        <v>84.62</v>
      </c>
      <c r="I787">
        <v>0</v>
      </c>
      <c r="J787" s="1">
        <v>45928.069470104165</v>
      </c>
      <c r="K787" t="s">
        <v>648</v>
      </c>
      <c r="L787">
        <f>COUNTIF($A$2:A787,A787)</f>
        <v>40</v>
      </c>
    </row>
    <row r="788" spans="1:12" x14ac:dyDescent="0.3">
      <c r="A788">
        <v>12621</v>
      </c>
      <c r="B788" t="s">
        <v>86</v>
      </c>
      <c r="C788" t="s">
        <v>12</v>
      </c>
      <c r="D788" t="s">
        <v>13</v>
      </c>
      <c r="E788">
        <v>0</v>
      </c>
      <c r="F788">
        <v>96.99</v>
      </c>
      <c r="G788">
        <v>2.74</v>
      </c>
      <c r="H788">
        <v>0.27</v>
      </c>
      <c r="I788">
        <v>0</v>
      </c>
      <c r="J788" s="1">
        <v>45927.750821944443</v>
      </c>
      <c r="K788" t="s">
        <v>87</v>
      </c>
      <c r="L788">
        <f>COUNTIF($A$2:A788,A788)</f>
        <v>1</v>
      </c>
    </row>
    <row r="789" spans="1:12" x14ac:dyDescent="0.3">
      <c r="A789">
        <v>12621</v>
      </c>
      <c r="B789" t="s">
        <v>86</v>
      </c>
      <c r="C789" t="s">
        <v>98</v>
      </c>
      <c r="D789" t="s">
        <v>99</v>
      </c>
      <c r="E789">
        <v>29</v>
      </c>
      <c r="F789">
        <v>67.95</v>
      </c>
      <c r="G789">
        <v>20.27</v>
      </c>
      <c r="H789">
        <v>11.78</v>
      </c>
      <c r="I789">
        <v>0</v>
      </c>
      <c r="J789" s="1">
        <v>45927.750975949071</v>
      </c>
      <c r="K789" t="s">
        <v>87</v>
      </c>
      <c r="L789">
        <f>COUNTIF($A$2:A789,A789)</f>
        <v>2</v>
      </c>
    </row>
    <row r="790" spans="1:12" x14ac:dyDescent="0.3">
      <c r="A790">
        <v>12621</v>
      </c>
      <c r="B790" t="s">
        <v>86</v>
      </c>
      <c r="C790" t="s">
        <v>100</v>
      </c>
      <c r="D790" t="s">
        <v>101</v>
      </c>
      <c r="E790">
        <v>0</v>
      </c>
      <c r="F790">
        <v>67.400000000000006</v>
      </c>
      <c r="G790">
        <v>20.82</v>
      </c>
      <c r="H790">
        <v>11.78</v>
      </c>
      <c r="I790">
        <v>0</v>
      </c>
      <c r="J790" s="1">
        <v>45927.751015613423</v>
      </c>
      <c r="K790" t="s">
        <v>87</v>
      </c>
      <c r="L790">
        <f>COUNTIF($A$2:A790,A790)</f>
        <v>3</v>
      </c>
    </row>
    <row r="791" spans="1:12" x14ac:dyDescent="0.3">
      <c r="A791">
        <v>12621</v>
      </c>
      <c r="B791" t="s">
        <v>86</v>
      </c>
      <c r="C791" t="s">
        <v>90</v>
      </c>
      <c r="D791" t="s">
        <v>91</v>
      </c>
      <c r="E791">
        <v>17</v>
      </c>
      <c r="F791">
        <v>62.47</v>
      </c>
      <c r="G791">
        <v>33.42</v>
      </c>
      <c r="H791">
        <v>3.29</v>
      </c>
      <c r="I791">
        <v>0.82</v>
      </c>
      <c r="J791" s="1">
        <v>45927.750865590278</v>
      </c>
      <c r="K791" t="s">
        <v>87</v>
      </c>
      <c r="L791">
        <f>COUNTIF($A$2:A791,A791)</f>
        <v>4</v>
      </c>
    </row>
    <row r="792" spans="1:12" x14ac:dyDescent="0.3">
      <c r="A792">
        <v>12621</v>
      </c>
      <c r="B792" t="s">
        <v>86</v>
      </c>
      <c r="C792" t="s">
        <v>88</v>
      </c>
      <c r="D792" t="s">
        <v>89</v>
      </c>
      <c r="E792">
        <v>17</v>
      </c>
      <c r="F792">
        <v>59.18</v>
      </c>
      <c r="G792">
        <v>37.26</v>
      </c>
      <c r="H792">
        <v>3.01</v>
      </c>
      <c r="I792">
        <v>0.55000000000000004</v>
      </c>
      <c r="J792" s="1">
        <v>45927.750841701389</v>
      </c>
      <c r="K792" t="s">
        <v>87</v>
      </c>
      <c r="L792">
        <f>COUNTIF($A$2:A792,A792)</f>
        <v>5</v>
      </c>
    </row>
    <row r="793" spans="1:12" x14ac:dyDescent="0.3">
      <c r="A793">
        <v>12621</v>
      </c>
      <c r="B793" t="s">
        <v>86</v>
      </c>
      <c r="C793" t="s">
        <v>94</v>
      </c>
      <c r="D793" t="s">
        <v>95</v>
      </c>
      <c r="E793">
        <v>22</v>
      </c>
      <c r="F793">
        <v>53.97</v>
      </c>
      <c r="G793">
        <v>38.9</v>
      </c>
      <c r="H793">
        <v>6.3</v>
      </c>
      <c r="I793">
        <v>0.83</v>
      </c>
      <c r="J793" s="1">
        <v>45927.750909675924</v>
      </c>
      <c r="K793" t="s">
        <v>87</v>
      </c>
      <c r="L793">
        <f>COUNTIF($A$2:A793,A793)</f>
        <v>6</v>
      </c>
    </row>
    <row r="794" spans="1:12" x14ac:dyDescent="0.3">
      <c r="A794">
        <v>12621</v>
      </c>
      <c r="B794" t="s">
        <v>86</v>
      </c>
      <c r="C794" t="s">
        <v>102</v>
      </c>
      <c r="D794" t="s">
        <v>103</v>
      </c>
      <c r="E794">
        <v>34</v>
      </c>
      <c r="F794">
        <v>51.78</v>
      </c>
      <c r="G794">
        <v>36.99</v>
      </c>
      <c r="H794">
        <v>11.23</v>
      </c>
      <c r="I794">
        <v>0</v>
      </c>
      <c r="J794" s="1">
        <v>45927.751063321761</v>
      </c>
      <c r="K794" t="s">
        <v>87</v>
      </c>
      <c r="L794">
        <f>COUNTIF($A$2:A794,A794)</f>
        <v>7</v>
      </c>
    </row>
    <row r="795" spans="1:12" x14ac:dyDescent="0.3">
      <c r="A795">
        <v>12621</v>
      </c>
      <c r="B795" t="s">
        <v>86</v>
      </c>
      <c r="C795" t="s">
        <v>108</v>
      </c>
      <c r="D795" t="s">
        <v>109</v>
      </c>
      <c r="E795">
        <v>53</v>
      </c>
      <c r="F795">
        <v>47.95</v>
      </c>
      <c r="G795">
        <v>33.42</v>
      </c>
      <c r="H795">
        <v>18.63</v>
      </c>
      <c r="I795">
        <v>0</v>
      </c>
      <c r="J795" s="1">
        <v>45927.751211574076</v>
      </c>
      <c r="K795" t="s">
        <v>87</v>
      </c>
      <c r="L795">
        <f>COUNTIF($A$2:A795,A795)</f>
        <v>8</v>
      </c>
    </row>
    <row r="796" spans="1:12" x14ac:dyDescent="0.3">
      <c r="A796">
        <v>12621</v>
      </c>
      <c r="B796" t="s">
        <v>86</v>
      </c>
      <c r="C796" t="s">
        <v>110</v>
      </c>
      <c r="D796" t="s">
        <v>111</v>
      </c>
      <c r="E796">
        <v>54</v>
      </c>
      <c r="F796">
        <v>44.93</v>
      </c>
      <c r="G796">
        <v>35.89</v>
      </c>
      <c r="H796">
        <v>19.18</v>
      </c>
      <c r="I796">
        <v>0</v>
      </c>
      <c r="J796" s="1">
        <v>45927.751232569448</v>
      </c>
      <c r="K796" t="s">
        <v>87</v>
      </c>
      <c r="L796">
        <f>COUNTIF($A$2:A796,A796)</f>
        <v>9</v>
      </c>
    </row>
    <row r="797" spans="1:12" x14ac:dyDescent="0.3">
      <c r="A797">
        <v>12621</v>
      </c>
      <c r="B797" t="s">
        <v>86</v>
      </c>
      <c r="C797" t="s">
        <v>106</v>
      </c>
      <c r="D797" t="s">
        <v>107</v>
      </c>
      <c r="E797">
        <v>49</v>
      </c>
      <c r="F797">
        <v>43.01</v>
      </c>
      <c r="G797">
        <v>37.26</v>
      </c>
      <c r="H797">
        <v>19.73</v>
      </c>
      <c r="I797">
        <v>0</v>
      </c>
      <c r="J797" s="1">
        <v>45927.751161388886</v>
      </c>
      <c r="K797" t="s">
        <v>87</v>
      </c>
      <c r="L797">
        <f>COUNTIF($A$2:A797,A797)</f>
        <v>10</v>
      </c>
    </row>
    <row r="798" spans="1:12" x14ac:dyDescent="0.3">
      <c r="A798">
        <v>12621</v>
      </c>
      <c r="B798" t="s">
        <v>86</v>
      </c>
      <c r="C798" t="s">
        <v>92</v>
      </c>
      <c r="D798" t="s">
        <v>93</v>
      </c>
      <c r="E798">
        <v>28</v>
      </c>
      <c r="F798">
        <v>32.6</v>
      </c>
      <c r="G798">
        <v>61.64</v>
      </c>
      <c r="H798">
        <v>4.93</v>
      </c>
      <c r="I798">
        <v>0.83</v>
      </c>
      <c r="J798" s="1">
        <v>45927.750887303242</v>
      </c>
      <c r="K798" t="s">
        <v>87</v>
      </c>
      <c r="L798">
        <f>COUNTIF($A$2:A798,A798)</f>
        <v>11</v>
      </c>
    </row>
    <row r="799" spans="1:12" x14ac:dyDescent="0.3">
      <c r="A799">
        <v>12621</v>
      </c>
      <c r="B799" t="s">
        <v>86</v>
      </c>
      <c r="C799" t="s">
        <v>96</v>
      </c>
      <c r="D799" t="s">
        <v>97</v>
      </c>
      <c r="E799">
        <v>37</v>
      </c>
      <c r="F799">
        <v>26.58</v>
      </c>
      <c r="G799">
        <v>63.29</v>
      </c>
      <c r="H799">
        <v>9.59</v>
      </c>
      <c r="I799">
        <v>0.54</v>
      </c>
      <c r="J799" s="1">
        <v>45927.750932175928</v>
      </c>
      <c r="K799" t="s">
        <v>87</v>
      </c>
      <c r="L799">
        <f>COUNTIF($A$2:A799,A799)</f>
        <v>12</v>
      </c>
    </row>
    <row r="800" spans="1:12" x14ac:dyDescent="0.3">
      <c r="A800">
        <v>12621</v>
      </c>
      <c r="B800" t="s">
        <v>86</v>
      </c>
      <c r="C800" t="s">
        <v>104</v>
      </c>
      <c r="D800" t="s">
        <v>105</v>
      </c>
      <c r="E800">
        <v>51</v>
      </c>
      <c r="F800">
        <v>15.07</v>
      </c>
      <c r="G800">
        <v>66.3</v>
      </c>
      <c r="H800">
        <v>18.63</v>
      </c>
      <c r="I800">
        <v>0</v>
      </c>
      <c r="J800" s="1">
        <v>45927.751112986109</v>
      </c>
      <c r="K800" t="s">
        <v>87</v>
      </c>
      <c r="L800">
        <f>COUNTIF($A$2:A800,A800)</f>
        <v>13</v>
      </c>
    </row>
    <row r="801" spans="1:12" x14ac:dyDescent="0.3">
      <c r="A801">
        <v>12622</v>
      </c>
      <c r="B801" t="s">
        <v>86</v>
      </c>
      <c r="C801" t="s">
        <v>110</v>
      </c>
      <c r="D801" t="s">
        <v>111</v>
      </c>
      <c r="E801">
        <v>16</v>
      </c>
      <c r="F801">
        <v>93.97</v>
      </c>
      <c r="G801">
        <v>1.37</v>
      </c>
      <c r="H801">
        <v>4.66</v>
      </c>
      <c r="I801">
        <v>0</v>
      </c>
      <c r="J801" s="1">
        <v>45927.751299560186</v>
      </c>
      <c r="K801" t="s">
        <v>112</v>
      </c>
      <c r="L801">
        <f>COUNTIF($A$2:A801,A801)</f>
        <v>1</v>
      </c>
    </row>
    <row r="802" spans="1:12" x14ac:dyDescent="0.3">
      <c r="A802">
        <v>12622</v>
      </c>
      <c r="B802" t="s">
        <v>86</v>
      </c>
      <c r="C802" t="s">
        <v>12</v>
      </c>
      <c r="D802" t="s">
        <v>13</v>
      </c>
      <c r="E802">
        <v>36</v>
      </c>
      <c r="F802">
        <v>79.45</v>
      </c>
      <c r="G802">
        <v>7.4</v>
      </c>
      <c r="H802">
        <v>13.15</v>
      </c>
      <c r="I802">
        <v>0</v>
      </c>
      <c r="J802" s="1">
        <v>45927.751664490737</v>
      </c>
      <c r="K802" t="s">
        <v>112</v>
      </c>
      <c r="L802">
        <f>COUNTIF($A$2:A802,A802)</f>
        <v>2</v>
      </c>
    </row>
    <row r="803" spans="1:12" x14ac:dyDescent="0.3">
      <c r="A803">
        <v>12622</v>
      </c>
      <c r="B803" t="s">
        <v>86</v>
      </c>
      <c r="C803" t="s">
        <v>98</v>
      </c>
      <c r="D803" t="s">
        <v>99</v>
      </c>
      <c r="E803">
        <v>35</v>
      </c>
      <c r="F803">
        <v>78.36</v>
      </c>
      <c r="G803">
        <v>7.95</v>
      </c>
      <c r="H803">
        <v>13.7</v>
      </c>
      <c r="I803">
        <v>0</v>
      </c>
      <c r="J803" s="1">
        <v>45927.751484074077</v>
      </c>
      <c r="K803" t="s">
        <v>112</v>
      </c>
      <c r="L803">
        <f>COUNTIF($A$2:A803,A803)</f>
        <v>3</v>
      </c>
    </row>
    <row r="804" spans="1:12" x14ac:dyDescent="0.3">
      <c r="A804">
        <v>12622</v>
      </c>
      <c r="B804" t="s">
        <v>86</v>
      </c>
      <c r="C804" t="s">
        <v>94</v>
      </c>
      <c r="D804" t="s">
        <v>95</v>
      </c>
      <c r="E804">
        <v>46</v>
      </c>
      <c r="F804">
        <v>61.92</v>
      </c>
      <c r="G804">
        <v>22.19</v>
      </c>
      <c r="H804">
        <v>15.62</v>
      </c>
      <c r="I804">
        <v>0.27</v>
      </c>
      <c r="J804" s="1">
        <v>45927.751553275462</v>
      </c>
      <c r="K804" t="s">
        <v>112</v>
      </c>
      <c r="L804">
        <f>COUNTIF($A$2:A804,A804)</f>
        <v>4</v>
      </c>
    </row>
    <row r="805" spans="1:12" x14ac:dyDescent="0.3">
      <c r="A805">
        <v>12622</v>
      </c>
      <c r="B805" t="s">
        <v>86</v>
      </c>
      <c r="C805" t="s">
        <v>104</v>
      </c>
      <c r="D805" t="s">
        <v>105</v>
      </c>
      <c r="E805">
        <v>31</v>
      </c>
      <c r="F805">
        <v>61.64</v>
      </c>
      <c r="G805">
        <v>29.04</v>
      </c>
      <c r="H805">
        <v>9.32</v>
      </c>
      <c r="I805">
        <v>0</v>
      </c>
      <c r="J805" s="1">
        <v>45927.751369178244</v>
      </c>
      <c r="K805" t="s">
        <v>112</v>
      </c>
      <c r="L805">
        <f>COUNTIF($A$2:A805,A805)</f>
        <v>5</v>
      </c>
    </row>
    <row r="806" spans="1:12" x14ac:dyDescent="0.3">
      <c r="A806">
        <v>12622</v>
      </c>
      <c r="B806" t="s">
        <v>86</v>
      </c>
      <c r="C806" t="s">
        <v>100</v>
      </c>
      <c r="D806" t="s">
        <v>101</v>
      </c>
      <c r="E806">
        <v>39</v>
      </c>
      <c r="F806">
        <v>59.18</v>
      </c>
      <c r="G806">
        <v>27.4</v>
      </c>
      <c r="H806">
        <v>13.42</v>
      </c>
      <c r="I806">
        <v>0</v>
      </c>
      <c r="J806" s="1">
        <v>45927.751436226848</v>
      </c>
      <c r="K806" t="s">
        <v>112</v>
      </c>
      <c r="L806">
        <f>COUNTIF($A$2:A806,A806)</f>
        <v>6</v>
      </c>
    </row>
    <row r="807" spans="1:12" x14ac:dyDescent="0.3">
      <c r="A807">
        <v>12622</v>
      </c>
      <c r="B807" t="s">
        <v>86</v>
      </c>
      <c r="C807" t="s">
        <v>96</v>
      </c>
      <c r="D807" t="s">
        <v>97</v>
      </c>
      <c r="E807">
        <v>45</v>
      </c>
      <c r="F807">
        <v>58.36</v>
      </c>
      <c r="G807">
        <v>28.22</v>
      </c>
      <c r="H807">
        <v>13.42</v>
      </c>
      <c r="I807">
        <v>0</v>
      </c>
      <c r="J807" s="1">
        <v>45927.751533263887</v>
      </c>
      <c r="K807" t="s">
        <v>112</v>
      </c>
      <c r="L807">
        <f>COUNTIF($A$2:A807,A807)</f>
        <v>7</v>
      </c>
    </row>
    <row r="808" spans="1:12" x14ac:dyDescent="0.3">
      <c r="A808">
        <v>12622</v>
      </c>
      <c r="B808" t="s">
        <v>86</v>
      </c>
      <c r="C808" t="s">
        <v>102</v>
      </c>
      <c r="D808" t="s">
        <v>103</v>
      </c>
      <c r="E808">
        <v>37</v>
      </c>
      <c r="F808">
        <v>53.42</v>
      </c>
      <c r="G808">
        <v>36.71</v>
      </c>
      <c r="H808">
        <v>9.86</v>
      </c>
      <c r="I808">
        <v>0.01</v>
      </c>
      <c r="J808" s="1">
        <v>45927.751389282406</v>
      </c>
      <c r="K808" t="s">
        <v>112</v>
      </c>
      <c r="L808">
        <f>COUNTIF($A$2:A808,A808)</f>
        <v>8</v>
      </c>
    </row>
    <row r="809" spans="1:12" x14ac:dyDescent="0.3">
      <c r="A809">
        <v>12622</v>
      </c>
      <c r="B809" t="s">
        <v>86</v>
      </c>
      <c r="C809" t="s">
        <v>88</v>
      </c>
      <c r="D809" t="s">
        <v>89</v>
      </c>
      <c r="E809">
        <v>67</v>
      </c>
      <c r="F809">
        <v>25.75</v>
      </c>
      <c r="G809">
        <v>53.15</v>
      </c>
      <c r="H809">
        <v>21.1</v>
      </c>
      <c r="I809">
        <v>0</v>
      </c>
      <c r="J809" s="1">
        <v>45927.751619803239</v>
      </c>
      <c r="K809" t="s">
        <v>112</v>
      </c>
      <c r="L809">
        <f>COUNTIF($A$2:A809,A809)</f>
        <v>9</v>
      </c>
    </row>
    <row r="810" spans="1:12" x14ac:dyDescent="0.3">
      <c r="A810">
        <v>12622</v>
      </c>
      <c r="B810" t="s">
        <v>86</v>
      </c>
      <c r="C810" t="s">
        <v>106</v>
      </c>
      <c r="D810" t="s">
        <v>107</v>
      </c>
      <c r="E810">
        <v>37</v>
      </c>
      <c r="F810">
        <v>25.21</v>
      </c>
      <c r="G810">
        <v>67.400000000000006</v>
      </c>
      <c r="H810">
        <v>7.4</v>
      </c>
      <c r="I810">
        <v>0</v>
      </c>
      <c r="J810" s="1">
        <v>45927.75134815972</v>
      </c>
      <c r="K810" t="s">
        <v>112</v>
      </c>
      <c r="L810">
        <f>COUNTIF($A$2:A810,A810)</f>
        <v>10</v>
      </c>
    </row>
    <row r="811" spans="1:12" x14ac:dyDescent="0.3">
      <c r="A811">
        <v>12622</v>
      </c>
      <c r="B811" t="s">
        <v>86</v>
      </c>
      <c r="C811" t="s">
        <v>92</v>
      </c>
      <c r="D811" t="s">
        <v>93</v>
      </c>
      <c r="E811">
        <v>64</v>
      </c>
      <c r="F811">
        <v>23.56</v>
      </c>
      <c r="G811">
        <v>55.07</v>
      </c>
      <c r="H811">
        <v>21.1</v>
      </c>
      <c r="I811">
        <v>0.27</v>
      </c>
      <c r="J811" s="1">
        <v>45927.751576921299</v>
      </c>
      <c r="K811" t="s">
        <v>112</v>
      </c>
      <c r="L811">
        <f>COUNTIF($A$2:A811,A811)</f>
        <v>11</v>
      </c>
    </row>
    <row r="812" spans="1:12" x14ac:dyDescent="0.3">
      <c r="A812">
        <v>12622</v>
      </c>
      <c r="B812" t="s">
        <v>86</v>
      </c>
      <c r="C812" t="s">
        <v>90</v>
      </c>
      <c r="D812" t="s">
        <v>91</v>
      </c>
      <c r="E812">
        <v>82</v>
      </c>
      <c r="F812">
        <v>5.75</v>
      </c>
      <c r="G812">
        <v>59.73</v>
      </c>
      <c r="H812">
        <v>34.25</v>
      </c>
      <c r="I812">
        <v>0.27</v>
      </c>
      <c r="J812" s="1">
        <v>45927.751598564813</v>
      </c>
      <c r="K812" t="s">
        <v>112</v>
      </c>
      <c r="L812">
        <f>COUNTIF($A$2:A812,A812)</f>
        <v>12</v>
      </c>
    </row>
    <row r="813" spans="1:12" x14ac:dyDescent="0.3">
      <c r="A813">
        <v>12625</v>
      </c>
      <c r="B813" t="s">
        <v>239</v>
      </c>
      <c r="C813" t="s">
        <v>240</v>
      </c>
      <c r="D813" t="s">
        <v>241</v>
      </c>
      <c r="E813">
        <v>7</v>
      </c>
      <c r="F813">
        <v>94.52</v>
      </c>
      <c r="G813">
        <v>4.93</v>
      </c>
      <c r="H813">
        <v>0.55000000000000004</v>
      </c>
      <c r="I813">
        <v>0</v>
      </c>
      <c r="J813" s="1">
        <v>45927.78099107639</v>
      </c>
      <c r="K813" t="s">
        <v>242</v>
      </c>
      <c r="L813">
        <f>COUNTIF($A$2:A813,A813)</f>
        <v>1</v>
      </c>
    </row>
    <row r="814" spans="1:12" x14ac:dyDescent="0.3">
      <c r="A814">
        <v>12625</v>
      </c>
      <c r="B814" t="s">
        <v>239</v>
      </c>
      <c r="C814" t="s">
        <v>19</v>
      </c>
      <c r="D814" t="s">
        <v>20</v>
      </c>
      <c r="E814">
        <v>9</v>
      </c>
      <c r="F814">
        <v>93.7</v>
      </c>
      <c r="G814">
        <v>4.1100000000000003</v>
      </c>
      <c r="H814">
        <v>2.19</v>
      </c>
      <c r="I814">
        <v>0</v>
      </c>
      <c r="J814" s="1">
        <v>45927.78174564815</v>
      </c>
      <c r="K814" t="s">
        <v>242</v>
      </c>
      <c r="L814">
        <f>COUNTIF($A$2:A814,A814)</f>
        <v>2</v>
      </c>
    </row>
    <row r="815" spans="1:12" x14ac:dyDescent="0.3">
      <c r="A815">
        <v>12625</v>
      </c>
      <c r="B815" t="s">
        <v>239</v>
      </c>
      <c r="C815" t="s">
        <v>21</v>
      </c>
      <c r="D815" t="s">
        <v>22</v>
      </c>
      <c r="E815">
        <v>12</v>
      </c>
      <c r="F815">
        <v>89.86</v>
      </c>
      <c r="G815">
        <v>7.4</v>
      </c>
      <c r="H815">
        <v>2.74</v>
      </c>
      <c r="I815">
        <v>0</v>
      </c>
      <c r="J815" s="1">
        <v>45927.781700416665</v>
      </c>
      <c r="K815" t="s">
        <v>242</v>
      </c>
      <c r="L815">
        <f>COUNTIF($A$2:A815,A815)</f>
        <v>3</v>
      </c>
    </row>
    <row r="816" spans="1:12" x14ac:dyDescent="0.3">
      <c r="A816">
        <v>12625</v>
      </c>
      <c r="B816" t="s">
        <v>239</v>
      </c>
      <c r="C816" t="s">
        <v>243</v>
      </c>
      <c r="D816" t="s">
        <v>244</v>
      </c>
      <c r="E816">
        <v>8</v>
      </c>
      <c r="F816">
        <v>89.59</v>
      </c>
      <c r="G816">
        <v>9.59</v>
      </c>
      <c r="H816">
        <v>0.82</v>
      </c>
      <c r="I816">
        <v>0</v>
      </c>
      <c r="J816" s="1">
        <v>45927.781032881947</v>
      </c>
      <c r="K816" t="s">
        <v>242</v>
      </c>
      <c r="L816">
        <f>COUNTIF($A$2:A816,A816)</f>
        <v>4</v>
      </c>
    </row>
    <row r="817" spans="1:12" x14ac:dyDescent="0.3">
      <c r="A817">
        <v>12625</v>
      </c>
      <c r="B817" t="s">
        <v>239</v>
      </c>
      <c r="C817" t="s">
        <v>245</v>
      </c>
      <c r="D817" t="s">
        <v>246</v>
      </c>
      <c r="E817">
        <v>10</v>
      </c>
      <c r="F817">
        <v>87.12</v>
      </c>
      <c r="G817">
        <v>12.05</v>
      </c>
      <c r="H817">
        <v>0.82</v>
      </c>
      <c r="I817">
        <v>0.01</v>
      </c>
      <c r="J817" s="1">
        <v>45927.781048923614</v>
      </c>
      <c r="K817" t="s">
        <v>242</v>
      </c>
      <c r="L817">
        <f>COUNTIF($A$2:A817,A817)</f>
        <v>5</v>
      </c>
    </row>
    <row r="818" spans="1:12" x14ac:dyDescent="0.3">
      <c r="A818">
        <v>12625</v>
      </c>
      <c r="B818" t="s">
        <v>239</v>
      </c>
      <c r="C818" t="s">
        <v>94</v>
      </c>
      <c r="D818" t="s">
        <v>95</v>
      </c>
      <c r="E818">
        <v>18</v>
      </c>
      <c r="F818">
        <v>75.62</v>
      </c>
      <c r="G818">
        <v>18.36</v>
      </c>
      <c r="H818">
        <v>5.21</v>
      </c>
      <c r="I818">
        <v>0.81</v>
      </c>
      <c r="J818" s="1">
        <v>45927.781956678242</v>
      </c>
      <c r="K818" t="s">
        <v>242</v>
      </c>
      <c r="L818">
        <f>COUNTIF($A$2:A818,A818)</f>
        <v>6</v>
      </c>
    </row>
    <row r="819" spans="1:12" x14ac:dyDescent="0.3">
      <c r="A819">
        <v>12625</v>
      </c>
      <c r="B819" t="s">
        <v>239</v>
      </c>
      <c r="C819" t="s">
        <v>277</v>
      </c>
      <c r="D819" t="s">
        <v>278</v>
      </c>
      <c r="E819">
        <v>25</v>
      </c>
      <c r="F819">
        <v>70.959999999999994</v>
      </c>
      <c r="G819">
        <v>20.27</v>
      </c>
      <c r="H819">
        <v>8.77</v>
      </c>
      <c r="I819">
        <v>0</v>
      </c>
      <c r="J819" s="1">
        <v>45927.782136712965</v>
      </c>
      <c r="K819" t="s">
        <v>242</v>
      </c>
      <c r="L819">
        <f>COUNTIF($A$2:A819,A819)</f>
        <v>7</v>
      </c>
    </row>
    <row r="820" spans="1:12" x14ac:dyDescent="0.3">
      <c r="A820">
        <v>12625</v>
      </c>
      <c r="B820" t="s">
        <v>239</v>
      </c>
      <c r="C820" t="s">
        <v>267</v>
      </c>
      <c r="D820" t="s">
        <v>268</v>
      </c>
      <c r="E820">
        <v>17</v>
      </c>
      <c r="F820">
        <v>70.14</v>
      </c>
      <c r="G820">
        <v>26.85</v>
      </c>
      <c r="H820">
        <v>3.01</v>
      </c>
      <c r="I820">
        <v>0</v>
      </c>
      <c r="J820" s="1">
        <v>45927.781467766203</v>
      </c>
      <c r="K820" t="s">
        <v>242</v>
      </c>
      <c r="L820">
        <f>COUNTIF($A$2:A820,A820)</f>
        <v>8</v>
      </c>
    </row>
    <row r="821" spans="1:12" x14ac:dyDescent="0.3">
      <c r="A821">
        <v>12625</v>
      </c>
      <c r="B821" t="s">
        <v>239</v>
      </c>
      <c r="C821" t="s">
        <v>200</v>
      </c>
      <c r="D821" t="s">
        <v>201</v>
      </c>
      <c r="E821">
        <v>19</v>
      </c>
      <c r="F821">
        <v>65.75</v>
      </c>
      <c r="G821">
        <v>27.95</v>
      </c>
      <c r="H821">
        <v>5.48</v>
      </c>
      <c r="I821">
        <v>0.82</v>
      </c>
      <c r="J821" s="1">
        <v>45927.781978101855</v>
      </c>
      <c r="K821" t="s">
        <v>242</v>
      </c>
      <c r="L821">
        <f>COUNTIF($A$2:A821,A821)</f>
        <v>9</v>
      </c>
    </row>
    <row r="822" spans="1:12" x14ac:dyDescent="0.3">
      <c r="A822">
        <v>12625</v>
      </c>
      <c r="B822" t="s">
        <v>239</v>
      </c>
      <c r="C822" t="s">
        <v>31</v>
      </c>
      <c r="D822" t="s">
        <v>32</v>
      </c>
      <c r="E822">
        <v>17</v>
      </c>
      <c r="F822">
        <v>65.48</v>
      </c>
      <c r="G822">
        <v>31.23</v>
      </c>
      <c r="H822">
        <v>3.29</v>
      </c>
      <c r="I822">
        <v>0</v>
      </c>
      <c r="J822" s="1">
        <v>45927.781555023146</v>
      </c>
      <c r="K822" t="s">
        <v>242</v>
      </c>
      <c r="L822">
        <f>COUNTIF($A$2:A822,A822)</f>
        <v>10</v>
      </c>
    </row>
    <row r="823" spans="1:12" x14ac:dyDescent="0.3">
      <c r="A823">
        <v>12625</v>
      </c>
      <c r="B823" t="s">
        <v>239</v>
      </c>
      <c r="C823" t="s">
        <v>271</v>
      </c>
      <c r="D823" t="s">
        <v>272</v>
      </c>
      <c r="E823">
        <v>17</v>
      </c>
      <c r="F823">
        <v>65.209999999999994</v>
      </c>
      <c r="G823">
        <v>31.78</v>
      </c>
      <c r="H823">
        <v>3.01</v>
      </c>
      <c r="I823">
        <v>0</v>
      </c>
      <c r="J823" s="1">
        <v>45927.781787523149</v>
      </c>
      <c r="K823" t="s">
        <v>242</v>
      </c>
      <c r="L823">
        <f>COUNTIF($A$2:A823,A823)</f>
        <v>11</v>
      </c>
    </row>
    <row r="824" spans="1:12" x14ac:dyDescent="0.3">
      <c r="A824">
        <v>12625</v>
      </c>
      <c r="B824" t="s">
        <v>239</v>
      </c>
      <c r="C824" t="s">
        <v>247</v>
      </c>
      <c r="D824" t="s">
        <v>248</v>
      </c>
      <c r="E824">
        <v>0</v>
      </c>
      <c r="F824">
        <v>64.930000000000007</v>
      </c>
      <c r="G824">
        <v>33.97</v>
      </c>
      <c r="H824">
        <v>1.1000000000000001</v>
      </c>
      <c r="I824">
        <v>0</v>
      </c>
      <c r="J824" s="1">
        <v>45927.781076828702</v>
      </c>
      <c r="K824" t="s">
        <v>242</v>
      </c>
      <c r="L824">
        <f>COUNTIF($A$2:A824,A824)</f>
        <v>12</v>
      </c>
    </row>
    <row r="825" spans="1:12" x14ac:dyDescent="0.3">
      <c r="A825">
        <v>12625</v>
      </c>
      <c r="B825" t="s">
        <v>239</v>
      </c>
      <c r="C825" t="s">
        <v>110</v>
      </c>
      <c r="D825" t="s">
        <v>111</v>
      </c>
      <c r="E825">
        <v>50</v>
      </c>
      <c r="F825">
        <v>62.74</v>
      </c>
      <c r="G825">
        <v>16.440000000000001</v>
      </c>
      <c r="H825">
        <v>20.82</v>
      </c>
      <c r="I825">
        <v>0</v>
      </c>
      <c r="J825" s="1">
        <v>45927.782398506941</v>
      </c>
      <c r="K825" t="s">
        <v>242</v>
      </c>
      <c r="L825">
        <f>COUNTIF($A$2:A825,A825)</f>
        <v>13</v>
      </c>
    </row>
    <row r="826" spans="1:12" x14ac:dyDescent="0.3">
      <c r="A826">
        <v>12625</v>
      </c>
      <c r="B826" t="s">
        <v>239</v>
      </c>
      <c r="C826" t="s">
        <v>27</v>
      </c>
      <c r="D826" t="s">
        <v>28</v>
      </c>
      <c r="E826">
        <v>18</v>
      </c>
      <c r="F826">
        <v>61.1</v>
      </c>
      <c r="G826">
        <v>35.619999999999997</v>
      </c>
      <c r="H826">
        <v>3.29</v>
      </c>
      <c r="I826">
        <v>0</v>
      </c>
      <c r="J826" s="1">
        <v>45927.781598715279</v>
      </c>
      <c r="K826" t="s">
        <v>242</v>
      </c>
      <c r="L826">
        <f>COUNTIF($A$2:A826,A826)</f>
        <v>14</v>
      </c>
    </row>
    <row r="827" spans="1:12" x14ac:dyDescent="0.3">
      <c r="A827">
        <v>12625</v>
      </c>
      <c r="B827" t="s">
        <v>239</v>
      </c>
      <c r="C827" t="s">
        <v>281</v>
      </c>
      <c r="D827" t="s">
        <v>282</v>
      </c>
      <c r="E827">
        <v>45</v>
      </c>
      <c r="F827">
        <v>60.82</v>
      </c>
      <c r="G827">
        <v>18.36</v>
      </c>
      <c r="H827">
        <v>20.82</v>
      </c>
      <c r="I827">
        <v>0</v>
      </c>
      <c r="J827" s="1">
        <v>45927.782309386574</v>
      </c>
      <c r="K827" t="s">
        <v>242</v>
      </c>
      <c r="L827">
        <f>COUNTIF($A$2:A827,A827)</f>
        <v>15</v>
      </c>
    </row>
    <row r="828" spans="1:12" x14ac:dyDescent="0.3">
      <c r="A828">
        <v>12625</v>
      </c>
      <c r="B828" t="s">
        <v>239</v>
      </c>
      <c r="C828" t="s">
        <v>249</v>
      </c>
      <c r="D828" t="s">
        <v>250</v>
      </c>
      <c r="E828">
        <v>17</v>
      </c>
      <c r="F828">
        <v>58.36</v>
      </c>
      <c r="G828">
        <v>40.549999999999997</v>
      </c>
      <c r="H828">
        <v>1.1000000000000001</v>
      </c>
      <c r="I828">
        <v>0</v>
      </c>
      <c r="J828" s="1">
        <v>45927.781118125</v>
      </c>
      <c r="K828" t="s">
        <v>242</v>
      </c>
      <c r="L828">
        <f>COUNTIF($A$2:A828,A828)</f>
        <v>16</v>
      </c>
    </row>
    <row r="829" spans="1:12" x14ac:dyDescent="0.3">
      <c r="A829">
        <v>12625</v>
      </c>
      <c r="B829" t="s">
        <v>239</v>
      </c>
      <c r="C829" t="s">
        <v>23</v>
      </c>
      <c r="D829" t="s">
        <v>24</v>
      </c>
      <c r="E829">
        <v>18</v>
      </c>
      <c r="F829">
        <v>58.36</v>
      </c>
      <c r="G829">
        <v>38.36</v>
      </c>
      <c r="H829">
        <v>3.29</v>
      </c>
      <c r="I829">
        <v>0</v>
      </c>
      <c r="J829" s="1">
        <v>45927.78168359954</v>
      </c>
      <c r="K829" t="s">
        <v>242</v>
      </c>
      <c r="L829">
        <f>COUNTIF($A$2:A829,A829)</f>
        <v>17</v>
      </c>
    </row>
    <row r="830" spans="1:12" x14ac:dyDescent="0.3">
      <c r="A830">
        <v>12625</v>
      </c>
      <c r="B830" t="s">
        <v>239</v>
      </c>
      <c r="C830" t="s">
        <v>106</v>
      </c>
      <c r="D830" t="s">
        <v>107</v>
      </c>
      <c r="E830">
        <v>43</v>
      </c>
      <c r="F830">
        <v>58.36</v>
      </c>
      <c r="G830">
        <v>23.01</v>
      </c>
      <c r="H830">
        <v>18.63</v>
      </c>
      <c r="I830">
        <v>0</v>
      </c>
      <c r="J830" s="1">
        <v>45927.782247916664</v>
      </c>
      <c r="K830" t="s">
        <v>242</v>
      </c>
      <c r="L830">
        <f>COUNTIF($A$2:A830,A830)</f>
        <v>18</v>
      </c>
    </row>
    <row r="831" spans="1:12" x14ac:dyDescent="0.3">
      <c r="A831">
        <v>12625</v>
      </c>
      <c r="B831" t="s">
        <v>239</v>
      </c>
      <c r="C831" t="s">
        <v>88</v>
      </c>
      <c r="D831" t="s">
        <v>89</v>
      </c>
      <c r="E831">
        <v>20</v>
      </c>
      <c r="F831">
        <v>57.53</v>
      </c>
      <c r="G831">
        <v>36.71</v>
      </c>
      <c r="H831">
        <v>4.93</v>
      </c>
      <c r="I831">
        <v>0.83</v>
      </c>
      <c r="J831" s="1">
        <v>45927.78190396991</v>
      </c>
      <c r="K831" t="s">
        <v>242</v>
      </c>
      <c r="L831">
        <f>COUNTIF($A$2:A831,A831)</f>
        <v>19</v>
      </c>
    </row>
    <row r="832" spans="1:12" x14ac:dyDescent="0.3">
      <c r="A832">
        <v>12625</v>
      </c>
      <c r="B832" t="s">
        <v>239</v>
      </c>
      <c r="C832" t="s">
        <v>100</v>
      </c>
      <c r="D832" t="s">
        <v>101</v>
      </c>
      <c r="E832">
        <v>28</v>
      </c>
      <c r="F832">
        <v>57.26</v>
      </c>
      <c r="G832">
        <v>34.520000000000003</v>
      </c>
      <c r="H832">
        <v>8.2200000000000006</v>
      </c>
      <c r="I832">
        <v>0</v>
      </c>
      <c r="J832" s="1">
        <v>45927.782093611109</v>
      </c>
      <c r="K832" t="s">
        <v>242</v>
      </c>
      <c r="L832">
        <f>COUNTIF($A$2:A832,A832)</f>
        <v>20</v>
      </c>
    </row>
    <row r="833" spans="1:12" x14ac:dyDescent="0.3">
      <c r="A833">
        <v>12625</v>
      </c>
      <c r="B833" t="s">
        <v>239</v>
      </c>
      <c r="C833" t="s">
        <v>273</v>
      </c>
      <c r="D833" t="s">
        <v>274</v>
      </c>
      <c r="E833">
        <v>20</v>
      </c>
      <c r="F833">
        <v>56.16</v>
      </c>
      <c r="G833">
        <v>40.82</v>
      </c>
      <c r="H833">
        <v>3.01</v>
      </c>
      <c r="I833">
        <v>0.01</v>
      </c>
      <c r="J833" s="1">
        <v>45927.781804976854</v>
      </c>
      <c r="K833" t="s">
        <v>242</v>
      </c>
      <c r="L833">
        <f>COUNTIF($A$2:A833,A833)</f>
        <v>21</v>
      </c>
    </row>
    <row r="834" spans="1:12" x14ac:dyDescent="0.3">
      <c r="A834">
        <v>12625</v>
      </c>
      <c r="B834" t="s">
        <v>239</v>
      </c>
      <c r="C834" t="s">
        <v>98</v>
      </c>
      <c r="D834" t="s">
        <v>99</v>
      </c>
      <c r="E834">
        <v>28</v>
      </c>
      <c r="F834">
        <v>54.52</v>
      </c>
      <c r="G834">
        <v>36.99</v>
      </c>
      <c r="H834">
        <v>8.49</v>
      </c>
      <c r="I834">
        <v>0</v>
      </c>
      <c r="J834" s="1">
        <v>45927.782053842595</v>
      </c>
      <c r="K834" t="s">
        <v>242</v>
      </c>
      <c r="L834">
        <f>COUNTIF($A$2:A834,A834)</f>
        <v>22</v>
      </c>
    </row>
    <row r="835" spans="1:12" x14ac:dyDescent="0.3">
      <c r="A835">
        <v>12625</v>
      </c>
      <c r="B835" t="s">
        <v>239</v>
      </c>
      <c r="C835" t="s">
        <v>178</v>
      </c>
      <c r="D835" t="s">
        <v>179</v>
      </c>
      <c r="E835">
        <v>19</v>
      </c>
      <c r="F835">
        <v>53.7</v>
      </c>
      <c r="G835">
        <v>42.47</v>
      </c>
      <c r="H835">
        <v>3.01</v>
      </c>
      <c r="I835">
        <v>0.82</v>
      </c>
      <c r="J835" s="1">
        <v>45927.781864328703</v>
      </c>
      <c r="K835" t="s">
        <v>242</v>
      </c>
      <c r="L835">
        <f>COUNTIF($A$2:A835,A835)</f>
        <v>23</v>
      </c>
    </row>
    <row r="836" spans="1:12" x14ac:dyDescent="0.3">
      <c r="A836">
        <v>12625</v>
      </c>
      <c r="B836" t="s">
        <v>239</v>
      </c>
      <c r="C836" t="s">
        <v>251</v>
      </c>
      <c r="D836" t="s">
        <v>252</v>
      </c>
      <c r="E836">
        <v>17</v>
      </c>
      <c r="F836">
        <v>53.42</v>
      </c>
      <c r="G836">
        <v>45.48</v>
      </c>
      <c r="H836">
        <v>1.1000000000000001</v>
      </c>
      <c r="I836">
        <v>0</v>
      </c>
      <c r="J836" s="1">
        <v>45927.78116204861</v>
      </c>
      <c r="K836" t="s">
        <v>242</v>
      </c>
      <c r="L836">
        <f>COUNTIF($A$2:A836,A836)</f>
        <v>24</v>
      </c>
    </row>
    <row r="837" spans="1:12" x14ac:dyDescent="0.3">
      <c r="A837">
        <v>12625</v>
      </c>
      <c r="B837" t="s">
        <v>239</v>
      </c>
      <c r="C837" t="s">
        <v>25</v>
      </c>
      <c r="D837" t="s">
        <v>26</v>
      </c>
      <c r="E837">
        <v>20</v>
      </c>
      <c r="F837">
        <v>53.42</v>
      </c>
      <c r="G837">
        <v>43.29</v>
      </c>
      <c r="H837">
        <v>3.29</v>
      </c>
      <c r="I837">
        <v>0</v>
      </c>
      <c r="J837" s="1">
        <v>45927.781639050925</v>
      </c>
      <c r="K837" t="s">
        <v>242</v>
      </c>
      <c r="L837">
        <f>COUNTIF($A$2:A837,A837)</f>
        <v>25</v>
      </c>
    </row>
    <row r="838" spans="1:12" x14ac:dyDescent="0.3">
      <c r="A838">
        <v>12625</v>
      </c>
      <c r="B838" t="s">
        <v>239</v>
      </c>
      <c r="C838" t="s">
        <v>108</v>
      </c>
      <c r="D838" t="s">
        <v>109</v>
      </c>
      <c r="E838">
        <v>60</v>
      </c>
      <c r="F838">
        <v>47.67</v>
      </c>
      <c r="G838">
        <v>27.67</v>
      </c>
      <c r="H838">
        <v>24.66</v>
      </c>
      <c r="I838">
        <v>0</v>
      </c>
      <c r="J838" s="1">
        <v>45927.782353078706</v>
      </c>
      <c r="K838" t="s">
        <v>242</v>
      </c>
      <c r="L838">
        <f>COUNTIF($A$2:A838,A838)</f>
        <v>26</v>
      </c>
    </row>
    <row r="839" spans="1:12" x14ac:dyDescent="0.3">
      <c r="A839">
        <v>12625</v>
      </c>
      <c r="B839" t="s">
        <v>239</v>
      </c>
      <c r="C839" t="s">
        <v>102</v>
      </c>
      <c r="D839" t="s">
        <v>103</v>
      </c>
      <c r="E839">
        <v>38</v>
      </c>
      <c r="F839">
        <v>44.66</v>
      </c>
      <c r="G839">
        <v>41.64</v>
      </c>
      <c r="H839">
        <v>13.7</v>
      </c>
      <c r="I839">
        <v>0</v>
      </c>
      <c r="J839" s="1">
        <v>45927.78218234954</v>
      </c>
      <c r="K839" t="s">
        <v>242</v>
      </c>
      <c r="L839">
        <f>COUNTIF($A$2:A839,A839)</f>
        <v>27</v>
      </c>
    </row>
    <row r="840" spans="1:12" x14ac:dyDescent="0.3">
      <c r="A840">
        <v>12625</v>
      </c>
      <c r="B840" t="s">
        <v>239</v>
      </c>
      <c r="C840" t="s">
        <v>255</v>
      </c>
      <c r="D840" t="s">
        <v>256</v>
      </c>
      <c r="E840">
        <v>21</v>
      </c>
      <c r="F840">
        <v>41.64</v>
      </c>
      <c r="G840">
        <v>56.71</v>
      </c>
      <c r="H840">
        <v>1.64</v>
      </c>
      <c r="I840">
        <v>0.01</v>
      </c>
      <c r="J840" s="1">
        <v>45927.781224606479</v>
      </c>
      <c r="K840" t="s">
        <v>242</v>
      </c>
      <c r="L840">
        <f>COUNTIF($A$2:A840,A840)</f>
        <v>28</v>
      </c>
    </row>
    <row r="841" spans="1:12" x14ac:dyDescent="0.3">
      <c r="A841">
        <v>12625</v>
      </c>
      <c r="B841" t="s">
        <v>239</v>
      </c>
      <c r="C841" t="s">
        <v>104</v>
      </c>
      <c r="D841" t="s">
        <v>105</v>
      </c>
      <c r="E841">
        <v>45</v>
      </c>
      <c r="F841">
        <v>39.450000000000003</v>
      </c>
      <c r="G841">
        <v>43.29</v>
      </c>
      <c r="H841">
        <v>17.260000000000002</v>
      </c>
      <c r="I841">
        <v>0</v>
      </c>
      <c r="J841" s="1">
        <v>45927.782227557873</v>
      </c>
      <c r="K841" t="s">
        <v>242</v>
      </c>
      <c r="L841">
        <f>COUNTIF($A$2:A841,A841)</f>
        <v>29</v>
      </c>
    </row>
    <row r="842" spans="1:12" x14ac:dyDescent="0.3">
      <c r="A842">
        <v>12625</v>
      </c>
      <c r="B842" t="s">
        <v>239</v>
      </c>
      <c r="C842" t="s">
        <v>253</v>
      </c>
      <c r="D842" t="s">
        <v>254</v>
      </c>
      <c r="E842">
        <v>21</v>
      </c>
      <c r="F842">
        <v>38.630000000000003</v>
      </c>
      <c r="G842">
        <v>60</v>
      </c>
      <c r="H842">
        <v>1.37</v>
      </c>
      <c r="I842">
        <v>0</v>
      </c>
      <c r="J842" s="1">
        <v>45927.781206331019</v>
      </c>
      <c r="K842" t="s">
        <v>242</v>
      </c>
      <c r="L842">
        <f>COUNTIF($A$2:A842,A842)</f>
        <v>30</v>
      </c>
    </row>
    <row r="843" spans="1:12" x14ac:dyDescent="0.3">
      <c r="A843">
        <v>12625</v>
      </c>
      <c r="B843" t="s">
        <v>239</v>
      </c>
      <c r="C843" t="s">
        <v>259</v>
      </c>
      <c r="D843" t="s">
        <v>260</v>
      </c>
      <c r="E843">
        <v>23</v>
      </c>
      <c r="F843">
        <v>36.71</v>
      </c>
      <c r="G843">
        <v>60.82</v>
      </c>
      <c r="H843">
        <v>2.4700000000000002</v>
      </c>
      <c r="I843">
        <v>0</v>
      </c>
      <c r="J843" s="1">
        <v>45927.78129791667</v>
      </c>
      <c r="K843" t="s">
        <v>242</v>
      </c>
      <c r="L843">
        <f>COUNTIF($A$2:A843,A843)</f>
        <v>31</v>
      </c>
    </row>
    <row r="844" spans="1:12" x14ac:dyDescent="0.3">
      <c r="A844">
        <v>12625</v>
      </c>
      <c r="B844" t="s">
        <v>239</v>
      </c>
      <c r="C844" t="s">
        <v>257</v>
      </c>
      <c r="D844" t="s">
        <v>258</v>
      </c>
      <c r="E844">
        <v>0</v>
      </c>
      <c r="F844">
        <v>33.700000000000003</v>
      </c>
      <c r="G844">
        <v>63.84</v>
      </c>
      <c r="H844">
        <v>2.4700000000000002</v>
      </c>
      <c r="I844">
        <v>0</v>
      </c>
      <c r="J844" s="1">
        <v>45927.781254629626</v>
      </c>
      <c r="K844" t="s">
        <v>242</v>
      </c>
      <c r="L844">
        <f>COUNTIF($A$2:A844,A844)</f>
        <v>32</v>
      </c>
    </row>
    <row r="845" spans="1:12" x14ac:dyDescent="0.3">
      <c r="A845">
        <v>12625</v>
      </c>
      <c r="B845" t="s">
        <v>239</v>
      </c>
      <c r="C845" t="s">
        <v>261</v>
      </c>
      <c r="D845" t="s">
        <v>262</v>
      </c>
      <c r="E845">
        <v>25</v>
      </c>
      <c r="F845">
        <v>31.23</v>
      </c>
      <c r="G845">
        <v>65.48</v>
      </c>
      <c r="H845">
        <v>3.29</v>
      </c>
      <c r="I845">
        <v>0</v>
      </c>
      <c r="J845" s="1">
        <v>45927.781339675923</v>
      </c>
      <c r="K845" t="s">
        <v>242</v>
      </c>
      <c r="L845">
        <f>COUNTIF($A$2:A845,A845)</f>
        <v>33</v>
      </c>
    </row>
    <row r="846" spans="1:12" x14ac:dyDescent="0.3">
      <c r="A846">
        <v>12625</v>
      </c>
      <c r="B846" t="s">
        <v>239</v>
      </c>
      <c r="C846" t="s">
        <v>176</v>
      </c>
      <c r="D846" t="s">
        <v>177</v>
      </c>
      <c r="E846">
        <v>27</v>
      </c>
      <c r="F846">
        <v>26.85</v>
      </c>
      <c r="G846">
        <v>68.489999999999995</v>
      </c>
      <c r="H846">
        <v>3.84</v>
      </c>
      <c r="I846">
        <v>0.82</v>
      </c>
      <c r="J846" s="1">
        <v>45927.781883819443</v>
      </c>
      <c r="K846" t="s">
        <v>242</v>
      </c>
      <c r="L846">
        <f>COUNTIF($A$2:A846,A846)</f>
        <v>34</v>
      </c>
    </row>
    <row r="847" spans="1:12" x14ac:dyDescent="0.3">
      <c r="A847">
        <v>12625</v>
      </c>
      <c r="B847" t="s">
        <v>239</v>
      </c>
      <c r="C847" t="s">
        <v>269</v>
      </c>
      <c r="D847" t="s">
        <v>270</v>
      </c>
      <c r="E847">
        <v>26</v>
      </c>
      <c r="F847">
        <v>25.48</v>
      </c>
      <c r="G847">
        <v>71.23</v>
      </c>
      <c r="H847">
        <v>3.29</v>
      </c>
      <c r="I847">
        <v>0</v>
      </c>
      <c r="J847" s="1">
        <v>45927.781511145833</v>
      </c>
      <c r="K847" t="s">
        <v>242</v>
      </c>
      <c r="L847">
        <f>COUNTIF($A$2:A847,A847)</f>
        <v>35</v>
      </c>
    </row>
    <row r="848" spans="1:12" x14ac:dyDescent="0.3">
      <c r="A848">
        <v>12625</v>
      </c>
      <c r="B848" t="s">
        <v>239</v>
      </c>
      <c r="C848" t="s">
        <v>263</v>
      </c>
      <c r="D848" t="s">
        <v>264</v>
      </c>
      <c r="E848">
        <v>27</v>
      </c>
      <c r="F848">
        <v>24.93</v>
      </c>
      <c r="G848">
        <v>70.959999999999994</v>
      </c>
      <c r="H848">
        <v>4.1100000000000003</v>
      </c>
      <c r="I848">
        <v>0</v>
      </c>
      <c r="J848" s="1">
        <v>45927.781383807873</v>
      </c>
      <c r="K848" t="s">
        <v>242</v>
      </c>
      <c r="L848">
        <f>COUNTIF($A$2:A848,A848)</f>
        <v>36</v>
      </c>
    </row>
    <row r="849" spans="1:12" x14ac:dyDescent="0.3">
      <c r="A849">
        <v>12625</v>
      </c>
      <c r="B849" t="s">
        <v>239</v>
      </c>
      <c r="C849" t="s">
        <v>196</v>
      </c>
      <c r="D849" t="s">
        <v>197</v>
      </c>
      <c r="E849">
        <v>48</v>
      </c>
      <c r="F849">
        <v>18.899999999999999</v>
      </c>
      <c r="G849">
        <v>52.6</v>
      </c>
      <c r="H849">
        <v>27.67</v>
      </c>
      <c r="I849">
        <v>0.83</v>
      </c>
      <c r="J849" s="1">
        <v>45927.78194054398</v>
      </c>
      <c r="K849" t="s">
        <v>242</v>
      </c>
      <c r="L849">
        <f>COUNTIF($A$2:A849,A849)</f>
        <v>37</v>
      </c>
    </row>
    <row r="850" spans="1:12" x14ac:dyDescent="0.3">
      <c r="A850">
        <v>12625</v>
      </c>
      <c r="B850" t="s">
        <v>239</v>
      </c>
      <c r="C850" t="s">
        <v>275</v>
      </c>
      <c r="D850" t="s">
        <v>276</v>
      </c>
      <c r="E850">
        <v>31</v>
      </c>
      <c r="F850">
        <v>15.34</v>
      </c>
      <c r="G850">
        <v>80.819999999999993</v>
      </c>
      <c r="H850">
        <v>3.84</v>
      </c>
      <c r="I850">
        <v>0</v>
      </c>
      <c r="J850" s="1">
        <v>45927.781847847225</v>
      </c>
      <c r="K850" t="s">
        <v>242</v>
      </c>
      <c r="L850">
        <f>COUNTIF($A$2:A850,A850)</f>
        <v>38</v>
      </c>
    </row>
    <row r="851" spans="1:12" x14ac:dyDescent="0.3">
      <c r="A851">
        <v>12625</v>
      </c>
      <c r="B851" t="s">
        <v>239</v>
      </c>
      <c r="C851" t="s">
        <v>202</v>
      </c>
      <c r="D851" t="s">
        <v>203</v>
      </c>
      <c r="E851">
        <v>38</v>
      </c>
      <c r="F851">
        <v>15.07</v>
      </c>
      <c r="G851">
        <v>72.05</v>
      </c>
      <c r="H851">
        <v>12.05</v>
      </c>
      <c r="I851">
        <v>0.83</v>
      </c>
      <c r="J851" s="1">
        <v>45927.781994606485</v>
      </c>
      <c r="K851" t="s">
        <v>242</v>
      </c>
      <c r="L851">
        <f>COUNTIF($A$2:A851,A851)</f>
        <v>39</v>
      </c>
    </row>
    <row r="852" spans="1:12" x14ac:dyDescent="0.3">
      <c r="A852">
        <v>12625</v>
      </c>
      <c r="B852" t="s">
        <v>239</v>
      </c>
      <c r="C852" t="s">
        <v>279</v>
      </c>
      <c r="D852" t="s">
        <v>280</v>
      </c>
      <c r="E852">
        <v>60</v>
      </c>
      <c r="F852">
        <v>13.15</v>
      </c>
      <c r="G852">
        <v>63.29</v>
      </c>
      <c r="H852">
        <v>23.56</v>
      </c>
      <c r="I852">
        <v>0</v>
      </c>
      <c r="J852" s="1">
        <v>45927.782293113429</v>
      </c>
      <c r="K852" t="s">
        <v>242</v>
      </c>
      <c r="L852">
        <f>COUNTIF($A$2:A852,A852)</f>
        <v>40</v>
      </c>
    </row>
    <row r="853" spans="1:12" x14ac:dyDescent="0.3">
      <c r="A853">
        <v>12625</v>
      </c>
      <c r="B853" t="s">
        <v>239</v>
      </c>
      <c r="C853" t="s">
        <v>265</v>
      </c>
      <c r="D853" t="s">
        <v>266</v>
      </c>
      <c r="E853">
        <v>30</v>
      </c>
      <c r="F853">
        <v>10.14</v>
      </c>
      <c r="G853">
        <v>85.48</v>
      </c>
      <c r="H853">
        <v>4.38</v>
      </c>
      <c r="I853">
        <v>0</v>
      </c>
      <c r="J853" s="1">
        <v>45927.781425578702</v>
      </c>
      <c r="K853" t="s">
        <v>242</v>
      </c>
      <c r="L853">
        <f>COUNTIF($A$2:A853,A853)</f>
        <v>41</v>
      </c>
    </row>
    <row r="854" spans="1:12" x14ac:dyDescent="0.3">
      <c r="A854">
        <v>12625</v>
      </c>
      <c r="B854" t="s">
        <v>239</v>
      </c>
      <c r="C854" t="s">
        <v>96</v>
      </c>
      <c r="D854" t="s">
        <v>97</v>
      </c>
      <c r="E854">
        <v>50</v>
      </c>
      <c r="F854">
        <v>6.3</v>
      </c>
      <c r="G854">
        <v>71.78</v>
      </c>
      <c r="H854">
        <v>21.1</v>
      </c>
      <c r="I854">
        <v>0.82</v>
      </c>
      <c r="J854" s="1">
        <v>45927.782010138886</v>
      </c>
      <c r="K854" t="s">
        <v>242</v>
      </c>
      <c r="L854">
        <f>COUNTIF($A$2:A854,A854)</f>
        <v>42</v>
      </c>
    </row>
    <row r="855" spans="1:12" x14ac:dyDescent="0.3">
      <c r="A855">
        <v>12625</v>
      </c>
      <c r="B855" t="s">
        <v>239</v>
      </c>
      <c r="C855" t="s">
        <v>92</v>
      </c>
      <c r="D855" t="s">
        <v>93</v>
      </c>
      <c r="E855">
        <v>84</v>
      </c>
      <c r="F855">
        <v>1.1000000000000001</v>
      </c>
      <c r="G855">
        <v>15.62</v>
      </c>
      <c r="H855">
        <v>82.47</v>
      </c>
      <c r="I855">
        <v>0.81</v>
      </c>
      <c r="J855" s="1">
        <v>45927.781920023146</v>
      </c>
      <c r="K855" t="s">
        <v>242</v>
      </c>
      <c r="L855">
        <f>COUNTIF($A$2:A855,A855)</f>
        <v>43</v>
      </c>
    </row>
    <row r="856" spans="1:12" x14ac:dyDescent="0.3">
      <c r="A856">
        <v>12626</v>
      </c>
      <c r="B856" t="s">
        <v>239</v>
      </c>
      <c r="C856" t="s">
        <v>110</v>
      </c>
      <c r="D856" t="s">
        <v>111</v>
      </c>
      <c r="E856">
        <v>35</v>
      </c>
      <c r="F856">
        <v>84.38</v>
      </c>
      <c r="G856">
        <v>3.84</v>
      </c>
      <c r="H856">
        <v>11.78</v>
      </c>
      <c r="I856">
        <v>0</v>
      </c>
      <c r="J856" s="1">
        <v>45927.782456539353</v>
      </c>
      <c r="K856" t="s">
        <v>283</v>
      </c>
      <c r="L856">
        <f>COUNTIF($A$2:A856,A856)</f>
        <v>1</v>
      </c>
    </row>
    <row r="857" spans="1:12" x14ac:dyDescent="0.3">
      <c r="A857">
        <v>12626</v>
      </c>
      <c r="B857" t="s">
        <v>239</v>
      </c>
      <c r="C857" t="s">
        <v>277</v>
      </c>
      <c r="D857" t="s">
        <v>278</v>
      </c>
      <c r="E857">
        <v>68</v>
      </c>
      <c r="F857">
        <v>65.75</v>
      </c>
      <c r="G857">
        <v>15.62</v>
      </c>
      <c r="H857">
        <v>18.63</v>
      </c>
      <c r="I857">
        <v>0</v>
      </c>
      <c r="J857" s="1">
        <v>45927.782602743056</v>
      </c>
      <c r="K857" t="s">
        <v>283</v>
      </c>
      <c r="L857">
        <f>COUNTIF($A$2:A857,A857)</f>
        <v>2</v>
      </c>
    </row>
    <row r="858" spans="1:12" x14ac:dyDescent="0.3">
      <c r="A858">
        <v>12626</v>
      </c>
      <c r="B858" t="s">
        <v>239</v>
      </c>
      <c r="C858" t="s">
        <v>240</v>
      </c>
      <c r="D858" t="s">
        <v>241</v>
      </c>
      <c r="E858">
        <v>93</v>
      </c>
      <c r="F858">
        <v>63.29</v>
      </c>
      <c r="G858">
        <v>10.41</v>
      </c>
      <c r="H858">
        <v>26.3</v>
      </c>
      <c r="I858">
        <v>0</v>
      </c>
      <c r="J858" s="1">
        <v>45927.783570185187</v>
      </c>
      <c r="K858" t="s">
        <v>283</v>
      </c>
      <c r="L858">
        <f>COUNTIF($A$2:A858,A858)</f>
        <v>3</v>
      </c>
    </row>
    <row r="859" spans="1:12" x14ac:dyDescent="0.3">
      <c r="A859">
        <v>12626</v>
      </c>
      <c r="B859" t="s">
        <v>239</v>
      </c>
      <c r="C859" t="s">
        <v>21</v>
      </c>
      <c r="D859" t="s">
        <v>22</v>
      </c>
      <c r="E859">
        <v>0</v>
      </c>
      <c r="F859">
        <v>57.26</v>
      </c>
      <c r="G859">
        <v>9.32</v>
      </c>
      <c r="H859">
        <v>33.42</v>
      </c>
      <c r="I859">
        <v>0</v>
      </c>
      <c r="J859" s="1">
        <v>45927.783030682869</v>
      </c>
      <c r="K859" t="s">
        <v>283</v>
      </c>
      <c r="L859">
        <f>COUNTIF($A$2:A859,A859)</f>
        <v>4</v>
      </c>
    </row>
    <row r="860" spans="1:12" x14ac:dyDescent="0.3">
      <c r="A860">
        <v>12626</v>
      </c>
      <c r="B860" t="s">
        <v>239</v>
      </c>
      <c r="C860" t="s">
        <v>284</v>
      </c>
      <c r="D860" t="s">
        <v>285</v>
      </c>
      <c r="E860">
        <v>107</v>
      </c>
      <c r="F860">
        <v>55.89</v>
      </c>
      <c r="G860">
        <v>17.260000000000002</v>
      </c>
      <c r="H860">
        <v>26.85</v>
      </c>
      <c r="I860">
        <v>0</v>
      </c>
      <c r="J860" s="1">
        <v>45927.783553946756</v>
      </c>
      <c r="K860" t="s">
        <v>283</v>
      </c>
      <c r="L860">
        <f>COUNTIF($A$2:A860,A860)</f>
        <v>5</v>
      </c>
    </row>
    <row r="861" spans="1:12" x14ac:dyDescent="0.3">
      <c r="A861">
        <v>12626</v>
      </c>
      <c r="B861" t="s">
        <v>239</v>
      </c>
      <c r="C861" t="s">
        <v>19</v>
      </c>
      <c r="D861" t="s">
        <v>20</v>
      </c>
      <c r="E861">
        <v>98</v>
      </c>
      <c r="F861">
        <v>54.52</v>
      </c>
      <c r="G861">
        <v>12.88</v>
      </c>
      <c r="H861">
        <v>32.6</v>
      </c>
      <c r="I861">
        <v>0</v>
      </c>
      <c r="J861" s="1">
        <v>45927.783002847224</v>
      </c>
      <c r="K861" t="s">
        <v>283</v>
      </c>
      <c r="L861">
        <f>COUNTIF($A$2:A861,A861)</f>
        <v>6</v>
      </c>
    </row>
    <row r="862" spans="1:12" x14ac:dyDescent="0.3">
      <c r="A862">
        <v>12626</v>
      </c>
      <c r="B862" t="s">
        <v>239</v>
      </c>
      <c r="C862" t="s">
        <v>98</v>
      </c>
      <c r="D862" t="s">
        <v>99</v>
      </c>
      <c r="E862">
        <v>76</v>
      </c>
      <c r="F862">
        <v>54.25</v>
      </c>
      <c r="G862">
        <v>26.03</v>
      </c>
      <c r="H862">
        <v>19.73</v>
      </c>
      <c r="I862">
        <v>0</v>
      </c>
      <c r="J862" s="1">
        <v>45927.782686273145</v>
      </c>
      <c r="K862" t="s">
        <v>283</v>
      </c>
      <c r="L862">
        <f>COUNTIF($A$2:A862,A862)</f>
        <v>7</v>
      </c>
    </row>
    <row r="863" spans="1:12" x14ac:dyDescent="0.3">
      <c r="A863">
        <v>12626</v>
      </c>
      <c r="B863" t="s">
        <v>239</v>
      </c>
      <c r="C863" t="s">
        <v>102</v>
      </c>
      <c r="D863" t="s">
        <v>103</v>
      </c>
      <c r="E863">
        <v>64</v>
      </c>
      <c r="F863">
        <v>53.15</v>
      </c>
      <c r="G863">
        <v>28.77</v>
      </c>
      <c r="H863">
        <v>17.53</v>
      </c>
      <c r="I863">
        <v>0.55000000000000004</v>
      </c>
      <c r="J863" s="1">
        <v>45927.782559050924</v>
      </c>
      <c r="K863" t="s">
        <v>283</v>
      </c>
      <c r="L863">
        <f>COUNTIF($A$2:A863,A863)</f>
        <v>8</v>
      </c>
    </row>
    <row r="864" spans="1:12" x14ac:dyDescent="0.3">
      <c r="A864">
        <v>12626</v>
      </c>
      <c r="B864" t="s">
        <v>239</v>
      </c>
      <c r="C864" t="s">
        <v>23</v>
      </c>
      <c r="D864" t="s">
        <v>24</v>
      </c>
      <c r="E864">
        <v>105</v>
      </c>
      <c r="F864">
        <v>49.04</v>
      </c>
      <c r="G864">
        <v>16.989999999999998</v>
      </c>
      <c r="H864">
        <v>33.97</v>
      </c>
      <c r="I864">
        <v>0</v>
      </c>
      <c r="J864" s="1">
        <v>45927.783050590275</v>
      </c>
      <c r="K864" t="s">
        <v>283</v>
      </c>
      <c r="L864">
        <f>COUNTIF($A$2:A864,A864)</f>
        <v>9</v>
      </c>
    </row>
    <row r="865" spans="1:12" x14ac:dyDescent="0.3">
      <c r="A865">
        <v>12626</v>
      </c>
      <c r="B865" t="s">
        <v>239</v>
      </c>
      <c r="C865" t="s">
        <v>94</v>
      </c>
      <c r="D865" t="s">
        <v>95</v>
      </c>
      <c r="E865">
        <v>0</v>
      </c>
      <c r="F865">
        <v>46.58</v>
      </c>
      <c r="G865">
        <v>29.86</v>
      </c>
      <c r="H865">
        <v>23.29</v>
      </c>
      <c r="I865">
        <v>0.27</v>
      </c>
      <c r="J865" s="1">
        <v>45927.78276746528</v>
      </c>
      <c r="K865" t="s">
        <v>283</v>
      </c>
      <c r="L865">
        <f>COUNTIF($A$2:A865,A865)</f>
        <v>10</v>
      </c>
    </row>
    <row r="866" spans="1:12" x14ac:dyDescent="0.3">
      <c r="A866">
        <v>12626</v>
      </c>
      <c r="B866" t="s">
        <v>239</v>
      </c>
      <c r="C866" t="s">
        <v>25</v>
      </c>
      <c r="D866" t="s">
        <v>26</v>
      </c>
      <c r="E866">
        <v>105</v>
      </c>
      <c r="F866">
        <v>46.58</v>
      </c>
      <c r="G866">
        <v>19.45</v>
      </c>
      <c r="H866">
        <v>33.97</v>
      </c>
      <c r="I866">
        <v>0</v>
      </c>
      <c r="J866" s="1">
        <v>45927.783069930556</v>
      </c>
      <c r="K866" t="s">
        <v>283</v>
      </c>
      <c r="L866">
        <f>COUNTIF($A$2:A866,A866)</f>
        <v>11</v>
      </c>
    </row>
    <row r="867" spans="1:12" x14ac:dyDescent="0.3">
      <c r="A867">
        <v>12626</v>
      </c>
      <c r="B867" t="s">
        <v>239</v>
      </c>
      <c r="C867" t="s">
        <v>269</v>
      </c>
      <c r="D867" t="s">
        <v>270</v>
      </c>
      <c r="E867">
        <v>108</v>
      </c>
      <c r="F867">
        <v>44.66</v>
      </c>
      <c r="G867">
        <v>23.01</v>
      </c>
      <c r="H867">
        <v>32.33</v>
      </c>
      <c r="I867">
        <v>0</v>
      </c>
      <c r="J867" s="1">
        <v>45927.783134050929</v>
      </c>
      <c r="K867" t="s">
        <v>283</v>
      </c>
      <c r="L867">
        <f>COUNTIF($A$2:A867,A867)</f>
        <v>12</v>
      </c>
    </row>
    <row r="868" spans="1:12" x14ac:dyDescent="0.3">
      <c r="A868">
        <v>12626</v>
      </c>
      <c r="B868" t="s">
        <v>239</v>
      </c>
      <c r="C868" t="s">
        <v>100</v>
      </c>
      <c r="D868" t="s">
        <v>101</v>
      </c>
      <c r="E868">
        <v>80</v>
      </c>
      <c r="F868">
        <v>42.74</v>
      </c>
      <c r="G868">
        <v>36.99</v>
      </c>
      <c r="H868">
        <v>20.27</v>
      </c>
      <c r="I868">
        <v>0</v>
      </c>
      <c r="J868" s="1">
        <v>45927.782644791667</v>
      </c>
      <c r="K868" t="s">
        <v>283</v>
      </c>
      <c r="L868">
        <f>COUNTIF($A$2:A868,A868)</f>
        <v>13</v>
      </c>
    </row>
    <row r="869" spans="1:12" x14ac:dyDescent="0.3">
      <c r="A869">
        <v>12626</v>
      </c>
      <c r="B869" t="s">
        <v>239</v>
      </c>
      <c r="C869" t="s">
        <v>255</v>
      </c>
      <c r="D869" t="s">
        <v>256</v>
      </c>
      <c r="E869">
        <v>113</v>
      </c>
      <c r="F869">
        <v>42.47</v>
      </c>
      <c r="G869">
        <v>26.58</v>
      </c>
      <c r="H869">
        <v>30.96</v>
      </c>
      <c r="I869">
        <v>0</v>
      </c>
      <c r="J869" s="1">
        <v>45927.783358043984</v>
      </c>
      <c r="K869" t="s">
        <v>283</v>
      </c>
      <c r="L869">
        <f>COUNTIF($A$2:A869,A869)</f>
        <v>14</v>
      </c>
    </row>
    <row r="870" spans="1:12" x14ac:dyDescent="0.3">
      <c r="A870">
        <v>12626</v>
      </c>
      <c r="B870" t="s">
        <v>239</v>
      </c>
      <c r="C870" t="s">
        <v>27</v>
      </c>
      <c r="D870" t="s">
        <v>28</v>
      </c>
      <c r="E870">
        <v>0</v>
      </c>
      <c r="F870">
        <v>42.19</v>
      </c>
      <c r="G870">
        <v>22.74</v>
      </c>
      <c r="H870">
        <v>35.07</v>
      </c>
      <c r="I870">
        <v>0</v>
      </c>
      <c r="J870" s="1">
        <v>45927.783095914354</v>
      </c>
      <c r="K870" t="s">
        <v>283</v>
      </c>
      <c r="L870">
        <f>COUNTIF($A$2:A870,A870)</f>
        <v>15</v>
      </c>
    </row>
    <row r="871" spans="1:12" x14ac:dyDescent="0.3">
      <c r="A871">
        <v>12626</v>
      </c>
      <c r="B871" t="s">
        <v>239</v>
      </c>
      <c r="C871" t="s">
        <v>253</v>
      </c>
      <c r="D871" t="s">
        <v>254</v>
      </c>
      <c r="E871">
        <v>113</v>
      </c>
      <c r="F871">
        <v>42.19</v>
      </c>
      <c r="G871">
        <v>26.3</v>
      </c>
      <c r="H871">
        <v>31.51</v>
      </c>
      <c r="I871">
        <v>0</v>
      </c>
      <c r="J871" s="1">
        <v>45927.783379039349</v>
      </c>
      <c r="K871" t="s">
        <v>283</v>
      </c>
      <c r="L871">
        <f>COUNTIF($A$2:A871,A871)</f>
        <v>16</v>
      </c>
    </row>
    <row r="872" spans="1:12" x14ac:dyDescent="0.3">
      <c r="A872">
        <v>12626</v>
      </c>
      <c r="B872" t="s">
        <v>239</v>
      </c>
      <c r="C872" t="s">
        <v>104</v>
      </c>
      <c r="D872" t="s">
        <v>105</v>
      </c>
      <c r="E872">
        <v>64</v>
      </c>
      <c r="F872">
        <v>39.450000000000003</v>
      </c>
      <c r="G872">
        <v>43.56</v>
      </c>
      <c r="H872">
        <v>16.440000000000001</v>
      </c>
      <c r="I872">
        <v>0.55000000000000004</v>
      </c>
      <c r="J872" s="1">
        <v>45927.782539618056</v>
      </c>
      <c r="K872" t="s">
        <v>283</v>
      </c>
      <c r="L872">
        <f>COUNTIF($A$2:A872,A872)</f>
        <v>17</v>
      </c>
    </row>
    <row r="873" spans="1:12" x14ac:dyDescent="0.3">
      <c r="A873">
        <v>12626</v>
      </c>
      <c r="B873" t="s">
        <v>239</v>
      </c>
      <c r="C873" t="s">
        <v>257</v>
      </c>
      <c r="D873" t="s">
        <v>258</v>
      </c>
      <c r="E873">
        <v>113</v>
      </c>
      <c r="F873">
        <v>39.450000000000003</v>
      </c>
      <c r="G873">
        <v>29.04</v>
      </c>
      <c r="H873">
        <v>31.51</v>
      </c>
      <c r="I873">
        <v>0</v>
      </c>
      <c r="J873" s="1">
        <v>45927.783317847221</v>
      </c>
      <c r="K873" t="s">
        <v>283</v>
      </c>
      <c r="L873">
        <f>COUNTIF($A$2:A873,A873)</f>
        <v>18</v>
      </c>
    </row>
    <row r="874" spans="1:12" x14ac:dyDescent="0.3">
      <c r="A874">
        <v>12626</v>
      </c>
      <c r="B874" t="s">
        <v>239</v>
      </c>
      <c r="C874" t="s">
        <v>251</v>
      </c>
      <c r="D874" t="s">
        <v>252</v>
      </c>
      <c r="E874">
        <v>114</v>
      </c>
      <c r="F874">
        <v>39.450000000000003</v>
      </c>
      <c r="G874">
        <v>29.04</v>
      </c>
      <c r="H874">
        <v>31.51</v>
      </c>
      <c r="I874">
        <v>0</v>
      </c>
      <c r="J874" s="1">
        <v>45927.783420011576</v>
      </c>
      <c r="K874" t="s">
        <v>283</v>
      </c>
      <c r="L874">
        <f>COUNTIF($A$2:A874,A874)</f>
        <v>19</v>
      </c>
    </row>
    <row r="875" spans="1:12" x14ac:dyDescent="0.3">
      <c r="A875">
        <v>12626</v>
      </c>
      <c r="B875" t="s">
        <v>239</v>
      </c>
      <c r="C875" t="s">
        <v>259</v>
      </c>
      <c r="D875" t="s">
        <v>260</v>
      </c>
      <c r="E875">
        <v>112</v>
      </c>
      <c r="F875">
        <v>38.630000000000003</v>
      </c>
      <c r="G875">
        <v>29.86</v>
      </c>
      <c r="H875">
        <v>31.51</v>
      </c>
      <c r="I875">
        <v>0</v>
      </c>
      <c r="J875" s="1">
        <v>45927.783272650464</v>
      </c>
      <c r="K875" t="s">
        <v>283</v>
      </c>
      <c r="L875">
        <f>COUNTIF($A$2:A875,A875)</f>
        <v>20</v>
      </c>
    </row>
    <row r="876" spans="1:12" x14ac:dyDescent="0.3">
      <c r="A876">
        <v>12626</v>
      </c>
      <c r="B876" t="s">
        <v>239</v>
      </c>
      <c r="C876" t="s">
        <v>249</v>
      </c>
      <c r="D876" t="s">
        <v>250</v>
      </c>
      <c r="E876">
        <v>115</v>
      </c>
      <c r="F876">
        <v>38.36</v>
      </c>
      <c r="G876">
        <v>30.41</v>
      </c>
      <c r="H876">
        <v>31.23</v>
      </c>
      <c r="I876">
        <v>0</v>
      </c>
      <c r="J876" s="1">
        <v>45927.783439780091</v>
      </c>
      <c r="K876" t="s">
        <v>283</v>
      </c>
      <c r="L876">
        <f>COUNTIF($A$2:A876,A876)</f>
        <v>21</v>
      </c>
    </row>
    <row r="877" spans="1:12" x14ac:dyDescent="0.3">
      <c r="A877">
        <v>12626</v>
      </c>
      <c r="B877" t="s">
        <v>239</v>
      </c>
      <c r="C877" t="s">
        <v>31</v>
      </c>
      <c r="D877" t="s">
        <v>32</v>
      </c>
      <c r="E877">
        <v>110</v>
      </c>
      <c r="F877">
        <v>37.81</v>
      </c>
      <c r="G877">
        <v>27.4</v>
      </c>
      <c r="H877">
        <v>34.25</v>
      </c>
      <c r="I877">
        <v>0.54</v>
      </c>
      <c r="J877" s="1">
        <v>45927.78311369213</v>
      </c>
      <c r="K877" t="s">
        <v>283</v>
      </c>
      <c r="L877">
        <f>COUNTIF($A$2:A877,A877)</f>
        <v>22</v>
      </c>
    </row>
    <row r="878" spans="1:12" x14ac:dyDescent="0.3">
      <c r="A878">
        <v>12626</v>
      </c>
      <c r="B878" t="s">
        <v>239</v>
      </c>
      <c r="C878" t="s">
        <v>271</v>
      </c>
      <c r="D878" t="s">
        <v>272</v>
      </c>
      <c r="E878">
        <v>105</v>
      </c>
      <c r="F878">
        <v>36.99</v>
      </c>
      <c r="G878">
        <v>28.22</v>
      </c>
      <c r="H878">
        <v>34.79</v>
      </c>
      <c r="I878">
        <v>0</v>
      </c>
      <c r="J878" s="1">
        <v>45927.782958668984</v>
      </c>
      <c r="K878" t="s">
        <v>283</v>
      </c>
      <c r="L878">
        <f>COUNTIF($A$2:A878,A878)</f>
        <v>23</v>
      </c>
    </row>
    <row r="879" spans="1:12" x14ac:dyDescent="0.3">
      <c r="A879">
        <v>12626</v>
      </c>
      <c r="B879" t="s">
        <v>239</v>
      </c>
      <c r="C879" t="s">
        <v>275</v>
      </c>
      <c r="D879" t="s">
        <v>276</v>
      </c>
      <c r="E879">
        <v>107</v>
      </c>
      <c r="F879">
        <v>33.15</v>
      </c>
      <c r="G879">
        <v>31.23</v>
      </c>
      <c r="H879">
        <v>35.619999999999997</v>
      </c>
      <c r="I879">
        <v>0</v>
      </c>
      <c r="J879" s="1">
        <v>45927.78289829861</v>
      </c>
      <c r="K879" t="s">
        <v>283</v>
      </c>
      <c r="L879">
        <f>COUNTIF($A$2:A879,A879)</f>
        <v>24</v>
      </c>
    </row>
    <row r="880" spans="1:12" x14ac:dyDescent="0.3">
      <c r="A880">
        <v>12626</v>
      </c>
      <c r="B880" t="s">
        <v>239</v>
      </c>
      <c r="C880" t="s">
        <v>247</v>
      </c>
      <c r="D880" t="s">
        <v>248</v>
      </c>
      <c r="E880">
        <v>117</v>
      </c>
      <c r="F880">
        <v>32.049999999999997</v>
      </c>
      <c r="G880">
        <v>36.99</v>
      </c>
      <c r="H880">
        <v>30.96</v>
      </c>
      <c r="I880">
        <v>0</v>
      </c>
      <c r="J880" s="1">
        <v>45927.783455370372</v>
      </c>
      <c r="K880" t="s">
        <v>283</v>
      </c>
      <c r="L880">
        <f>COUNTIF($A$2:A880,A880)</f>
        <v>25</v>
      </c>
    </row>
    <row r="881" spans="1:12" x14ac:dyDescent="0.3">
      <c r="A881">
        <v>12626</v>
      </c>
      <c r="B881" t="s">
        <v>239</v>
      </c>
      <c r="C881" t="s">
        <v>96</v>
      </c>
      <c r="D881" t="s">
        <v>97</v>
      </c>
      <c r="E881">
        <v>88</v>
      </c>
      <c r="F881">
        <v>30.96</v>
      </c>
      <c r="G881">
        <v>48.22</v>
      </c>
      <c r="H881">
        <v>20.55</v>
      </c>
      <c r="I881">
        <v>0.27</v>
      </c>
      <c r="J881" s="1">
        <v>45927.782706759259</v>
      </c>
      <c r="K881" t="s">
        <v>283</v>
      </c>
      <c r="L881">
        <f>COUNTIF($A$2:A881,A881)</f>
        <v>26</v>
      </c>
    </row>
    <row r="882" spans="1:12" x14ac:dyDescent="0.3">
      <c r="A882">
        <v>12626</v>
      </c>
      <c r="B882" t="s">
        <v>239</v>
      </c>
      <c r="C882" t="s">
        <v>88</v>
      </c>
      <c r="D882" t="s">
        <v>89</v>
      </c>
      <c r="E882">
        <v>98</v>
      </c>
      <c r="F882">
        <v>26.85</v>
      </c>
      <c r="G882">
        <v>43.84</v>
      </c>
      <c r="H882">
        <v>29.04</v>
      </c>
      <c r="I882">
        <v>0.27</v>
      </c>
      <c r="J882" s="1">
        <v>45927.782821342589</v>
      </c>
      <c r="K882" t="s">
        <v>283</v>
      </c>
      <c r="L882">
        <f>COUNTIF($A$2:A882,A882)</f>
        <v>27</v>
      </c>
    </row>
    <row r="883" spans="1:12" x14ac:dyDescent="0.3">
      <c r="A883">
        <v>12626</v>
      </c>
      <c r="B883" t="s">
        <v>239</v>
      </c>
      <c r="C883" t="s">
        <v>176</v>
      </c>
      <c r="D883" t="s">
        <v>177</v>
      </c>
      <c r="E883">
        <v>103</v>
      </c>
      <c r="F883">
        <v>24.38</v>
      </c>
      <c r="G883">
        <v>41.1</v>
      </c>
      <c r="H883">
        <v>34.25</v>
      </c>
      <c r="I883">
        <v>0.27</v>
      </c>
      <c r="J883" s="1">
        <v>45927.782841030094</v>
      </c>
      <c r="K883" t="s">
        <v>283</v>
      </c>
      <c r="L883">
        <f>COUNTIF($A$2:A883,A883)</f>
        <v>28</v>
      </c>
    </row>
    <row r="884" spans="1:12" x14ac:dyDescent="0.3">
      <c r="A884">
        <v>12626</v>
      </c>
      <c r="B884" t="s">
        <v>239</v>
      </c>
      <c r="C884" t="s">
        <v>178</v>
      </c>
      <c r="D884" t="s">
        <v>179</v>
      </c>
      <c r="E884">
        <v>107</v>
      </c>
      <c r="F884">
        <v>23.56</v>
      </c>
      <c r="G884">
        <v>39.729999999999997</v>
      </c>
      <c r="H884">
        <v>36.44</v>
      </c>
      <c r="I884">
        <v>0.27</v>
      </c>
      <c r="J884" s="1">
        <v>45927.782858078703</v>
      </c>
      <c r="K884" t="s">
        <v>283</v>
      </c>
      <c r="L884">
        <f>COUNTIF($A$2:A884,A884)</f>
        <v>29</v>
      </c>
    </row>
    <row r="885" spans="1:12" x14ac:dyDescent="0.3">
      <c r="A885">
        <v>12626</v>
      </c>
      <c r="B885" t="s">
        <v>239</v>
      </c>
      <c r="C885" t="s">
        <v>265</v>
      </c>
      <c r="D885" t="s">
        <v>266</v>
      </c>
      <c r="E885">
        <v>110</v>
      </c>
      <c r="F885">
        <v>20</v>
      </c>
      <c r="G885">
        <v>49.04</v>
      </c>
      <c r="H885">
        <v>30.96</v>
      </c>
      <c r="I885">
        <v>0</v>
      </c>
      <c r="J885" s="1">
        <v>45927.783196377313</v>
      </c>
      <c r="K885" t="s">
        <v>283</v>
      </c>
      <c r="L885">
        <f>COUNTIF($A$2:A885,A885)</f>
        <v>30</v>
      </c>
    </row>
    <row r="886" spans="1:12" x14ac:dyDescent="0.3">
      <c r="A886">
        <v>12626</v>
      </c>
      <c r="B886" t="s">
        <v>239</v>
      </c>
      <c r="C886" t="s">
        <v>261</v>
      </c>
      <c r="D886" t="s">
        <v>262</v>
      </c>
      <c r="E886">
        <v>116</v>
      </c>
      <c r="F886">
        <v>18.079999999999998</v>
      </c>
      <c r="G886">
        <v>49.04</v>
      </c>
      <c r="H886">
        <v>32.880000000000003</v>
      </c>
      <c r="I886">
        <v>0</v>
      </c>
      <c r="J886" s="1">
        <v>45927.783228113425</v>
      </c>
      <c r="K886" t="s">
        <v>283</v>
      </c>
      <c r="L886">
        <f>COUNTIF($A$2:A886,A886)</f>
        <v>31</v>
      </c>
    </row>
    <row r="887" spans="1:12" x14ac:dyDescent="0.3">
      <c r="A887">
        <v>12626</v>
      </c>
      <c r="B887" t="s">
        <v>239</v>
      </c>
      <c r="C887" t="s">
        <v>245</v>
      </c>
      <c r="D887" t="s">
        <v>246</v>
      </c>
      <c r="E887">
        <v>123</v>
      </c>
      <c r="F887">
        <v>16.989999999999998</v>
      </c>
      <c r="G887">
        <v>51.78</v>
      </c>
      <c r="H887">
        <v>31.23</v>
      </c>
      <c r="I887">
        <v>0</v>
      </c>
      <c r="J887" s="1">
        <v>45927.783495324074</v>
      </c>
      <c r="K887" t="s">
        <v>283</v>
      </c>
      <c r="L887">
        <f>COUNTIF($A$2:A887,A887)</f>
        <v>32</v>
      </c>
    </row>
    <row r="888" spans="1:12" x14ac:dyDescent="0.3">
      <c r="A888">
        <v>12626</v>
      </c>
      <c r="B888" t="s">
        <v>239</v>
      </c>
      <c r="C888" t="s">
        <v>267</v>
      </c>
      <c r="D888" t="s">
        <v>268</v>
      </c>
      <c r="E888">
        <v>117</v>
      </c>
      <c r="F888">
        <v>16.71</v>
      </c>
      <c r="G888">
        <v>49.32</v>
      </c>
      <c r="H888">
        <v>33.97</v>
      </c>
      <c r="I888">
        <v>0</v>
      </c>
      <c r="J888" s="1">
        <v>45927.78317800926</v>
      </c>
      <c r="K888" t="s">
        <v>283</v>
      </c>
      <c r="L888">
        <f>COUNTIF($A$2:A888,A888)</f>
        <v>33</v>
      </c>
    </row>
    <row r="889" spans="1:12" x14ac:dyDescent="0.3">
      <c r="A889">
        <v>12626</v>
      </c>
      <c r="B889" t="s">
        <v>239</v>
      </c>
      <c r="C889" t="s">
        <v>279</v>
      </c>
      <c r="D889" t="s">
        <v>280</v>
      </c>
      <c r="E889">
        <v>63</v>
      </c>
      <c r="F889">
        <v>13.7</v>
      </c>
      <c r="G889">
        <v>70.959999999999994</v>
      </c>
      <c r="H889">
        <v>15.34</v>
      </c>
      <c r="I889">
        <v>0</v>
      </c>
      <c r="J889" s="1">
        <v>45927.782502083333</v>
      </c>
      <c r="K889" t="s">
        <v>283</v>
      </c>
      <c r="L889">
        <f>COUNTIF($A$2:A889,A889)</f>
        <v>34</v>
      </c>
    </row>
    <row r="890" spans="1:12" x14ac:dyDescent="0.3">
      <c r="A890">
        <v>12626</v>
      </c>
      <c r="B890" t="s">
        <v>239</v>
      </c>
      <c r="C890" t="s">
        <v>273</v>
      </c>
      <c r="D890" t="s">
        <v>274</v>
      </c>
      <c r="E890">
        <v>114</v>
      </c>
      <c r="F890">
        <v>13.7</v>
      </c>
      <c r="G890">
        <v>49.59</v>
      </c>
      <c r="H890">
        <v>36.71</v>
      </c>
      <c r="I890">
        <v>0</v>
      </c>
      <c r="J890" s="1">
        <v>45927.7829408912</v>
      </c>
      <c r="K890" t="s">
        <v>283</v>
      </c>
      <c r="L890">
        <f>COUNTIF($A$2:A890,A890)</f>
        <v>35</v>
      </c>
    </row>
    <row r="891" spans="1:12" x14ac:dyDescent="0.3">
      <c r="A891">
        <v>12626</v>
      </c>
      <c r="B891" t="s">
        <v>239</v>
      </c>
      <c r="C891" t="s">
        <v>243</v>
      </c>
      <c r="D891" t="s">
        <v>244</v>
      </c>
      <c r="E891">
        <v>126</v>
      </c>
      <c r="F891">
        <v>13.15</v>
      </c>
      <c r="G891">
        <v>53.42</v>
      </c>
      <c r="H891">
        <v>33.42</v>
      </c>
      <c r="I891">
        <v>0.01</v>
      </c>
      <c r="J891" s="1">
        <v>45927.783513784721</v>
      </c>
      <c r="K891" t="s">
        <v>283</v>
      </c>
      <c r="L891">
        <f>COUNTIF($A$2:A891,A891)</f>
        <v>36</v>
      </c>
    </row>
    <row r="892" spans="1:12" x14ac:dyDescent="0.3">
      <c r="A892">
        <v>12626</v>
      </c>
      <c r="B892" t="s">
        <v>239</v>
      </c>
      <c r="C892" t="s">
        <v>202</v>
      </c>
      <c r="D892" t="s">
        <v>203</v>
      </c>
      <c r="E892">
        <v>103</v>
      </c>
      <c r="F892">
        <v>9.32</v>
      </c>
      <c r="G892">
        <v>60.27</v>
      </c>
      <c r="H892">
        <v>30.14</v>
      </c>
      <c r="I892">
        <v>0.27</v>
      </c>
      <c r="J892" s="1">
        <v>45927.782722488424</v>
      </c>
      <c r="K892" t="s">
        <v>283</v>
      </c>
      <c r="L892">
        <f>COUNTIF($A$2:A892,A892)</f>
        <v>37</v>
      </c>
    </row>
    <row r="893" spans="1:12" x14ac:dyDescent="0.3">
      <c r="A893">
        <v>12626</v>
      </c>
      <c r="B893" t="s">
        <v>239</v>
      </c>
      <c r="C893" t="s">
        <v>106</v>
      </c>
      <c r="D893" t="s">
        <v>107</v>
      </c>
      <c r="E893">
        <v>68</v>
      </c>
      <c r="F893">
        <v>5.75</v>
      </c>
      <c r="G893">
        <v>77.53</v>
      </c>
      <c r="H893">
        <v>16.16</v>
      </c>
      <c r="I893">
        <v>0.56000000000000005</v>
      </c>
      <c r="J893" s="1">
        <v>45927.782520196757</v>
      </c>
      <c r="K893" t="s">
        <v>283</v>
      </c>
      <c r="L893">
        <f>COUNTIF($A$2:A893,A893)</f>
        <v>38</v>
      </c>
    </row>
    <row r="894" spans="1:12" x14ac:dyDescent="0.3">
      <c r="A894">
        <v>12626</v>
      </c>
      <c r="B894" t="s">
        <v>239</v>
      </c>
      <c r="C894" t="s">
        <v>263</v>
      </c>
      <c r="D894" t="s">
        <v>264</v>
      </c>
      <c r="E894">
        <v>121</v>
      </c>
      <c r="F894">
        <v>5.75</v>
      </c>
      <c r="G894">
        <v>60.55</v>
      </c>
      <c r="H894">
        <v>33.700000000000003</v>
      </c>
      <c r="I894">
        <v>0</v>
      </c>
      <c r="J894" s="1">
        <v>45927.783211631948</v>
      </c>
      <c r="K894" t="s">
        <v>283</v>
      </c>
      <c r="L894">
        <f>COUNTIF($A$2:A894,A894)</f>
        <v>39</v>
      </c>
    </row>
    <row r="895" spans="1:12" x14ac:dyDescent="0.3">
      <c r="A895">
        <v>12626</v>
      </c>
      <c r="B895" t="s">
        <v>239</v>
      </c>
      <c r="C895" t="s">
        <v>200</v>
      </c>
      <c r="D895" t="s">
        <v>201</v>
      </c>
      <c r="E895">
        <v>116</v>
      </c>
      <c r="F895">
        <v>1.92</v>
      </c>
      <c r="G895">
        <v>58.36</v>
      </c>
      <c r="H895">
        <v>39.450000000000003</v>
      </c>
      <c r="I895">
        <v>0.27</v>
      </c>
      <c r="J895" s="1">
        <v>45927.782737986112</v>
      </c>
      <c r="K895" t="s">
        <v>283</v>
      </c>
      <c r="L895">
        <f>COUNTIF($A$2:A895,A895)</f>
        <v>40</v>
      </c>
    </row>
    <row r="896" spans="1:12" x14ac:dyDescent="0.3">
      <c r="A896">
        <v>12626</v>
      </c>
      <c r="B896" t="s">
        <v>239</v>
      </c>
      <c r="C896" t="s">
        <v>196</v>
      </c>
      <c r="D896" t="s">
        <v>197</v>
      </c>
      <c r="E896">
        <v>118</v>
      </c>
      <c r="F896">
        <v>1.37</v>
      </c>
      <c r="G896">
        <v>57.26</v>
      </c>
      <c r="H896">
        <v>41.1</v>
      </c>
      <c r="I896">
        <v>0.27</v>
      </c>
      <c r="J896" s="1">
        <v>45927.782786018521</v>
      </c>
      <c r="K896" t="s">
        <v>283</v>
      </c>
      <c r="L896">
        <f>COUNTIF($A$2:A896,A896)</f>
        <v>41</v>
      </c>
    </row>
    <row r="897" spans="1:12" x14ac:dyDescent="0.3">
      <c r="A897">
        <v>12626</v>
      </c>
      <c r="B897" t="s">
        <v>239</v>
      </c>
      <c r="C897" t="s">
        <v>92</v>
      </c>
      <c r="D897" t="s">
        <v>93</v>
      </c>
      <c r="E897">
        <v>128</v>
      </c>
      <c r="F897">
        <v>1.37</v>
      </c>
      <c r="G897">
        <v>47.12</v>
      </c>
      <c r="H897">
        <v>51.23</v>
      </c>
      <c r="I897">
        <v>0.28000000000000003</v>
      </c>
      <c r="J897" s="1">
        <v>45927.78280267361</v>
      </c>
      <c r="K897" t="s">
        <v>283</v>
      </c>
      <c r="L897">
        <f>COUNTIF($A$2:A897,A897)</f>
        <v>42</v>
      </c>
    </row>
    <row r="898" spans="1:12" x14ac:dyDescent="0.3">
      <c r="A898">
        <v>12631</v>
      </c>
      <c r="B898" t="s">
        <v>68</v>
      </c>
      <c r="C898" t="s">
        <v>40</v>
      </c>
      <c r="D898" t="s">
        <v>41</v>
      </c>
      <c r="E898">
        <v>3</v>
      </c>
      <c r="F898">
        <v>99.45</v>
      </c>
      <c r="G898">
        <v>0.27</v>
      </c>
      <c r="H898">
        <v>0.27</v>
      </c>
      <c r="I898">
        <v>0.01</v>
      </c>
      <c r="J898" s="1">
        <v>45927.748946446758</v>
      </c>
      <c r="K898" t="s">
        <v>69</v>
      </c>
      <c r="L898">
        <f>COUNTIF($A$2:A898,A898)</f>
        <v>1</v>
      </c>
    </row>
    <row r="899" spans="1:12" x14ac:dyDescent="0.3">
      <c r="A899">
        <v>12631</v>
      </c>
      <c r="B899" t="s">
        <v>68</v>
      </c>
      <c r="C899" t="s">
        <v>80</v>
      </c>
      <c r="D899" t="s">
        <v>81</v>
      </c>
      <c r="E899">
        <v>0</v>
      </c>
      <c r="F899">
        <v>98.63</v>
      </c>
      <c r="G899">
        <v>0.82</v>
      </c>
      <c r="H899">
        <v>0.55000000000000004</v>
      </c>
      <c r="I899">
        <v>0</v>
      </c>
      <c r="J899" s="1">
        <v>45927.749562083336</v>
      </c>
      <c r="K899" t="s">
        <v>69</v>
      </c>
      <c r="L899">
        <f>COUNTIF($A$2:A899,A899)</f>
        <v>2</v>
      </c>
    </row>
    <row r="900" spans="1:12" x14ac:dyDescent="0.3">
      <c r="A900">
        <v>12631</v>
      </c>
      <c r="B900" t="s">
        <v>68</v>
      </c>
      <c r="C900" t="s">
        <v>43</v>
      </c>
      <c r="D900" t="s">
        <v>44</v>
      </c>
      <c r="E900">
        <v>6</v>
      </c>
      <c r="F900">
        <v>97.26</v>
      </c>
      <c r="G900">
        <v>2.19</v>
      </c>
      <c r="H900">
        <v>0.55000000000000004</v>
      </c>
      <c r="I900">
        <v>0</v>
      </c>
      <c r="J900" s="1">
        <v>45927.748991388886</v>
      </c>
      <c r="K900" t="s">
        <v>69</v>
      </c>
      <c r="L900">
        <f>COUNTIF($A$2:A900,A900)</f>
        <v>3</v>
      </c>
    </row>
    <row r="901" spans="1:12" x14ac:dyDescent="0.3">
      <c r="A901">
        <v>12631</v>
      </c>
      <c r="B901" t="s">
        <v>68</v>
      </c>
      <c r="C901" t="s">
        <v>45</v>
      </c>
      <c r="D901" t="s">
        <v>46</v>
      </c>
      <c r="E901">
        <v>7</v>
      </c>
      <c r="F901">
        <v>96.16</v>
      </c>
      <c r="G901">
        <v>3.29</v>
      </c>
      <c r="H901">
        <v>0.55000000000000004</v>
      </c>
      <c r="I901">
        <v>0</v>
      </c>
      <c r="J901" s="1">
        <v>45927.749037476853</v>
      </c>
      <c r="K901" t="s">
        <v>69</v>
      </c>
      <c r="L901">
        <f>COUNTIF($A$2:A901,A901)</f>
        <v>4</v>
      </c>
    </row>
    <row r="902" spans="1:12" x14ac:dyDescent="0.3">
      <c r="A902">
        <v>12631</v>
      </c>
      <c r="B902" t="s">
        <v>68</v>
      </c>
      <c r="C902" t="s">
        <v>49</v>
      </c>
      <c r="D902" t="s">
        <v>50</v>
      </c>
      <c r="E902">
        <v>10</v>
      </c>
      <c r="F902">
        <v>82.74</v>
      </c>
      <c r="G902">
        <v>16.71</v>
      </c>
      <c r="H902">
        <v>0.55000000000000004</v>
      </c>
      <c r="I902">
        <v>0</v>
      </c>
      <c r="J902" s="1">
        <v>45927.749176597223</v>
      </c>
      <c r="K902" t="s">
        <v>69</v>
      </c>
      <c r="L902">
        <f>COUNTIF($A$2:A902,A902)</f>
        <v>5</v>
      </c>
    </row>
    <row r="903" spans="1:12" x14ac:dyDescent="0.3">
      <c r="A903">
        <v>12631</v>
      </c>
      <c r="B903" t="s">
        <v>68</v>
      </c>
      <c r="C903" t="s">
        <v>47</v>
      </c>
      <c r="D903" t="s">
        <v>48</v>
      </c>
      <c r="E903">
        <v>11</v>
      </c>
      <c r="F903">
        <v>82.47</v>
      </c>
      <c r="G903">
        <v>16.989999999999998</v>
      </c>
      <c r="H903">
        <v>0.55000000000000004</v>
      </c>
      <c r="I903">
        <v>0</v>
      </c>
      <c r="J903" s="1">
        <v>45927.749082615737</v>
      </c>
      <c r="K903" t="s">
        <v>69</v>
      </c>
      <c r="L903">
        <f>COUNTIF($A$2:A903,A903)</f>
        <v>6</v>
      </c>
    </row>
    <row r="904" spans="1:12" x14ac:dyDescent="0.3">
      <c r="A904">
        <v>12631</v>
      </c>
      <c r="B904" t="s">
        <v>68</v>
      </c>
      <c r="C904" t="s">
        <v>53</v>
      </c>
      <c r="D904" t="s">
        <v>54</v>
      </c>
      <c r="E904">
        <v>11</v>
      </c>
      <c r="F904">
        <v>78.36</v>
      </c>
      <c r="G904">
        <v>20.55</v>
      </c>
      <c r="H904">
        <v>1.1000000000000001</v>
      </c>
      <c r="I904">
        <v>0</v>
      </c>
      <c r="J904" s="1">
        <v>45927.749271817127</v>
      </c>
      <c r="K904" t="s">
        <v>69</v>
      </c>
      <c r="L904">
        <f>COUNTIF($A$2:A904,A904)</f>
        <v>7</v>
      </c>
    </row>
    <row r="905" spans="1:12" x14ac:dyDescent="0.3">
      <c r="A905">
        <v>12631</v>
      </c>
      <c r="B905" t="s">
        <v>68</v>
      </c>
      <c r="C905" t="s">
        <v>51</v>
      </c>
      <c r="D905" t="s">
        <v>52</v>
      </c>
      <c r="E905">
        <v>12</v>
      </c>
      <c r="F905">
        <v>75.62</v>
      </c>
      <c r="G905">
        <v>23.56</v>
      </c>
      <c r="H905">
        <v>0.82</v>
      </c>
      <c r="I905">
        <v>0</v>
      </c>
      <c r="J905" s="1">
        <v>45927.749224409723</v>
      </c>
      <c r="K905" t="s">
        <v>69</v>
      </c>
      <c r="L905">
        <f>COUNTIF($A$2:A905,A905)</f>
        <v>8</v>
      </c>
    </row>
    <row r="906" spans="1:12" x14ac:dyDescent="0.3">
      <c r="A906">
        <v>12631</v>
      </c>
      <c r="B906" t="s">
        <v>68</v>
      </c>
      <c r="C906" t="s">
        <v>57</v>
      </c>
      <c r="D906" t="s">
        <v>58</v>
      </c>
      <c r="E906">
        <v>13</v>
      </c>
      <c r="F906">
        <v>72.05</v>
      </c>
      <c r="G906">
        <v>26.58</v>
      </c>
      <c r="H906">
        <v>1.37</v>
      </c>
      <c r="I906">
        <v>0</v>
      </c>
      <c r="J906" s="1">
        <v>45927.749315127316</v>
      </c>
      <c r="K906" t="s">
        <v>69</v>
      </c>
      <c r="L906">
        <f>COUNTIF($A$2:A906,A906)</f>
        <v>9</v>
      </c>
    </row>
    <row r="907" spans="1:12" x14ac:dyDescent="0.3">
      <c r="A907">
        <v>12631</v>
      </c>
      <c r="B907" t="s">
        <v>68</v>
      </c>
      <c r="C907" t="s">
        <v>63</v>
      </c>
      <c r="D907" t="s">
        <v>64</v>
      </c>
      <c r="E907">
        <v>13</v>
      </c>
      <c r="F907">
        <v>68.22</v>
      </c>
      <c r="G907">
        <v>30.68</v>
      </c>
      <c r="H907">
        <v>1.1000000000000001</v>
      </c>
      <c r="I907">
        <v>0</v>
      </c>
      <c r="J907" s="1">
        <v>45927.749404490743</v>
      </c>
      <c r="K907" t="s">
        <v>69</v>
      </c>
      <c r="L907">
        <f>COUNTIF($A$2:A907,A907)</f>
        <v>10</v>
      </c>
    </row>
    <row r="908" spans="1:12" x14ac:dyDescent="0.3">
      <c r="A908">
        <v>12631</v>
      </c>
      <c r="B908" t="s">
        <v>68</v>
      </c>
      <c r="C908" t="s">
        <v>74</v>
      </c>
      <c r="D908" t="s">
        <v>75</v>
      </c>
      <c r="E908">
        <v>16</v>
      </c>
      <c r="F908">
        <v>61.64</v>
      </c>
      <c r="G908">
        <v>37.53</v>
      </c>
      <c r="H908">
        <v>0.82</v>
      </c>
      <c r="I908">
        <v>0.01</v>
      </c>
      <c r="J908" s="1">
        <v>45927.749423518515</v>
      </c>
      <c r="K908" t="s">
        <v>69</v>
      </c>
      <c r="L908">
        <f>COUNTIF($A$2:A908,A908)</f>
        <v>11</v>
      </c>
    </row>
    <row r="909" spans="1:12" x14ac:dyDescent="0.3">
      <c r="A909">
        <v>12631</v>
      </c>
      <c r="B909" t="s">
        <v>68</v>
      </c>
      <c r="C909" t="s">
        <v>76</v>
      </c>
      <c r="D909" t="s">
        <v>77</v>
      </c>
      <c r="E909">
        <v>15</v>
      </c>
      <c r="F909">
        <v>60.55</v>
      </c>
      <c r="G909">
        <v>38.36</v>
      </c>
      <c r="H909">
        <v>1.1000000000000001</v>
      </c>
      <c r="I909">
        <v>0</v>
      </c>
      <c r="J909" s="1">
        <v>45927.749471226853</v>
      </c>
      <c r="K909" t="s">
        <v>69</v>
      </c>
      <c r="L909">
        <f>COUNTIF($A$2:A909,A909)</f>
        <v>12</v>
      </c>
    </row>
    <row r="910" spans="1:12" x14ac:dyDescent="0.3">
      <c r="A910">
        <v>12631</v>
      </c>
      <c r="B910" t="s">
        <v>68</v>
      </c>
      <c r="C910" t="s">
        <v>70</v>
      </c>
      <c r="D910" t="s">
        <v>71</v>
      </c>
      <c r="E910">
        <v>17</v>
      </c>
      <c r="F910">
        <v>59.45</v>
      </c>
      <c r="G910">
        <v>40</v>
      </c>
      <c r="H910">
        <v>0.55000000000000004</v>
      </c>
      <c r="I910">
        <v>0</v>
      </c>
      <c r="J910" s="1">
        <v>45927.749129062497</v>
      </c>
      <c r="K910" t="s">
        <v>69</v>
      </c>
      <c r="L910">
        <f>COUNTIF($A$2:A910,A910)</f>
        <v>13</v>
      </c>
    </row>
    <row r="911" spans="1:12" x14ac:dyDescent="0.3">
      <c r="A911">
        <v>12631</v>
      </c>
      <c r="B911" t="s">
        <v>68</v>
      </c>
      <c r="C911" t="s">
        <v>72</v>
      </c>
      <c r="D911" t="s">
        <v>73</v>
      </c>
      <c r="E911">
        <v>16</v>
      </c>
      <c r="F911">
        <v>58.36</v>
      </c>
      <c r="G911">
        <v>40.270000000000003</v>
      </c>
      <c r="H911">
        <v>1.37</v>
      </c>
      <c r="I911">
        <v>0</v>
      </c>
      <c r="J911" s="1">
        <v>45927.749358067129</v>
      </c>
      <c r="K911" t="s">
        <v>69</v>
      </c>
      <c r="L911">
        <f>COUNTIF($A$2:A911,A911)</f>
        <v>14</v>
      </c>
    </row>
    <row r="912" spans="1:12" x14ac:dyDescent="0.3">
      <c r="A912">
        <v>12631</v>
      </c>
      <c r="B912" t="s">
        <v>68</v>
      </c>
      <c r="C912" t="s">
        <v>78</v>
      </c>
      <c r="D912" t="s">
        <v>79</v>
      </c>
      <c r="E912">
        <v>17</v>
      </c>
      <c r="F912">
        <v>56.44</v>
      </c>
      <c r="G912">
        <v>42.47</v>
      </c>
      <c r="H912">
        <v>1.1000000000000001</v>
      </c>
      <c r="I912">
        <v>0</v>
      </c>
      <c r="J912" s="1">
        <v>45927.749517800927</v>
      </c>
      <c r="K912" t="s">
        <v>69</v>
      </c>
      <c r="L912">
        <f>COUNTIF($A$2:A912,A912)</f>
        <v>15</v>
      </c>
    </row>
    <row r="913" spans="1:12" x14ac:dyDescent="0.3">
      <c r="A913">
        <v>12632</v>
      </c>
      <c r="B913" t="s">
        <v>68</v>
      </c>
      <c r="C913" t="s">
        <v>80</v>
      </c>
      <c r="D913" t="s">
        <v>81</v>
      </c>
      <c r="E913">
        <v>3</v>
      </c>
      <c r="F913">
        <v>99.18</v>
      </c>
      <c r="G913">
        <v>0.82</v>
      </c>
      <c r="H913">
        <v>0</v>
      </c>
      <c r="I913">
        <v>0</v>
      </c>
      <c r="J913" s="1">
        <v>45927.749633217594</v>
      </c>
      <c r="K913" t="s">
        <v>82</v>
      </c>
      <c r="L913">
        <f>COUNTIF($A$2:A913,A913)</f>
        <v>1</v>
      </c>
    </row>
    <row r="914" spans="1:12" x14ac:dyDescent="0.3">
      <c r="A914">
        <v>12632</v>
      </c>
      <c r="B914" t="s">
        <v>68</v>
      </c>
      <c r="C914" t="s">
        <v>78</v>
      </c>
      <c r="D914" t="s">
        <v>79</v>
      </c>
      <c r="E914">
        <v>8</v>
      </c>
      <c r="F914">
        <v>96.16</v>
      </c>
      <c r="G914">
        <v>3.84</v>
      </c>
      <c r="H914">
        <v>0</v>
      </c>
      <c r="I914">
        <v>0</v>
      </c>
      <c r="J914" s="1">
        <v>45927.74967690972</v>
      </c>
      <c r="K914" t="s">
        <v>82</v>
      </c>
      <c r="L914">
        <f>COUNTIF($A$2:A914,A914)</f>
        <v>2</v>
      </c>
    </row>
    <row r="915" spans="1:12" x14ac:dyDescent="0.3">
      <c r="A915">
        <v>12632</v>
      </c>
      <c r="B915" t="s">
        <v>68</v>
      </c>
      <c r="C915" t="s">
        <v>74</v>
      </c>
      <c r="D915" t="s">
        <v>75</v>
      </c>
      <c r="E915">
        <v>7</v>
      </c>
      <c r="F915">
        <v>96.16</v>
      </c>
      <c r="G915">
        <v>3.84</v>
      </c>
      <c r="H915">
        <v>0</v>
      </c>
      <c r="I915">
        <v>0</v>
      </c>
      <c r="J915" s="1">
        <v>45927.749769224538</v>
      </c>
      <c r="K915" t="s">
        <v>82</v>
      </c>
      <c r="L915">
        <f>COUNTIF($A$2:A915,A915)</f>
        <v>3</v>
      </c>
    </row>
    <row r="916" spans="1:12" x14ac:dyDescent="0.3">
      <c r="A916">
        <v>12632</v>
      </c>
      <c r="B916" t="s">
        <v>68</v>
      </c>
      <c r="C916" t="s">
        <v>40</v>
      </c>
      <c r="D916" t="s">
        <v>41</v>
      </c>
      <c r="E916">
        <v>0</v>
      </c>
      <c r="F916">
        <v>94.52</v>
      </c>
      <c r="G916">
        <v>3.01</v>
      </c>
      <c r="H916">
        <v>2.19</v>
      </c>
      <c r="I916">
        <v>0.28000000000000003</v>
      </c>
      <c r="J916" s="1">
        <v>45927.750156817128</v>
      </c>
      <c r="K916" t="s">
        <v>82</v>
      </c>
      <c r="L916">
        <f>COUNTIF($A$2:A916,A916)</f>
        <v>4</v>
      </c>
    </row>
    <row r="917" spans="1:12" x14ac:dyDescent="0.3">
      <c r="A917">
        <v>12632</v>
      </c>
      <c r="B917" t="s">
        <v>68</v>
      </c>
      <c r="C917" t="s">
        <v>53</v>
      </c>
      <c r="D917" t="s">
        <v>54</v>
      </c>
      <c r="E917">
        <v>7</v>
      </c>
      <c r="F917">
        <v>91.78</v>
      </c>
      <c r="G917">
        <v>8.2200000000000006</v>
      </c>
      <c r="H917">
        <v>0</v>
      </c>
      <c r="I917">
        <v>0</v>
      </c>
      <c r="J917" s="1">
        <v>45927.749957569446</v>
      </c>
      <c r="K917" t="s">
        <v>82</v>
      </c>
      <c r="L917">
        <f>COUNTIF($A$2:A917,A917)</f>
        <v>5</v>
      </c>
    </row>
    <row r="918" spans="1:12" x14ac:dyDescent="0.3">
      <c r="A918">
        <v>12632</v>
      </c>
      <c r="B918" t="s">
        <v>68</v>
      </c>
      <c r="C918" t="s">
        <v>76</v>
      </c>
      <c r="D918" t="s">
        <v>77</v>
      </c>
      <c r="E918">
        <v>9</v>
      </c>
      <c r="F918">
        <v>90.96</v>
      </c>
      <c r="G918">
        <v>9.0399999999999991</v>
      </c>
      <c r="H918">
        <v>0</v>
      </c>
      <c r="I918">
        <v>0</v>
      </c>
      <c r="J918" s="1">
        <v>45927.749722916669</v>
      </c>
      <c r="K918" t="s">
        <v>82</v>
      </c>
      <c r="L918">
        <f>COUNTIF($A$2:A918,A918)</f>
        <v>6</v>
      </c>
    </row>
    <row r="919" spans="1:12" x14ac:dyDescent="0.3">
      <c r="A919">
        <v>12632</v>
      </c>
      <c r="B919" t="s">
        <v>68</v>
      </c>
      <c r="C919" t="s">
        <v>66</v>
      </c>
      <c r="D919" t="s">
        <v>67</v>
      </c>
      <c r="E919">
        <v>9</v>
      </c>
      <c r="F919">
        <v>89.32</v>
      </c>
      <c r="G919">
        <v>9.0399999999999991</v>
      </c>
      <c r="H919">
        <v>1.1000000000000001</v>
      </c>
      <c r="I919">
        <v>0.54</v>
      </c>
      <c r="J919" s="1">
        <v>45927.750137280091</v>
      </c>
      <c r="K919" t="s">
        <v>82</v>
      </c>
      <c r="L919">
        <f>COUNTIF($A$2:A919,A919)</f>
        <v>7</v>
      </c>
    </row>
    <row r="920" spans="1:12" x14ac:dyDescent="0.3">
      <c r="A920">
        <v>12632</v>
      </c>
      <c r="B920" t="s">
        <v>68</v>
      </c>
      <c r="C920" t="s">
        <v>57</v>
      </c>
      <c r="D920" t="s">
        <v>58</v>
      </c>
      <c r="E920">
        <v>9</v>
      </c>
      <c r="F920">
        <v>85.21</v>
      </c>
      <c r="G920">
        <v>14.79</v>
      </c>
      <c r="H920">
        <v>0</v>
      </c>
      <c r="I920">
        <v>0</v>
      </c>
      <c r="J920" s="1">
        <v>45927.749907604164</v>
      </c>
      <c r="K920" t="s">
        <v>82</v>
      </c>
      <c r="L920">
        <f>COUNTIF($A$2:A920,A920)</f>
        <v>8</v>
      </c>
    </row>
    <row r="921" spans="1:12" x14ac:dyDescent="0.3">
      <c r="A921">
        <v>12632</v>
      </c>
      <c r="B921" t="s">
        <v>68</v>
      </c>
      <c r="C921" t="s">
        <v>63</v>
      </c>
      <c r="D921" t="s">
        <v>64</v>
      </c>
      <c r="E921">
        <v>11</v>
      </c>
      <c r="F921">
        <v>78.900000000000006</v>
      </c>
      <c r="G921">
        <v>21.1</v>
      </c>
      <c r="H921">
        <v>0</v>
      </c>
      <c r="I921">
        <v>0</v>
      </c>
      <c r="J921" s="1">
        <v>45927.749818495373</v>
      </c>
      <c r="K921" t="s">
        <v>82</v>
      </c>
      <c r="L921">
        <f>COUNTIF($A$2:A921,A921)</f>
        <v>9</v>
      </c>
    </row>
    <row r="922" spans="1:12" x14ac:dyDescent="0.3">
      <c r="A922">
        <v>12632</v>
      </c>
      <c r="B922" t="s">
        <v>68</v>
      </c>
      <c r="C922" t="s">
        <v>72</v>
      </c>
      <c r="D922" t="s">
        <v>73</v>
      </c>
      <c r="E922">
        <v>13</v>
      </c>
      <c r="F922">
        <v>71.23</v>
      </c>
      <c r="G922">
        <v>28.77</v>
      </c>
      <c r="H922">
        <v>0</v>
      </c>
      <c r="I922">
        <v>0</v>
      </c>
      <c r="J922" s="1">
        <v>45927.74986314815</v>
      </c>
      <c r="K922" t="s">
        <v>82</v>
      </c>
      <c r="L922">
        <f>COUNTIF($A$2:A922,A922)</f>
        <v>10</v>
      </c>
    </row>
    <row r="923" spans="1:12" x14ac:dyDescent="0.3">
      <c r="A923">
        <v>12632</v>
      </c>
      <c r="B923" t="s">
        <v>68</v>
      </c>
      <c r="C923" t="s">
        <v>49</v>
      </c>
      <c r="D923" t="s">
        <v>50</v>
      </c>
      <c r="E923">
        <v>16</v>
      </c>
      <c r="F923">
        <v>54.79</v>
      </c>
      <c r="G923">
        <v>43.56</v>
      </c>
      <c r="H923">
        <v>1.64</v>
      </c>
      <c r="I923">
        <v>0.01</v>
      </c>
      <c r="J923" s="1">
        <v>45927.75002835648</v>
      </c>
      <c r="K923" t="s">
        <v>82</v>
      </c>
      <c r="L923">
        <f>COUNTIF($A$2:A923,A923)</f>
        <v>11</v>
      </c>
    </row>
    <row r="924" spans="1:12" x14ac:dyDescent="0.3">
      <c r="A924">
        <v>12632</v>
      </c>
      <c r="B924" t="s">
        <v>68</v>
      </c>
      <c r="C924" t="s">
        <v>45</v>
      </c>
      <c r="D924" t="s">
        <v>46</v>
      </c>
      <c r="E924">
        <v>19</v>
      </c>
      <c r="F924">
        <v>44.38</v>
      </c>
      <c r="G924">
        <v>53.42</v>
      </c>
      <c r="H924">
        <v>1.92</v>
      </c>
      <c r="I924">
        <v>0.28000000000000003</v>
      </c>
      <c r="J924" s="1">
        <v>45927.750097083335</v>
      </c>
      <c r="K924" t="s">
        <v>82</v>
      </c>
      <c r="L924">
        <f>COUNTIF($A$2:A924,A924)</f>
        <v>12</v>
      </c>
    </row>
    <row r="925" spans="1:12" x14ac:dyDescent="0.3">
      <c r="A925">
        <v>12632</v>
      </c>
      <c r="B925" t="s">
        <v>68</v>
      </c>
      <c r="C925" t="s">
        <v>70</v>
      </c>
      <c r="D925" t="s">
        <v>71</v>
      </c>
      <c r="E925">
        <v>19</v>
      </c>
      <c r="F925">
        <v>39.18</v>
      </c>
      <c r="G925">
        <v>58.9</v>
      </c>
      <c r="H925">
        <v>1.64</v>
      </c>
      <c r="I925">
        <v>0.28000000000000003</v>
      </c>
      <c r="J925" s="1">
        <v>45927.750052407406</v>
      </c>
      <c r="K925" t="s">
        <v>82</v>
      </c>
      <c r="L925">
        <f>COUNTIF($A$2:A925,A925)</f>
        <v>13</v>
      </c>
    </row>
    <row r="926" spans="1:12" x14ac:dyDescent="0.3">
      <c r="A926">
        <v>12632</v>
      </c>
      <c r="B926" t="s">
        <v>68</v>
      </c>
      <c r="C926" t="s">
        <v>47</v>
      </c>
      <c r="D926" t="s">
        <v>48</v>
      </c>
      <c r="E926">
        <v>20</v>
      </c>
      <c r="F926">
        <v>37.53</v>
      </c>
      <c r="G926">
        <v>60.55</v>
      </c>
      <c r="H926">
        <v>1.64</v>
      </c>
      <c r="I926">
        <v>0.28000000000000003</v>
      </c>
      <c r="J926" s="1">
        <v>45927.750072835646</v>
      </c>
      <c r="K926" t="s">
        <v>82</v>
      </c>
      <c r="L926">
        <f>COUNTIF($A$2:A926,A926)</f>
        <v>14</v>
      </c>
    </row>
    <row r="927" spans="1:12" x14ac:dyDescent="0.3">
      <c r="A927">
        <v>12632</v>
      </c>
      <c r="B927" t="s">
        <v>68</v>
      </c>
      <c r="C927" t="s">
        <v>51</v>
      </c>
      <c r="D927" t="s">
        <v>52</v>
      </c>
      <c r="E927">
        <v>22</v>
      </c>
      <c r="F927">
        <v>36.159999999999997</v>
      </c>
      <c r="G927">
        <v>62.74</v>
      </c>
      <c r="H927">
        <v>1.1000000000000001</v>
      </c>
      <c r="I927">
        <v>0</v>
      </c>
      <c r="J927" s="1">
        <v>45927.750006516202</v>
      </c>
      <c r="K927" t="s">
        <v>82</v>
      </c>
      <c r="L927">
        <f>COUNTIF($A$2:A927,A927)</f>
        <v>15</v>
      </c>
    </row>
    <row r="928" spans="1:12" x14ac:dyDescent="0.3">
      <c r="A928">
        <v>12632</v>
      </c>
      <c r="B928" t="s">
        <v>68</v>
      </c>
      <c r="C928" t="s">
        <v>43</v>
      </c>
      <c r="D928" t="s">
        <v>44</v>
      </c>
      <c r="E928">
        <v>24</v>
      </c>
      <c r="F928">
        <v>27.12</v>
      </c>
      <c r="G928">
        <v>69.59</v>
      </c>
      <c r="H928">
        <v>2.74</v>
      </c>
      <c r="I928">
        <v>0.55000000000000004</v>
      </c>
      <c r="J928" s="1">
        <v>45927.750117013886</v>
      </c>
      <c r="K928" t="s">
        <v>82</v>
      </c>
      <c r="L928">
        <f>COUNTIF($A$2:A928,A928)</f>
        <v>16</v>
      </c>
    </row>
    <row r="929" spans="1:12" x14ac:dyDescent="0.3">
      <c r="A929">
        <v>12637</v>
      </c>
      <c r="B929" t="s">
        <v>39</v>
      </c>
      <c r="C929" t="s">
        <v>40</v>
      </c>
      <c r="D929" t="s">
        <v>41</v>
      </c>
      <c r="E929">
        <v>2</v>
      </c>
      <c r="F929">
        <v>99.45</v>
      </c>
      <c r="G929">
        <v>0.55000000000000004</v>
      </c>
      <c r="H929">
        <v>0</v>
      </c>
      <c r="I929">
        <v>0</v>
      </c>
      <c r="J929" s="1">
        <v>45927.74796803241</v>
      </c>
      <c r="K929" t="s">
        <v>42</v>
      </c>
      <c r="L929">
        <f>COUNTIF($A$2:A929,A929)</f>
        <v>1</v>
      </c>
    </row>
    <row r="930" spans="1:12" x14ac:dyDescent="0.3">
      <c r="A930">
        <v>12637</v>
      </c>
      <c r="B930" t="s">
        <v>39</v>
      </c>
      <c r="C930" t="s">
        <v>43</v>
      </c>
      <c r="D930" t="s">
        <v>44</v>
      </c>
      <c r="E930">
        <v>4</v>
      </c>
      <c r="F930">
        <v>99.18</v>
      </c>
      <c r="G930">
        <v>0.82</v>
      </c>
      <c r="H930">
        <v>0</v>
      </c>
      <c r="I930">
        <v>0</v>
      </c>
      <c r="J930" s="1">
        <v>45927.748014189812</v>
      </c>
      <c r="K930" t="s">
        <v>42</v>
      </c>
      <c r="L930">
        <f>COUNTIF($A$2:A930,A930)</f>
        <v>2</v>
      </c>
    </row>
    <row r="931" spans="1:12" x14ac:dyDescent="0.3">
      <c r="A931">
        <v>12637</v>
      </c>
      <c r="B931" t="s">
        <v>39</v>
      </c>
      <c r="C931" t="s">
        <v>45</v>
      </c>
      <c r="D931" t="s">
        <v>46</v>
      </c>
      <c r="E931">
        <v>0</v>
      </c>
      <c r="F931">
        <v>98.9</v>
      </c>
      <c r="G931">
        <v>1.1000000000000001</v>
      </c>
      <c r="H931">
        <v>0</v>
      </c>
      <c r="I931">
        <v>0</v>
      </c>
      <c r="J931" s="1">
        <v>45927.748054247684</v>
      </c>
      <c r="K931" t="s">
        <v>42</v>
      </c>
      <c r="L931">
        <f>COUNTIF($A$2:A931,A931)</f>
        <v>3</v>
      </c>
    </row>
    <row r="932" spans="1:12" x14ac:dyDescent="0.3">
      <c r="A932">
        <v>12637</v>
      </c>
      <c r="B932" t="s">
        <v>39</v>
      </c>
      <c r="C932" t="s">
        <v>63</v>
      </c>
      <c r="D932" t="s">
        <v>64</v>
      </c>
      <c r="E932">
        <v>0</v>
      </c>
      <c r="F932">
        <v>98.36</v>
      </c>
      <c r="G932">
        <v>1.64</v>
      </c>
      <c r="H932">
        <v>0</v>
      </c>
      <c r="I932">
        <v>0</v>
      </c>
      <c r="J932" s="1">
        <v>45927.748440497686</v>
      </c>
      <c r="K932" t="s">
        <v>42</v>
      </c>
      <c r="L932">
        <f>COUNTIF($A$2:A932,A932)</f>
        <v>4</v>
      </c>
    </row>
    <row r="933" spans="1:12" x14ac:dyDescent="0.3">
      <c r="A933">
        <v>12637</v>
      </c>
      <c r="B933" t="s">
        <v>39</v>
      </c>
      <c r="C933" t="s">
        <v>51</v>
      </c>
      <c r="D933" t="s">
        <v>52</v>
      </c>
      <c r="E933">
        <v>7</v>
      </c>
      <c r="F933">
        <v>96.44</v>
      </c>
      <c r="G933">
        <v>3.29</v>
      </c>
      <c r="H933">
        <v>0.27</v>
      </c>
      <c r="I933">
        <v>0</v>
      </c>
      <c r="J933" s="1">
        <v>45927.748184930555</v>
      </c>
      <c r="K933" t="s">
        <v>42</v>
      </c>
      <c r="L933">
        <f>COUNTIF($A$2:A933,A933)</f>
        <v>5</v>
      </c>
    </row>
    <row r="934" spans="1:12" x14ac:dyDescent="0.3">
      <c r="A934">
        <v>12637</v>
      </c>
      <c r="B934" t="s">
        <v>39</v>
      </c>
      <c r="C934" t="s">
        <v>49</v>
      </c>
      <c r="D934" t="s">
        <v>50</v>
      </c>
      <c r="E934">
        <v>6</v>
      </c>
      <c r="F934">
        <v>95.07</v>
      </c>
      <c r="G934">
        <v>4.66</v>
      </c>
      <c r="H934">
        <v>0.27</v>
      </c>
      <c r="I934">
        <v>0</v>
      </c>
      <c r="J934" s="1">
        <v>45927.748136550923</v>
      </c>
      <c r="K934" t="s">
        <v>42</v>
      </c>
      <c r="L934">
        <f>COUNTIF($A$2:A934,A934)</f>
        <v>6</v>
      </c>
    </row>
    <row r="935" spans="1:12" x14ac:dyDescent="0.3">
      <c r="A935">
        <v>12637</v>
      </c>
      <c r="B935" t="s">
        <v>39</v>
      </c>
      <c r="C935" t="s">
        <v>53</v>
      </c>
      <c r="D935" t="s">
        <v>54</v>
      </c>
      <c r="E935">
        <v>8</v>
      </c>
      <c r="F935">
        <v>84.93</v>
      </c>
      <c r="G935">
        <v>14.79</v>
      </c>
      <c r="H935">
        <v>0.27</v>
      </c>
      <c r="I935">
        <v>0.01</v>
      </c>
      <c r="J935" s="1">
        <v>45927.748206550925</v>
      </c>
      <c r="K935" t="s">
        <v>42</v>
      </c>
      <c r="L935">
        <f>COUNTIF($A$2:A935,A935)</f>
        <v>7</v>
      </c>
    </row>
    <row r="936" spans="1:12" x14ac:dyDescent="0.3">
      <c r="A936">
        <v>12637</v>
      </c>
      <c r="B936" t="s">
        <v>39</v>
      </c>
      <c r="C936" t="s">
        <v>55</v>
      </c>
      <c r="D936" t="s">
        <v>56</v>
      </c>
      <c r="E936">
        <v>14</v>
      </c>
      <c r="F936">
        <v>63.29</v>
      </c>
      <c r="G936">
        <v>36.44</v>
      </c>
      <c r="H936">
        <v>0.27</v>
      </c>
      <c r="I936">
        <v>0</v>
      </c>
      <c r="J936" s="1">
        <v>45927.748255613427</v>
      </c>
      <c r="K936" t="s">
        <v>42</v>
      </c>
      <c r="L936">
        <f>COUNTIF($A$2:A936,A936)</f>
        <v>8</v>
      </c>
    </row>
    <row r="937" spans="1:12" x14ac:dyDescent="0.3">
      <c r="A937">
        <v>12637</v>
      </c>
      <c r="B937" t="s">
        <v>39</v>
      </c>
      <c r="C937" t="s">
        <v>57</v>
      </c>
      <c r="D937" t="s">
        <v>58</v>
      </c>
      <c r="E937">
        <v>17</v>
      </c>
      <c r="F937">
        <v>55.62</v>
      </c>
      <c r="G937">
        <v>43.56</v>
      </c>
      <c r="H937">
        <v>0.82</v>
      </c>
      <c r="I937">
        <v>0</v>
      </c>
      <c r="J937" s="1">
        <v>45927.748302152781</v>
      </c>
      <c r="K937" t="s">
        <v>42</v>
      </c>
      <c r="L937">
        <f>COUNTIF($A$2:A937,A937)</f>
        <v>9</v>
      </c>
    </row>
    <row r="938" spans="1:12" x14ac:dyDescent="0.3">
      <c r="A938">
        <v>12637</v>
      </c>
      <c r="B938" t="s">
        <v>39</v>
      </c>
      <c r="C938" t="s">
        <v>59</v>
      </c>
      <c r="D938" t="s">
        <v>60</v>
      </c>
      <c r="E938">
        <v>19</v>
      </c>
      <c r="F938">
        <v>44.66</v>
      </c>
      <c r="G938">
        <v>54.52</v>
      </c>
      <c r="H938">
        <v>0.82</v>
      </c>
      <c r="I938">
        <v>0</v>
      </c>
      <c r="J938" s="1">
        <v>45927.748350462964</v>
      </c>
      <c r="K938" t="s">
        <v>42</v>
      </c>
      <c r="L938">
        <f>COUNTIF($A$2:A938,A938)</f>
        <v>10</v>
      </c>
    </row>
    <row r="939" spans="1:12" x14ac:dyDescent="0.3">
      <c r="A939">
        <v>12637</v>
      </c>
      <c r="B939" t="s">
        <v>39</v>
      </c>
      <c r="C939" t="s">
        <v>61</v>
      </c>
      <c r="D939" t="s">
        <v>62</v>
      </c>
      <c r="E939">
        <v>21</v>
      </c>
      <c r="F939">
        <v>33.700000000000003</v>
      </c>
      <c r="G939">
        <v>65.209999999999994</v>
      </c>
      <c r="H939">
        <v>1.1000000000000001</v>
      </c>
      <c r="I939">
        <v>0</v>
      </c>
      <c r="J939" s="1">
        <v>45927.748396747687</v>
      </c>
      <c r="K939" t="s">
        <v>42</v>
      </c>
      <c r="L939">
        <f>COUNTIF($A$2:A939,A939)</f>
        <v>11</v>
      </c>
    </row>
    <row r="940" spans="1:12" x14ac:dyDescent="0.3">
      <c r="A940">
        <v>12637</v>
      </c>
      <c r="B940" t="s">
        <v>39</v>
      </c>
      <c r="C940" t="s">
        <v>47</v>
      </c>
      <c r="D940" t="s">
        <v>48</v>
      </c>
      <c r="E940">
        <v>0</v>
      </c>
      <c r="F940">
        <v>16.16</v>
      </c>
      <c r="G940">
        <v>0.27</v>
      </c>
      <c r="H940">
        <v>0</v>
      </c>
      <c r="I940">
        <v>83.56</v>
      </c>
      <c r="J940" s="1">
        <v>45927.748088993052</v>
      </c>
      <c r="K940" t="s">
        <v>42</v>
      </c>
      <c r="L940">
        <f>COUNTIF($A$2:A940,A940)</f>
        <v>12</v>
      </c>
    </row>
    <row r="941" spans="1:12" x14ac:dyDescent="0.3">
      <c r="A941">
        <v>12638</v>
      </c>
      <c r="B941" t="s">
        <v>39</v>
      </c>
      <c r="C941" t="s">
        <v>63</v>
      </c>
      <c r="D941" t="s">
        <v>64</v>
      </c>
      <c r="E941">
        <v>1</v>
      </c>
      <c r="F941">
        <v>100</v>
      </c>
      <c r="G941">
        <v>0</v>
      </c>
      <c r="H941">
        <v>0</v>
      </c>
      <c r="I941">
        <v>0</v>
      </c>
      <c r="J941" s="1">
        <v>45927.748484085649</v>
      </c>
      <c r="K941" t="s">
        <v>65</v>
      </c>
      <c r="L941">
        <f>COUNTIF($A$2:A941,A941)</f>
        <v>1</v>
      </c>
    </row>
    <row r="942" spans="1:12" x14ac:dyDescent="0.3">
      <c r="A942">
        <v>12638</v>
      </c>
      <c r="B942" t="s">
        <v>39</v>
      </c>
      <c r="C942" t="s">
        <v>57</v>
      </c>
      <c r="D942" t="s">
        <v>58</v>
      </c>
      <c r="E942">
        <v>7</v>
      </c>
      <c r="F942">
        <v>96.44</v>
      </c>
      <c r="G942">
        <v>3.56</v>
      </c>
      <c r="H942">
        <v>0</v>
      </c>
      <c r="I942">
        <v>0</v>
      </c>
      <c r="J942" s="1">
        <v>45927.748621307874</v>
      </c>
      <c r="K942" t="s">
        <v>65</v>
      </c>
      <c r="L942">
        <f>COUNTIF($A$2:A942,A942)</f>
        <v>2</v>
      </c>
    </row>
    <row r="943" spans="1:12" x14ac:dyDescent="0.3">
      <c r="A943">
        <v>12638</v>
      </c>
      <c r="B943" t="s">
        <v>39</v>
      </c>
      <c r="C943" t="s">
        <v>61</v>
      </c>
      <c r="D943" t="s">
        <v>62</v>
      </c>
      <c r="E943">
        <v>6</v>
      </c>
      <c r="F943">
        <v>95.89</v>
      </c>
      <c r="G943">
        <v>4.1100000000000003</v>
      </c>
      <c r="H943">
        <v>0</v>
      </c>
      <c r="I943">
        <v>0</v>
      </c>
      <c r="J943" s="1">
        <v>45927.748528263888</v>
      </c>
      <c r="K943" t="s">
        <v>65</v>
      </c>
      <c r="L943">
        <f>COUNTIF($A$2:A943,A943)</f>
        <v>3</v>
      </c>
    </row>
    <row r="944" spans="1:12" x14ac:dyDescent="0.3">
      <c r="A944">
        <v>12638</v>
      </c>
      <c r="B944" t="s">
        <v>39</v>
      </c>
      <c r="C944" t="s">
        <v>53</v>
      </c>
      <c r="D944" t="s">
        <v>54</v>
      </c>
      <c r="E944">
        <v>6</v>
      </c>
      <c r="F944">
        <v>95.89</v>
      </c>
      <c r="G944">
        <v>4.1100000000000003</v>
      </c>
      <c r="H944">
        <v>0</v>
      </c>
      <c r="I944">
        <v>0</v>
      </c>
      <c r="J944" s="1">
        <v>45927.748717326387</v>
      </c>
      <c r="K944" t="s">
        <v>65</v>
      </c>
      <c r="L944">
        <f>COUNTIF($A$2:A944,A944)</f>
        <v>4</v>
      </c>
    </row>
    <row r="945" spans="1:12" x14ac:dyDescent="0.3">
      <c r="A945">
        <v>12638</v>
      </c>
      <c r="B945" t="s">
        <v>39</v>
      </c>
      <c r="C945" t="s">
        <v>40</v>
      </c>
      <c r="D945" t="s">
        <v>41</v>
      </c>
      <c r="E945">
        <v>0</v>
      </c>
      <c r="F945">
        <v>95.07</v>
      </c>
      <c r="G945">
        <v>3.84</v>
      </c>
      <c r="H945">
        <v>1.1000000000000001</v>
      </c>
      <c r="I945">
        <v>0</v>
      </c>
      <c r="J945" s="1">
        <v>45927.748904837965</v>
      </c>
      <c r="K945" t="s">
        <v>65</v>
      </c>
      <c r="L945">
        <f>COUNTIF($A$2:A945,A945)</f>
        <v>5</v>
      </c>
    </row>
    <row r="946" spans="1:12" x14ac:dyDescent="0.3">
      <c r="A946">
        <v>12638</v>
      </c>
      <c r="B946" t="s">
        <v>39</v>
      </c>
      <c r="C946" t="s">
        <v>55</v>
      </c>
      <c r="D946" t="s">
        <v>56</v>
      </c>
      <c r="E946">
        <v>8</v>
      </c>
      <c r="F946">
        <v>93.7</v>
      </c>
      <c r="G946">
        <v>6.3</v>
      </c>
      <c r="H946">
        <v>0</v>
      </c>
      <c r="I946">
        <v>0</v>
      </c>
      <c r="J946" s="1">
        <v>45927.748668206019</v>
      </c>
      <c r="K946" t="s">
        <v>65</v>
      </c>
      <c r="L946">
        <f>COUNTIF($A$2:A946,A946)</f>
        <v>6</v>
      </c>
    </row>
    <row r="947" spans="1:12" x14ac:dyDescent="0.3">
      <c r="A947">
        <v>12638</v>
      </c>
      <c r="B947" t="s">
        <v>39</v>
      </c>
      <c r="C947" t="s">
        <v>66</v>
      </c>
      <c r="D947" t="s">
        <v>67</v>
      </c>
      <c r="E947">
        <v>7</v>
      </c>
      <c r="F947">
        <v>93.15</v>
      </c>
      <c r="G947">
        <v>5.75</v>
      </c>
      <c r="H947">
        <v>0.82</v>
      </c>
      <c r="I947">
        <v>0.28000000000000003</v>
      </c>
      <c r="J947" s="1">
        <v>45927.748865694448</v>
      </c>
      <c r="K947" t="s">
        <v>65</v>
      </c>
      <c r="L947">
        <f>COUNTIF($A$2:A947,A947)</f>
        <v>7</v>
      </c>
    </row>
    <row r="948" spans="1:12" x14ac:dyDescent="0.3">
      <c r="A948">
        <v>12638</v>
      </c>
      <c r="B948" t="s">
        <v>39</v>
      </c>
      <c r="C948" t="s">
        <v>59</v>
      </c>
      <c r="D948" t="s">
        <v>60</v>
      </c>
      <c r="E948">
        <v>10</v>
      </c>
      <c r="F948">
        <v>91.78</v>
      </c>
      <c r="G948">
        <v>8.2200000000000006</v>
      </c>
      <c r="H948">
        <v>0</v>
      </c>
      <c r="I948">
        <v>0</v>
      </c>
      <c r="J948" s="1">
        <v>45927.748574120371</v>
      </c>
      <c r="K948" t="s">
        <v>65</v>
      </c>
      <c r="L948">
        <f>COUNTIF($A$2:A948,A948)</f>
        <v>8</v>
      </c>
    </row>
    <row r="949" spans="1:12" x14ac:dyDescent="0.3">
      <c r="A949">
        <v>12638</v>
      </c>
      <c r="B949" t="s">
        <v>39</v>
      </c>
      <c r="C949" t="s">
        <v>49</v>
      </c>
      <c r="D949" t="s">
        <v>50</v>
      </c>
      <c r="E949">
        <v>12</v>
      </c>
      <c r="F949">
        <v>84.38</v>
      </c>
      <c r="G949">
        <v>14.79</v>
      </c>
      <c r="H949">
        <v>0.82</v>
      </c>
      <c r="I949">
        <v>0.01</v>
      </c>
      <c r="J949" s="1">
        <v>45927.748781909722</v>
      </c>
      <c r="K949" t="s">
        <v>65</v>
      </c>
      <c r="L949">
        <f>COUNTIF($A$2:A949,A949)</f>
        <v>9</v>
      </c>
    </row>
    <row r="950" spans="1:12" x14ac:dyDescent="0.3">
      <c r="A950">
        <v>12638</v>
      </c>
      <c r="B950" t="s">
        <v>39</v>
      </c>
      <c r="C950" t="s">
        <v>45</v>
      </c>
      <c r="D950" t="s">
        <v>46</v>
      </c>
      <c r="E950">
        <v>18</v>
      </c>
      <c r="F950">
        <v>49.04</v>
      </c>
      <c r="G950">
        <v>48.77</v>
      </c>
      <c r="H950">
        <v>1.92</v>
      </c>
      <c r="I950">
        <v>0.27</v>
      </c>
      <c r="J950" s="1">
        <v>45927.748825243056</v>
      </c>
      <c r="K950" t="s">
        <v>65</v>
      </c>
      <c r="L950">
        <f>COUNTIF($A$2:A950,A950)</f>
        <v>10</v>
      </c>
    </row>
    <row r="951" spans="1:12" x14ac:dyDescent="0.3">
      <c r="A951">
        <v>12638</v>
      </c>
      <c r="B951" t="s">
        <v>39</v>
      </c>
      <c r="C951" t="s">
        <v>51</v>
      </c>
      <c r="D951" t="s">
        <v>52</v>
      </c>
      <c r="E951">
        <v>21</v>
      </c>
      <c r="F951">
        <v>36.99</v>
      </c>
      <c r="G951">
        <v>62.47</v>
      </c>
      <c r="H951">
        <v>0.55000000000000004</v>
      </c>
      <c r="I951">
        <v>0</v>
      </c>
      <c r="J951" s="1">
        <v>45927.748762824071</v>
      </c>
      <c r="K951" t="s">
        <v>65</v>
      </c>
      <c r="L951">
        <f>COUNTIF($A$2:A951,A951)</f>
        <v>11</v>
      </c>
    </row>
    <row r="952" spans="1:12" x14ac:dyDescent="0.3">
      <c r="A952">
        <v>12638</v>
      </c>
      <c r="B952" t="s">
        <v>39</v>
      </c>
      <c r="C952" t="s">
        <v>43</v>
      </c>
      <c r="D952" t="s">
        <v>44</v>
      </c>
      <c r="E952">
        <v>23</v>
      </c>
      <c r="F952">
        <v>32.33</v>
      </c>
      <c r="G952">
        <v>64.930000000000007</v>
      </c>
      <c r="H952">
        <v>2.4700000000000002</v>
      </c>
      <c r="I952">
        <v>0.27</v>
      </c>
      <c r="J952" s="1">
        <v>45927.748846273149</v>
      </c>
      <c r="K952" t="s">
        <v>65</v>
      </c>
      <c r="L952">
        <f>COUNTIF($A$2:A952,A952)</f>
        <v>12</v>
      </c>
    </row>
    <row r="953" spans="1:12" x14ac:dyDescent="0.3">
      <c r="A953">
        <v>12638</v>
      </c>
      <c r="B953" t="s">
        <v>39</v>
      </c>
      <c r="C953" t="s">
        <v>47</v>
      </c>
      <c r="D953" t="s">
        <v>48</v>
      </c>
      <c r="E953">
        <v>16</v>
      </c>
      <c r="F953">
        <v>10.41</v>
      </c>
      <c r="G953">
        <v>5.75</v>
      </c>
      <c r="H953">
        <v>0.55000000000000004</v>
      </c>
      <c r="I953">
        <v>83.29</v>
      </c>
      <c r="J953" s="1">
        <v>45927.748802118054</v>
      </c>
      <c r="K953" t="s">
        <v>65</v>
      </c>
      <c r="L953">
        <f>COUNTIF($A$2:A953,A953)</f>
        <v>13</v>
      </c>
    </row>
    <row r="954" spans="1:12" x14ac:dyDescent="0.3">
      <c r="A954">
        <v>12673</v>
      </c>
      <c r="B954" t="s">
        <v>11</v>
      </c>
      <c r="C954" t="s">
        <v>12</v>
      </c>
      <c r="D954" t="s">
        <v>13</v>
      </c>
      <c r="E954">
        <v>2</v>
      </c>
      <c r="F954">
        <v>98.9</v>
      </c>
      <c r="G954">
        <v>0.27</v>
      </c>
      <c r="H954">
        <v>0</v>
      </c>
      <c r="I954">
        <v>0.83</v>
      </c>
      <c r="J954" s="1">
        <v>45927.746964895836</v>
      </c>
      <c r="K954" t="s">
        <v>14</v>
      </c>
      <c r="L954">
        <f>COUNTIF($A$2:A954,A954)</f>
        <v>1</v>
      </c>
    </row>
    <row r="955" spans="1:12" x14ac:dyDescent="0.3">
      <c r="A955">
        <v>12673</v>
      </c>
      <c r="B955" t="s">
        <v>11</v>
      </c>
      <c r="C955" t="s">
        <v>31</v>
      </c>
      <c r="D955" t="s">
        <v>32</v>
      </c>
      <c r="E955">
        <v>0</v>
      </c>
      <c r="F955">
        <v>96.16</v>
      </c>
      <c r="G955">
        <v>3.56</v>
      </c>
      <c r="H955">
        <v>0.27</v>
      </c>
      <c r="I955">
        <v>0.01</v>
      </c>
      <c r="J955" s="1">
        <v>45927.747185798609</v>
      </c>
      <c r="K955" t="s">
        <v>14</v>
      </c>
      <c r="L955">
        <f>COUNTIF($A$2:A955,A955)</f>
        <v>2</v>
      </c>
    </row>
    <row r="956" spans="1:12" x14ac:dyDescent="0.3">
      <c r="A956">
        <v>12673</v>
      </c>
      <c r="B956" t="s">
        <v>11</v>
      </c>
      <c r="C956" t="s">
        <v>21</v>
      </c>
      <c r="D956" t="s">
        <v>22</v>
      </c>
      <c r="E956">
        <v>0</v>
      </c>
      <c r="F956">
        <v>70.959999999999994</v>
      </c>
      <c r="G956">
        <v>27.67</v>
      </c>
      <c r="H956">
        <v>1.37</v>
      </c>
      <c r="I956">
        <v>0</v>
      </c>
      <c r="J956" s="1">
        <v>45927.747043807867</v>
      </c>
      <c r="K956" t="s">
        <v>14</v>
      </c>
      <c r="L956">
        <f>COUNTIF($A$2:A956,A956)</f>
        <v>3</v>
      </c>
    </row>
    <row r="957" spans="1:12" x14ac:dyDescent="0.3">
      <c r="A957">
        <v>12673</v>
      </c>
      <c r="B957" t="s">
        <v>11</v>
      </c>
      <c r="C957" t="s">
        <v>29</v>
      </c>
      <c r="D957" t="s">
        <v>30</v>
      </c>
      <c r="E957">
        <v>13</v>
      </c>
      <c r="F957">
        <v>70.680000000000007</v>
      </c>
      <c r="G957">
        <v>28.49</v>
      </c>
      <c r="H957">
        <v>0.82</v>
      </c>
      <c r="I957">
        <v>0.01</v>
      </c>
      <c r="J957" s="1">
        <v>45927.747167824076</v>
      </c>
      <c r="K957" t="s">
        <v>14</v>
      </c>
      <c r="L957">
        <f>COUNTIF($A$2:A957,A957)</f>
        <v>4</v>
      </c>
    </row>
    <row r="958" spans="1:12" x14ac:dyDescent="0.3">
      <c r="A958">
        <v>12673</v>
      </c>
      <c r="B958" t="s">
        <v>11</v>
      </c>
      <c r="C958" t="s">
        <v>17</v>
      </c>
      <c r="D958" t="s">
        <v>18</v>
      </c>
      <c r="E958">
        <v>16</v>
      </c>
      <c r="F958">
        <v>55.34</v>
      </c>
      <c r="G958">
        <v>44.38</v>
      </c>
      <c r="H958">
        <v>0.27</v>
      </c>
      <c r="I958">
        <v>0.01</v>
      </c>
      <c r="J958" s="1">
        <v>45927.746998518516</v>
      </c>
      <c r="K958" t="s">
        <v>14</v>
      </c>
      <c r="L958">
        <f>COUNTIF($A$2:A958,A958)</f>
        <v>5</v>
      </c>
    </row>
    <row r="959" spans="1:12" x14ac:dyDescent="0.3">
      <c r="A959">
        <v>12673</v>
      </c>
      <c r="B959" t="s">
        <v>11</v>
      </c>
      <c r="C959" t="s">
        <v>19</v>
      </c>
      <c r="D959" t="s">
        <v>20</v>
      </c>
      <c r="E959">
        <v>17</v>
      </c>
      <c r="F959">
        <v>48.49</v>
      </c>
      <c r="G959">
        <v>49.86</v>
      </c>
      <c r="H959">
        <v>1.64</v>
      </c>
      <c r="I959">
        <v>0.01</v>
      </c>
      <c r="J959" s="1">
        <v>45927.747015335648</v>
      </c>
      <c r="K959" t="s">
        <v>14</v>
      </c>
      <c r="L959">
        <f>COUNTIF($A$2:A959,A959)</f>
        <v>6</v>
      </c>
    </row>
    <row r="960" spans="1:12" x14ac:dyDescent="0.3">
      <c r="A960">
        <v>12673</v>
      </c>
      <c r="B960" t="s">
        <v>11</v>
      </c>
      <c r="C960" t="s">
        <v>23</v>
      </c>
      <c r="D960" t="s">
        <v>24</v>
      </c>
      <c r="E960">
        <v>25</v>
      </c>
      <c r="F960">
        <v>23.01</v>
      </c>
      <c r="G960">
        <v>74.790000000000006</v>
      </c>
      <c r="H960">
        <v>2.19</v>
      </c>
      <c r="I960">
        <v>0.01</v>
      </c>
      <c r="J960" s="1">
        <v>45927.747063009258</v>
      </c>
      <c r="K960" t="s">
        <v>14</v>
      </c>
      <c r="L960">
        <f>COUNTIF($A$2:A960,A960)</f>
        <v>7</v>
      </c>
    </row>
    <row r="961" spans="1:12" x14ac:dyDescent="0.3">
      <c r="A961">
        <v>12673</v>
      </c>
      <c r="B961" t="s">
        <v>11</v>
      </c>
      <c r="C961" t="s">
        <v>27</v>
      </c>
      <c r="D961" t="s">
        <v>28</v>
      </c>
      <c r="E961">
        <v>24</v>
      </c>
      <c r="F961">
        <v>22.74</v>
      </c>
      <c r="G961">
        <v>75.34</v>
      </c>
      <c r="H961">
        <v>1.92</v>
      </c>
      <c r="I961">
        <v>0</v>
      </c>
      <c r="J961" s="1">
        <v>45927.747148148148</v>
      </c>
      <c r="K961" t="s">
        <v>14</v>
      </c>
      <c r="L961">
        <f>COUNTIF($A$2:A961,A961)</f>
        <v>8</v>
      </c>
    </row>
    <row r="962" spans="1:12" x14ac:dyDescent="0.3">
      <c r="A962">
        <v>12673</v>
      </c>
      <c r="B962" t="s">
        <v>11</v>
      </c>
      <c r="C962" t="s">
        <v>25</v>
      </c>
      <c r="D962" t="s">
        <v>26</v>
      </c>
      <c r="E962">
        <v>25</v>
      </c>
      <c r="F962">
        <v>21.37</v>
      </c>
      <c r="G962">
        <v>76.44</v>
      </c>
      <c r="H962">
        <v>2.19</v>
      </c>
      <c r="I962">
        <v>0</v>
      </c>
      <c r="J962" s="1">
        <v>45927.747104074071</v>
      </c>
      <c r="K962" t="s">
        <v>14</v>
      </c>
      <c r="L962">
        <f>COUNTIF($A$2:A962,A962)</f>
        <v>9</v>
      </c>
    </row>
    <row r="963" spans="1:12" x14ac:dyDescent="0.3">
      <c r="A963">
        <v>12673</v>
      </c>
      <c r="B963" t="s">
        <v>11</v>
      </c>
      <c r="C963" t="s">
        <v>15</v>
      </c>
      <c r="D963" t="s">
        <v>16</v>
      </c>
      <c r="E963">
        <v>0</v>
      </c>
      <c r="F963">
        <v>0.27</v>
      </c>
      <c r="G963">
        <v>0</v>
      </c>
      <c r="H963">
        <v>0</v>
      </c>
      <c r="I963">
        <v>99.73</v>
      </c>
      <c r="J963" s="1">
        <v>45927.746982557874</v>
      </c>
      <c r="K963" t="s">
        <v>14</v>
      </c>
      <c r="L963">
        <f>COUNTIF($A$2:A963,A963)</f>
        <v>10</v>
      </c>
    </row>
    <row r="964" spans="1:12" x14ac:dyDescent="0.3">
      <c r="A964">
        <v>12674</v>
      </c>
      <c r="B964" t="s">
        <v>11</v>
      </c>
      <c r="C964" t="s">
        <v>31</v>
      </c>
      <c r="D964" t="s">
        <v>32</v>
      </c>
      <c r="E964">
        <v>5</v>
      </c>
      <c r="F964">
        <v>97.26</v>
      </c>
      <c r="G964">
        <v>2.4700000000000002</v>
      </c>
      <c r="H964">
        <v>0.27</v>
      </c>
      <c r="I964">
        <v>0</v>
      </c>
      <c r="J964" s="1">
        <v>45927.747250497683</v>
      </c>
      <c r="K964" t="s">
        <v>33</v>
      </c>
      <c r="L964">
        <f>COUNTIF($A$2:A964,A964)</f>
        <v>1</v>
      </c>
    </row>
    <row r="965" spans="1:12" x14ac:dyDescent="0.3">
      <c r="A965">
        <v>12674</v>
      </c>
      <c r="B965" t="s">
        <v>11</v>
      </c>
      <c r="C965" t="s">
        <v>12</v>
      </c>
      <c r="D965" t="s">
        <v>13</v>
      </c>
      <c r="E965">
        <v>0</v>
      </c>
      <c r="F965">
        <v>94.52</v>
      </c>
      <c r="G965">
        <v>3.56</v>
      </c>
      <c r="H965">
        <v>1.37</v>
      </c>
      <c r="I965">
        <v>0.55000000000000004</v>
      </c>
      <c r="J965" s="1">
        <v>45927.747519745368</v>
      </c>
      <c r="K965" t="s">
        <v>33</v>
      </c>
      <c r="L965">
        <f>COUNTIF($A$2:A965,A965)</f>
        <v>2</v>
      </c>
    </row>
    <row r="966" spans="1:12" x14ac:dyDescent="0.3">
      <c r="A966">
        <v>12674</v>
      </c>
      <c r="B966" t="s">
        <v>11</v>
      </c>
      <c r="C966" t="s">
        <v>21</v>
      </c>
      <c r="D966" t="s">
        <v>22</v>
      </c>
      <c r="E966">
        <v>7</v>
      </c>
      <c r="F966">
        <v>93.15</v>
      </c>
      <c r="G966">
        <v>6.3</v>
      </c>
      <c r="H966">
        <v>0.55000000000000004</v>
      </c>
      <c r="I966">
        <v>0</v>
      </c>
      <c r="J966" s="1">
        <v>45927.747405972223</v>
      </c>
      <c r="K966" t="s">
        <v>33</v>
      </c>
      <c r="L966">
        <f>COUNTIF($A$2:A966,A966)</f>
        <v>3</v>
      </c>
    </row>
    <row r="967" spans="1:12" x14ac:dyDescent="0.3">
      <c r="A967">
        <v>12674</v>
      </c>
      <c r="B967" t="s">
        <v>11</v>
      </c>
      <c r="C967" t="s">
        <v>27</v>
      </c>
      <c r="D967" t="s">
        <v>28</v>
      </c>
      <c r="E967">
        <v>0</v>
      </c>
      <c r="F967">
        <v>81.92</v>
      </c>
      <c r="G967">
        <v>17.53</v>
      </c>
      <c r="H967">
        <v>0.55000000000000004</v>
      </c>
      <c r="I967">
        <v>0</v>
      </c>
      <c r="J967" s="1">
        <v>45927.747278657407</v>
      </c>
      <c r="K967" t="s">
        <v>33</v>
      </c>
      <c r="L967">
        <f>COUNTIF($A$2:A967,A967)</f>
        <v>4</v>
      </c>
    </row>
    <row r="968" spans="1:12" x14ac:dyDescent="0.3">
      <c r="A968">
        <v>12674</v>
      </c>
      <c r="B968" t="s">
        <v>11</v>
      </c>
      <c r="C968" t="s">
        <v>19</v>
      </c>
      <c r="D968" t="s">
        <v>20</v>
      </c>
      <c r="E968">
        <v>14</v>
      </c>
      <c r="F968">
        <v>74.790000000000006</v>
      </c>
      <c r="G968">
        <v>24.38</v>
      </c>
      <c r="H968">
        <v>0.82</v>
      </c>
      <c r="I968">
        <v>0.01</v>
      </c>
      <c r="J968" s="1">
        <v>45927.74742266204</v>
      </c>
      <c r="K968" t="s">
        <v>33</v>
      </c>
      <c r="L968">
        <f>COUNTIF($A$2:A968,A968)</f>
        <v>5</v>
      </c>
    </row>
    <row r="969" spans="1:12" x14ac:dyDescent="0.3">
      <c r="A969">
        <v>12674</v>
      </c>
      <c r="B969" t="s">
        <v>11</v>
      </c>
      <c r="C969" t="s">
        <v>25</v>
      </c>
      <c r="D969" t="s">
        <v>26</v>
      </c>
      <c r="E969">
        <v>21</v>
      </c>
      <c r="F969">
        <v>35.340000000000003</v>
      </c>
      <c r="G969">
        <v>64.11</v>
      </c>
      <c r="H969">
        <v>0.55000000000000004</v>
      </c>
      <c r="I969">
        <v>0</v>
      </c>
      <c r="J969" s="1">
        <v>45927.747320462964</v>
      </c>
      <c r="K969" t="s">
        <v>33</v>
      </c>
      <c r="L969">
        <f>COUNTIF($A$2:A969,A969)</f>
        <v>6</v>
      </c>
    </row>
    <row r="970" spans="1:12" x14ac:dyDescent="0.3">
      <c r="A970">
        <v>12674</v>
      </c>
      <c r="B970" t="s">
        <v>11</v>
      </c>
      <c r="C970" t="s">
        <v>23</v>
      </c>
      <c r="D970" t="s">
        <v>24</v>
      </c>
      <c r="E970">
        <v>24</v>
      </c>
      <c r="F970">
        <v>27.67</v>
      </c>
      <c r="G970">
        <v>71.510000000000005</v>
      </c>
      <c r="H970">
        <v>0.82</v>
      </c>
      <c r="I970">
        <v>0</v>
      </c>
      <c r="J970" s="1">
        <v>45927.747364988427</v>
      </c>
      <c r="K970" t="s">
        <v>33</v>
      </c>
      <c r="L970">
        <f>COUNTIF($A$2:A970,A970)</f>
        <v>7</v>
      </c>
    </row>
    <row r="971" spans="1:12" x14ac:dyDescent="0.3">
      <c r="A971">
        <v>12674</v>
      </c>
      <c r="B971" t="s">
        <v>11</v>
      </c>
      <c r="C971" t="s">
        <v>17</v>
      </c>
      <c r="D971" t="s">
        <v>18</v>
      </c>
      <c r="E971">
        <v>28</v>
      </c>
      <c r="F971">
        <v>17.260000000000002</v>
      </c>
      <c r="G971">
        <v>80.55</v>
      </c>
      <c r="H971">
        <v>2.19</v>
      </c>
      <c r="I971">
        <v>0</v>
      </c>
      <c r="J971" s="1">
        <v>45927.74746608796</v>
      </c>
      <c r="K971" t="s">
        <v>33</v>
      </c>
      <c r="L971">
        <f>COUNTIF($A$2:A971,A971)</f>
        <v>8</v>
      </c>
    </row>
    <row r="972" spans="1:12" x14ac:dyDescent="0.3">
      <c r="A972">
        <v>12674</v>
      </c>
      <c r="B972" t="s">
        <v>11</v>
      </c>
      <c r="C972" t="s">
        <v>34</v>
      </c>
      <c r="D972" t="s">
        <v>35</v>
      </c>
      <c r="E972">
        <v>32</v>
      </c>
      <c r="F972">
        <v>9.86</v>
      </c>
      <c r="G972">
        <v>86.58</v>
      </c>
      <c r="H972">
        <v>3.01</v>
      </c>
      <c r="I972">
        <v>0.55000000000000004</v>
      </c>
      <c r="J972" s="1">
        <v>45927.747486793982</v>
      </c>
      <c r="K972" t="s">
        <v>33</v>
      </c>
      <c r="L972">
        <f>COUNTIF($A$2:A972,A972)</f>
        <v>9</v>
      </c>
    </row>
    <row r="973" spans="1:12" x14ac:dyDescent="0.3">
      <c r="A973">
        <v>12679</v>
      </c>
      <c r="B973" t="s">
        <v>506</v>
      </c>
      <c r="C973" t="s">
        <v>12</v>
      </c>
      <c r="D973" t="s">
        <v>13</v>
      </c>
      <c r="E973">
        <v>2</v>
      </c>
      <c r="F973">
        <v>100</v>
      </c>
      <c r="G973">
        <v>0</v>
      </c>
      <c r="H973">
        <v>0</v>
      </c>
      <c r="I973">
        <v>0</v>
      </c>
      <c r="J973" s="1">
        <v>45927.792480358796</v>
      </c>
      <c r="K973" t="s">
        <v>507</v>
      </c>
      <c r="L973">
        <f>COUNTIF($A$2:A973,A973)</f>
        <v>1</v>
      </c>
    </row>
    <row r="974" spans="1:12" x14ac:dyDescent="0.3">
      <c r="A974">
        <v>12679</v>
      </c>
      <c r="B974" t="s">
        <v>506</v>
      </c>
      <c r="C974" t="s">
        <v>31</v>
      </c>
      <c r="D974" t="s">
        <v>32</v>
      </c>
      <c r="E974">
        <v>1</v>
      </c>
      <c r="F974">
        <v>90</v>
      </c>
      <c r="G974">
        <v>10</v>
      </c>
      <c r="H974">
        <v>0</v>
      </c>
      <c r="I974">
        <v>0</v>
      </c>
      <c r="J974" s="1">
        <v>45927.792812604166</v>
      </c>
      <c r="K974" t="s">
        <v>507</v>
      </c>
      <c r="L974">
        <f>COUNTIF($A$2:A974,A974)</f>
        <v>2</v>
      </c>
    </row>
    <row r="975" spans="1:12" x14ac:dyDescent="0.3">
      <c r="A975">
        <v>12679</v>
      </c>
      <c r="B975" t="s">
        <v>506</v>
      </c>
      <c r="C975" t="s">
        <v>21</v>
      </c>
      <c r="D975" t="s">
        <v>22</v>
      </c>
      <c r="E975">
        <v>15</v>
      </c>
      <c r="F975">
        <v>63.33</v>
      </c>
      <c r="G975">
        <v>36.67</v>
      </c>
      <c r="H975">
        <v>0</v>
      </c>
      <c r="I975">
        <v>0</v>
      </c>
      <c r="J975" s="1">
        <v>45927.792548657409</v>
      </c>
      <c r="K975" t="s">
        <v>507</v>
      </c>
      <c r="L975">
        <f>COUNTIF($A$2:A975,A975)</f>
        <v>3</v>
      </c>
    </row>
    <row r="976" spans="1:12" x14ac:dyDescent="0.3">
      <c r="A976">
        <v>12679</v>
      </c>
      <c r="B976" t="s">
        <v>506</v>
      </c>
      <c r="C976" t="s">
        <v>17</v>
      </c>
      <c r="D976" t="s">
        <v>18</v>
      </c>
      <c r="E976">
        <v>16</v>
      </c>
      <c r="F976">
        <v>60</v>
      </c>
      <c r="G976">
        <v>40</v>
      </c>
      <c r="H976">
        <v>0</v>
      </c>
      <c r="I976">
        <v>0</v>
      </c>
      <c r="J976" s="1">
        <v>45927.792495000002</v>
      </c>
      <c r="K976" t="s">
        <v>507</v>
      </c>
      <c r="L976">
        <f>COUNTIF($A$2:A976,A976)</f>
        <v>4</v>
      </c>
    </row>
    <row r="977" spans="1:12" x14ac:dyDescent="0.3">
      <c r="A977">
        <v>12679</v>
      </c>
      <c r="B977" t="s">
        <v>506</v>
      </c>
      <c r="C977" t="s">
        <v>23</v>
      </c>
      <c r="D977" t="s">
        <v>24</v>
      </c>
      <c r="E977">
        <v>22</v>
      </c>
      <c r="F977">
        <v>36.67</v>
      </c>
      <c r="G977">
        <v>56.67</v>
      </c>
      <c r="H977">
        <v>6.67</v>
      </c>
      <c r="I977">
        <v>0</v>
      </c>
      <c r="J977" s="1">
        <v>45927.792691631941</v>
      </c>
      <c r="K977" t="s">
        <v>507</v>
      </c>
      <c r="L977">
        <f>COUNTIF($A$2:A977,A977)</f>
        <v>5</v>
      </c>
    </row>
    <row r="978" spans="1:12" x14ac:dyDescent="0.3">
      <c r="A978">
        <v>12679</v>
      </c>
      <c r="B978" t="s">
        <v>506</v>
      </c>
      <c r="C978" t="s">
        <v>510</v>
      </c>
      <c r="D978" t="s">
        <v>511</v>
      </c>
      <c r="E978">
        <v>24</v>
      </c>
      <c r="F978">
        <v>33.33</v>
      </c>
      <c r="G978">
        <v>63.33</v>
      </c>
      <c r="H978">
        <v>3.33</v>
      </c>
      <c r="I978">
        <v>0.01</v>
      </c>
      <c r="J978" s="1">
        <v>45927.792563692128</v>
      </c>
      <c r="K978" t="s">
        <v>507</v>
      </c>
      <c r="L978">
        <f>COUNTIF($A$2:A978,A978)</f>
        <v>6</v>
      </c>
    </row>
    <row r="979" spans="1:12" x14ac:dyDescent="0.3">
      <c r="A979">
        <v>12679</v>
      </c>
      <c r="B979" t="s">
        <v>506</v>
      </c>
      <c r="C979" t="s">
        <v>25</v>
      </c>
      <c r="D979" t="s">
        <v>26</v>
      </c>
      <c r="E979">
        <v>23</v>
      </c>
      <c r="F979">
        <v>26.67</v>
      </c>
      <c r="G979">
        <v>66.67</v>
      </c>
      <c r="H979">
        <v>6.67</v>
      </c>
      <c r="I979">
        <v>0</v>
      </c>
      <c r="J979" s="1">
        <v>45927.79273494213</v>
      </c>
      <c r="K979" t="s">
        <v>507</v>
      </c>
      <c r="L979">
        <f>COUNTIF($A$2:A979,A979)</f>
        <v>7</v>
      </c>
    </row>
    <row r="980" spans="1:12" x14ac:dyDescent="0.3">
      <c r="A980">
        <v>12679</v>
      </c>
      <c r="B980" t="s">
        <v>506</v>
      </c>
      <c r="C980" t="s">
        <v>27</v>
      </c>
      <c r="D980" t="s">
        <v>28</v>
      </c>
      <c r="E980">
        <v>28</v>
      </c>
      <c r="F980">
        <v>23.33</v>
      </c>
      <c r="G980">
        <v>66.67</v>
      </c>
      <c r="H980">
        <v>10</v>
      </c>
      <c r="I980">
        <v>0</v>
      </c>
      <c r="J980" s="1">
        <v>45927.79275119213</v>
      </c>
      <c r="K980" t="s">
        <v>507</v>
      </c>
      <c r="L980">
        <f>COUNTIF($A$2:A980,A980)</f>
        <v>8</v>
      </c>
    </row>
    <row r="981" spans="1:12" x14ac:dyDescent="0.3">
      <c r="A981">
        <v>12679</v>
      </c>
      <c r="B981" t="s">
        <v>506</v>
      </c>
      <c r="C981" t="s">
        <v>19</v>
      </c>
      <c r="D981" t="s">
        <v>20</v>
      </c>
      <c r="E981">
        <v>20</v>
      </c>
      <c r="F981">
        <v>16.670000000000002</v>
      </c>
      <c r="G981">
        <v>83.33</v>
      </c>
      <c r="H981">
        <v>0</v>
      </c>
      <c r="I981">
        <v>0</v>
      </c>
      <c r="J981" s="1">
        <v>45927.792515300927</v>
      </c>
      <c r="K981" t="s">
        <v>507</v>
      </c>
      <c r="L981">
        <f>COUNTIF($A$2:A981,A981)</f>
        <v>9</v>
      </c>
    </row>
    <row r="982" spans="1:12" x14ac:dyDescent="0.3">
      <c r="A982">
        <v>12679</v>
      </c>
      <c r="B982" t="s">
        <v>506</v>
      </c>
      <c r="C982" t="s">
        <v>443</v>
      </c>
      <c r="D982" t="s">
        <v>444</v>
      </c>
      <c r="E982">
        <v>28</v>
      </c>
      <c r="F982">
        <v>16.670000000000002</v>
      </c>
      <c r="G982">
        <v>76.67</v>
      </c>
      <c r="H982">
        <v>6.67</v>
      </c>
      <c r="I982">
        <v>0</v>
      </c>
      <c r="J982" s="1">
        <v>45927.792607465279</v>
      </c>
      <c r="K982" t="s">
        <v>507</v>
      </c>
      <c r="L982">
        <f>COUNTIF($A$2:A982,A982)</f>
        <v>10</v>
      </c>
    </row>
    <row r="983" spans="1:12" x14ac:dyDescent="0.3">
      <c r="A983">
        <v>12679</v>
      </c>
      <c r="B983" t="s">
        <v>506</v>
      </c>
      <c r="C983" t="s">
        <v>512</v>
      </c>
      <c r="D983" t="s">
        <v>513</v>
      </c>
      <c r="E983">
        <v>29</v>
      </c>
      <c r="F983">
        <v>16.670000000000002</v>
      </c>
      <c r="G983">
        <v>76.67</v>
      </c>
      <c r="H983">
        <v>6.67</v>
      </c>
      <c r="I983">
        <v>0</v>
      </c>
      <c r="J983" s="1">
        <v>45927.792649212963</v>
      </c>
      <c r="K983" t="s">
        <v>507</v>
      </c>
      <c r="L983">
        <f>COUNTIF($A$2:A983,A983)</f>
        <v>11</v>
      </c>
    </row>
    <row r="984" spans="1:12" x14ac:dyDescent="0.3">
      <c r="A984">
        <v>12679</v>
      </c>
      <c r="B984" t="s">
        <v>506</v>
      </c>
      <c r="C984" t="s">
        <v>29</v>
      </c>
      <c r="D984" t="s">
        <v>30</v>
      </c>
      <c r="E984">
        <v>28</v>
      </c>
      <c r="F984">
        <v>16.670000000000002</v>
      </c>
      <c r="G984">
        <v>76.67</v>
      </c>
      <c r="H984">
        <v>6.67</v>
      </c>
      <c r="I984">
        <v>0</v>
      </c>
      <c r="J984" s="1">
        <v>45927.792791527776</v>
      </c>
      <c r="K984" t="s">
        <v>507</v>
      </c>
      <c r="L984">
        <f>COUNTIF($A$2:A984,A984)</f>
        <v>12</v>
      </c>
    </row>
    <row r="985" spans="1:12" x14ac:dyDescent="0.3">
      <c r="A985">
        <v>12679</v>
      </c>
      <c r="B985" t="s">
        <v>506</v>
      </c>
      <c r="C985" t="s">
        <v>508</v>
      </c>
      <c r="D985" t="s">
        <v>509</v>
      </c>
      <c r="E985">
        <v>26</v>
      </c>
      <c r="F985">
        <v>6.67</v>
      </c>
      <c r="G985">
        <v>93.33</v>
      </c>
      <c r="H985">
        <v>0</v>
      </c>
      <c r="I985">
        <v>0</v>
      </c>
      <c r="J985" s="1">
        <v>45927.792533437503</v>
      </c>
      <c r="K985" t="s">
        <v>507</v>
      </c>
      <c r="L985">
        <f>COUNTIF($A$2:A985,A985)</f>
        <v>13</v>
      </c>
    </row>
    <row r="986" spans="1:12" x14ac:dyDescent="0.3">
      <c r="A986">
        <v>12680</v>
      </c>
      <c r="B986" t="s">
        <v>506</v>
      </c>
      <c r="C986" t="s">
        <v>31</v>
      </c>
      <c r="D986" t="s">
        <v>32</v>
      </c>
      <c r="E986">
        <v>1</v>
      </c>
      <c r="F986">
        <v>100</v>
      </c>
      <c r="G986">
        <v>0</v>
      </c>
      <c r="H986">
        <v>0</v>
      </c>
      <c r="I986">
        <v>0</v>
      </c>
      <c r="J986" s="1">
        <v>45927.792844675925</v>
      </c>
      <c r="K986" t="s">
        <v>514</v>
      </c>
      <c r="L986">
        <f>COUNTIF($A$2:A986,A986)</f>
        <v>1</v>
      </c>
    </row>
    <row r="987" spans="1:12" x14ac:dyDescent="0.3">
      <c r="A987">
        <v>12680</v>
      </c>
      <c r="B987" t="s">
        <v>506</v>
      </c>
      <c r="C987" t="s">
        <v>27</v>
      </c>
      <c r="D987" t="s">
        <v>28</v>
      </c>
      <c r="E987">
        <v>3</v>
      </c>
      <c r="F987">
        <v>100</v>
      </c>
      <c r="G987">
        <v>0</v>
      </c>
      <c r="H987">
        <v>0</v>
      </c>
      <c r="I987">
        <v>0</v>
      </c>
      <c r="J987" s="1">
        <v>45927.792861898146</v>
      </c>
      <c r="K987" t="s">
        <v>514</v>
      </c>
      <c r="L987">
        <f>COUNTIF($A$2:A987,A987)</f>
        <v>2</v>
      </c>
    </row>
    <row r="988" spans="1:12" x14ac:dyDescent="0.3">
      <c r="A988">
        <v>12680</v>
      </c>
      <c r="B988" t="s">
        <v>506</v>
      </c>
      <c r="C988" t="s">
        <v>12</v>
      </c>
      <c r="D988" t="s">
        <v>13</v>
      </c>
      <c r="E988">
        <v>2</v>
      </c>
      <c r="F988">
        <v>100</v>
      </c>
      <c r="G988">
        <v>0</v>
      </c>
      <c r="H988">
        <v>0</v>
      </c>
      <c r="I988">
        <v>0</v>
      </c>
      <c r="J988" s="1">
        <v>45927.793251099538</v>
      </c>
      <c r="K988" t="s">
        <v>514</v>
      </c>
      <c r="L988">
        <f>COUNTIF($A$2:A988,A988)</f>
        <v>3</v>
      </c>
    </row>
    <row r="989" spans="1:12" x14ac:dyDescent="0.3">
      <c r="A989">
        <v>12680</v>
      </c>
      <c r="B989" t="s">
        <v>506</v>
      </c>
      <c r="C989" t="s">
        <v>25</v>
      </c>
      <c r="D989" t="s">
        <v>26</v>
      </c>
      <c r="E989">
        <v>6</v>
      </c>
      <c r="F989">
        <v>96.67</v>
      </c>
      <c r="G989">
        <v>3.33</v>
      </c>
      <c r="H989">
        <v>0</v>
      </c>
      <c r="I989">
        <v>0</v>
      </c>
      <c r="J989" s="1">
        <v>45927.792903993053</v>
      </c>
      <c r="K989" t="s">
        <v>514</v>
      </c>
      <c r="L989">
        <f>COUNTIF($A$2:A989,A989)</f>
        <v>4</v>
      </c>
    </row>
    <row r="990" spans="1:12" x14ac:dyDescent="0.3">
      <c r="A990">
        <v>12680</v>
      </c>
      <c r="B990" t="s">
        <v>506</v>
      </c>
      <c r="C990" t="s">
        <v>17</v>
      </c>
      <c r="D990" t="s">
        <v>18</v>
      </c>
      <c r="E990">
        <v>6</v>
      </c>
      <c r="F990">
        <v>96.67</v>
      </c>
      <c r="G990">
        <v>3.33</v>
      </c>
      <c r="H990">
        <v>0</v>
      </c>
      <c r="I990">
        <v>0</v>
      </c>
      <c r="J990" s="1">
        <v>45927.793216840277</v>
      </c>
      <c r="K990" t="s">
        <v>514</v>
      </c>
      <c r="L990">
        <f>COUNTIF($A$2:A990,A990)</f>
        <v>5</v>
      </c>
    </row>
    <row r="991" spans="1:12" x14ac:dyDescent="0.3">
      <c r="A991">
        <v>12680</v>
      </c>
      <c r="B991" t="s">
        <v>506</v>
      </c>
      <c r="C991" t="s">
        <v>512</v>
      </c>
      <c r="D991" t="s">
        <v>513</v>
      </c>
      <c r="E991">
        <v>5</v>
      </c>
      <c r="F991">
        <v>93.33</v>
      </c>
      <c r="G991">
        <v>6.67</v>
      </c>
      <c r="H991">
        <v>0</v>
      </c>
      <c r="I991">
        <v>0</v>
      </c>
      <c r="J991" s="1">
        <v>45927.79298972222</v>
      </c>
      <c r="K991" t="s">
        <v>514</v>
      </c>
      <c r="L991">
        <f>COUNTIF($A$2:A991,A991)</f>
        <v>6</v>
      </c>
    </row>
    <row r="992" spans="1:12" x14ac:dyDescent="0.3">
      <c r="A992">
        <v>12680</v>
      </c>
      <c r="B992" t="s">
        <v>506</v>
      </c>
      <c r="C992" t="s">
        <v>443</v>
      </c>
      <c r="D992" t="s">
        <v>444</v>
      </c>
      <c r="E992">
        <v>4</v>
      </c>
      <c r="F992">
        <v>93.33</v>
      </c>
      <c r="G992">
        <v>6.67</v>
      </c>
      <c r="H992">
        <v>0</v>
      </c>
      <c r="I992">
        <v>0</v>
      </c>
      <c r="J992" s="1">
        <v>45927.793034016206</v>
      </c>
      <c r="K992" t="s">
        <v>514</v>
      </c>
      <c r="L992">
        <f>COUNTIF($A$2:A992,A992)</f>
        <v>7</v>
      </c>
    </row>
    <row r="993" spans="1:12" x14ac:dyDescent="0.3">
      <c r="A993">
        <v>12680</v>
      </c>
      <c r="B993" t="s">
        <v>506</v>
      </c>
      <c r="C993" t="s">
        <v>510</v>
      </c>
      <c r="D993" t="s">
        <v>511</v>
      </c>
      <c r="E993">
        <v>6</v>
      </c>
      <c r="F993">
        <v>93.33</v>
      </c>
      <c r="G993">
        <v>6.67</v>
      </c>
      <c r="H993">
        <v>0</v>
      </c>
      <c r="I993">
        <v>0</v>
      </c>
      <c r="J993" s="1">
        <v>45927.79307792824</v>
      </c>
      <c r="K993" t="s">
        <v>514</v>
      </c>
      <c r="L993">
        <f>COUNTIF($A$2:A993,A993)</f>
        <v>8</v>
      </c>
    </row>
    <row r="994" spans="1:12" x14ac:dyDescent="0.3">
      <c r="A994">
        <v>12680</v>
      </c>
      <c r="B994" t="s">
        <v>506</v>
      </c>
      <c r="C994" t="s">
        <v>21</v>
      </c>
      <c r="D994" t="s">
        <v>22</v>
      </c>
      <c r="E994">
        <v>4</v>
      </c>
      <c r="F994">
        <v>93.33</v>
      </c>
      <c r="G994">
        <v>6.67</v>
      </c>
      <c r="H994">
        <v>0</v>
      </c>
      <c r="I994">
        <v>0</v>
      </c>
      <c r="J994" s="1">
        <v>45927.793118217596</v>
      </c>
      <c r="K994" t="s">
        <v>514</v>
      </c>
      <c r="L994">
        <f>COUNTIF($A$2:A994,A994)</f>
        <v>9</v>
      </c>
    </row>
    <row r="995" spans="1:12" x14ac:dyDescent="0.3">
      <c r="A995">
        <v>12680</v>
      </c>
      <c r="B995" t="s">
        <v>506</v>
      </c>
      <c r="C995" t="s">
        <v>19</v>
      </c>
      <c r="D995" t="s">
        <v>20</v>
      </c>
      <c r="E995">
        <v>6</v>
      </c>
      <c r="F995">
        <v>93.33</v>
      </c>
      <c r="G995">
        <v>6.67</v>
      </c>
      <c r="H995">
        <v>0</v>
      </c>
      <c r="I995">
        <v>0</v>
      </c>
      <c r="J995" s="1">
        <v>45927.793174907405</v>
      </c>
      <c r="K995" t="s">
        <v>514</v>
      </c>
      <c r="L995">
        <f>COUNTIF($A$2:A995,A995)</f>
        <v>10</v>
      </c>
    </row>
    <row r="996" spans="1:12" x14ac:dyDescent="0.3">
      <c r="A996">
        <v>12680</v>
      </c>
      <c r="B996" t="s">
        <v>506</v>
      </c>
      <c r="C996" t="s">
        <v>508</v>
      </c>
      <c r="D996" t="s">
        <v>509</v>
      </c>
      <c r="E996">
        <v>7</v>
      </c>
      <c r="F996">
        <v>90</v>
      </c>
      <c r="G996">
        <v>10</v>
      </c>
      <c r="H996">
        <v>0</v>
      </c>
      <c r="I996">
        <v>0</v>
      </c>
      <c r="J996" s="1">
        <v>45927.793134502317</v>
      </c>
      <c r="K996" t="s">
        <v>514</v>
      </c>
      <c r="L996">
        <f>COUNTIF($A$2:A996,A996)</f>
        <v>11</v>
      </c>
    </row>
    <row r="997" spans="1:12" x14ac:dyDescent="0.3">
      <c r="A997">
        <v>12680</v>
      </c>
      <c r="B997" t="s">
        <v>506</v>
      </c>
      <c r="C997" t="s">
        <v>23</v>
      </c>
      <c r="D997" t="s">
        <v>24</v>
      </c>
      <c r="E997">
        <v>7</v>
      </c>
      <c r="F997">
        <v>86.67</v>
      </c>
      <c r="G997">
        <v>13.33</v>
      </c>
      <c r="H997">
        <v>0</v>
      </c>
      <c r="I997">
        <v>0</v>
      </c>
      <c r="J997" s="1">
        <v>45927.792944849534</v>
      </c>
      <c r="K997" t="s">
        <v>514</v>
      </c>
      <c r="L997">
        <f>COUNTIF($A$2:A997,A997)</f>
        <v>12</v>
      </c>
    </row>
    <row r="998" spans="1:12" x14ac:dyDescent="0.3">
      <c r="A998">
        <v>12680</v>
      </c>
      <c r="B998" t="s">
        <v>506</v>
      </c>
      <c r="C998" t="s">
        <v>34</v>
      </c>
      <c r="D998" t="s">
        <v>35</v>
      </c>
      <c r="E998">
        <v>12</v>
      </c>
      <c r="F998">
        <v>76.67</v>
      </c>
      <c r="G998">
        <v>23.33</v>
      </c>
      <c r="H998">
        <v>0</v>
      </c>
      <c r="I998">
        <v>0</v>
      </c>
      <c r="J998" s="1">
        <v>45927.793235625002</v>
      </c>
      <c r="K998" t="s">
        <v>514</v>
      </c>
      <c r="L998">
        <f>COUNTIF($A$2:A998,A998)</f>
        <v>13</v>
      </c>
    </row>
    <row r="999" spans="1:12" x14ac:dyDescent="0.3">
      <c r="A999">
        <v>12681</v>
      </c>
      <c r="B999" t="s">
        <v>36</v>
      </c>
      <c r="C999" t="s">
        <v>12</v>
      </c>
      <c r="D999" t="s">
        <v>13</v>
      </c>
      <c r="E999">
        <v>4</v>
      </c>
      <c r="F999">
        <v>100</v>
      </c>
      <c r="G999">
        <v>0</v>
      </c>
      <c r="H999">
        <v>0</v>
      </c>
      <c r="I999">
        <v>0</v>
      </c>
      <c r="J999" s="1">
        <v>45927.747563807869</v>
      </c>
      <c r="K999" t="s">
        <v>37</v>
      </c>
      <c r="L999">
        <f>COUNTIF($A$2:A999,A999)</f>
        <v>1</v>
      </c>
    </row>
    <row r="1000" spans="1:12" x14ac:dyDescent="0.3">
      <c r="A1000">
        <v>12681</v>
      </c>
      <c r="B1000" t="s">
        <v>36</v>
      </c>
      <c r="C1000" t="s">
        <v>23</v>
      </c>
      <c r="D1000" t="s">
        <v>24</v>
      </c>
      <c r="E1000">
        <v>0</v>
      </c>
      <c r="F1000">
        <v>100</v>
      </c>
      <c r="G1000">
        <v>0</v>
      </c>
      <c r="H1000">
        <v>0</v>
      </c>
      <c r="I1000">
        <v>0</v>
      </c>
      <c r="J1000" s="1">
        <v>45927.74762321759</v>
      </c>
      <c r="K1000" t="s">
        <v>37</v>
      </c>
      <c r="L1000">
        <f>COUNTIF($A$2:A1000,A1000)</f>
        <v>2</v>
      </c>
    </row>
    <row r="1001" spans="1:12" x14ac:dyDescent="0.3">
      <c r="A1001">
        <v>12681</v>
      </c>
      <c r="B1001" t="s">
        <v>36</v>
      </c>
      <c r="C1001" t="s">
        <v>31</v>
      </c>
      <c r="D1001" t="s">
        <v>32</v>
      </c>
      <c r="E1001">
        <v>0</v>
      </c>
      <c r="F1001">
        <v>100</v>
      </c>
      <c r="G1001">
        <v>0</v>
      </c>
      <c r="H1001">
        <v>0</v>
      </c>
      <c r="I1001">
        <v>0</v>
      </c>
      <c r="J1001" s="1">
        <v>45927.747698912041</v>
      </c>
      <c r="K1001" t="s">
        <v>37</v>
      </c>
      <c r="L1001">
        <f>COUNTIF($A$2:A1001,A1001)</f>
        <v>3</v>
      </c>
    </row>
    <row r="1002" spans="1:12" x14ac:dyDescent="0.3">
      <c r="A1002">
        <v>12681</v>
      </c>
      <c r="B1002" t="s">
        <v>36</v>
      </c>
      <c r="C1002" t="s">
        <v>19</v>
      </c>
      <c r="D1002" t="s">
        <v>20</v>
      </c>
      <c r="E1002">
        <v>11</v>
      </c>
      <c r="F1002">
        <v>80</v>
      </c>
      <c r="G1002">
        <v>20</v>
      </c>
      <c r="H1002">
        <v>0</v>
      </c>
      <c r="I1002">
        <v>0</v>
      </c>
      <c r="J1002" s="1">
        <v>45927.747601493058</v>
      </c>
      <c r="K1002" t="s">
        <v>37</v>
      </c>
      <c r="L1002">
        <f>COUNTIF($A$2:A1002,A1002)</f>
        <v>4</v>
      </c>
    </row>
    <row r="1003" spans="1:12" x14ac:dyDescent="0.3">
      <c r="A1003">
        <v>12681</v>
      </c>
      <c r="B1003" t="s">
        <v>36</v>
      </c>
      <c r="C1003" t="s">
        <v>25</v>
      </c>
      <c r="D1003" t="s">
        <v>26</v>
      </c>
      <c r="E1003">
        <v>0</v>
      </c>
      <c r="F1003">
        <v>80</v>
      </c>
      <c r="G1003">
        <v>20</v>
      </c>
      <c r="H1003">
        <v>0</v>
      </c>
      <c r="I1003">
        <v>0</v>
      </c>
      <c r="J1003" s="1">
        <v>45927.74764548611</v>
      </c>
      <c r="K1003" t="s">
        <v>37</v>
      </c>
      <c r="L1003">
        <f>COUNTIF($A$2:A1003,A1003)</f>
        <v>5</v>
      </c>
    </row>
    <row r="1004" spans="1:12" x14ac:dyDescent="0.3">
      <c r="A1004">
        <v>12681</v>
      </c>
      <c r="B1004" t="s">
        <v>36</v>
      </c>
      <c r="C1004" t="s">
        <v>27</v>
      </c>
      <c r="D1004" t="s">
        <v>28</v>
      </c>
      <c r="E1004">
        <v>8</v>
      </c>
      <c r="F1004">
        <v>80</v>
      </c>
      <c r="G1004">
        <v>20</v>
      </c>
      <c r="H1004">
        <v>0</v>
      </c>
      <c r="I1004">
        <v>0</v>
      </c>
      <c r="J1004" s="1">
        <v>45927.747664409719</v>
      </c>
      <c r="K1004" t="s">
        <v>37</v>
      </c>
      <c r="L1004">
        <f>COUNTIF($A$2:A1004,A1004)</f>
        <v>6</v>
      </c>
    </row>
    <row r="1005" spans="1:12" x14ac:dyDescent="0.3">
      <c r="A1005">
        <v>12681</v>
      </c>
      <c r="B1005" t="s">
        <v>36</v>
      </c>
      <c r="C1005" t="s">
        <v>29</v>
      </c>
      <c r="D1005" t="s">
        <v>30</v>
      </c>
      <c r="E1005">
        <v>7</v>
      </c>
      <c r="F1005">
        <v>80</v>
      </c>
      <c r="G1005">
        <v>20</v>
      </c>
      <c r="H1005">
        <v>0</v>
      </c>
      <c r="I1005">
        <v>0</v>
      </c>
      <c r="J1005" s="1">
        <v>45927.747682372683</v>
      </c>
      <c r="K1005" t="s">
        <v>37</v>
      </c>
      <c r="L1005">
        <f>COUNTIF($A$2:A1005,A1005)</f>
        <v>7</v>
      </c>
    </row>
    <row r="1006" spans="1:12" x14ac:dyDescent="0.3">
      <c r="A1006">
        <v>12681</v>
      </c>
      <c r="B1006" t="s">
        <v>36</v>
      </c>
      <c r="C1006" t="s">
        <v>17</v>
      </c>
      <c r="D1006" t="s">
        <v>18</v>
      </c>
      <c r="E1006">
        <v>15</v>
      </c>
      <c r="F1006">
        <v>60</v>
      </c>
      <c r="G1006">
        <v>40</v>
      </c>
      <c r="H1006">
        <v>0</v>
      </c>
      <c r="I1006">
        <v>0</v>
      </c>
      <c r="J1006" s="1">
        <v>45927.747581400465</v>
      </c>
      <c r="K1006" t="s">
        <v>37</v>
      </c>
      <c r="L1006">
        <f>COUNTIF($A$2:A1006,A1006)</f>
        <v>8</v>
      </c>
    </row>
    <row r="1007" spans="1:12" x14ac:dyDescent="0.3">
      <c r="A1007">
        <v>12682</v>
      </c>
      <c r="B1007" t="s">
        <v>36</v>
      </c>
      <c r="C1007" t="s">
        <v>31</v>
      </c>
      <c r="D1007" t="s">
        <v>32</v>
      </c>
      <c r="E1007">
        <v>3</v>
      </c>
      <c r="F1007">
        <v>100</v>
      </c>
      <c r="G1007">
        <v>0</v>
      </c>
      <c r="H1007">
        <v>0</v>
      </c>
      <c r="I1007">
        <v>0</v>
      </c>
      <c r="J1007" s="1">
        <v>45927.747744236112</v>
      </c>
      <c r="K1007" t="s">
        <v>38</v>
      </c>
      <c r="L1007">
        <f>COUNTIF($A$2:A1007,A1007)</f>
        <v>1</v>
      </c>
    </row>
    <row r="1008" spans="1:12" x14ac:dyDescent="0.3">
      <c r="A1008">
        <v>12682</v>
      </c>
      <c r="B1008" t="s">
        <v>36</v>
      </c>
      <c r="C1008" t="s">
        <v>19</v>
      </c>
      <c r="D1008" t="s">
        <v>20</v>
      </c>
      <c r="E1008">
        <v>1</v>
      </c>
      <c r="F1008">
        <v>100</v>
      </c>
      <c r="G1008">
        <v>0</v>
      </c>
      <c r="H1008">
        <v>0</v>
      </c>
      <c r="I1008">
        <v>0</v>
      </c>
      <c r="J1008" s="1">
        <v>45927.747827546293</v>
      </c>
      <c r="K1008" t="s">
        <v>38</v>
      </c>
      <c r="L1008">
        <f>COUNTIF($A$2:A1008,A1008)</f>
        <v>2</v>
      </c>
    </row>
    <row r="1009" spans="1:12" x14ac:dyDescent="0.3">
      <c r="A1009">
        <v>12682</v>
      </c>
      <c r="B1009" t="s">
        <v>36</v>
      </c>
      <c r="C1009" t="s">
        <v>17</v>
      </c>
      <c r="D1009" t="s">
        <v>18</v>
      </c>
      <c r="E1009">
        <v>0</v>
      </c>
      <c r="F1009">
        <v>100</v>
      </c>
      <c r="G1009">
        <v>0</v>
      </c>
      <c r="H1009">
        <v>0</v>
      </c>
      <c r="I1009">
        <v>0</v>
      </c>
      <c r="J1009" s="1">
        <v>45927.747858125003</v>
      </c>
      <c r="K1009" t="s">
        <v>38</v>
      </c>
      <c r="L1009">
        <f>COUNTIF($A$2:A1009,A1009)</f>
        <v>3</v>
      </c>
    </row>
    <row r="1010" spans="1:12" x14ac:dyDescent="0.3">
      <c r="A1010">
        <v>12682</v>
      </c>
      <c r="B1010" t="s">
        <v>36</v>
      </c>
      <c r="C1010" t="s">
        <v>12</v>
      </c>
      <c r="D1010" t="s">
        <v>13</v>
      </c>
      <c r="E1010">
        <v>9</v>
      </c>
      <c r="F1010">
        <v>100</v>
      </c>
      <c r="G1010">
        <v>0</v>
      </c>
      <c r="H1010">
        <v>0</v>
      </c>
      <c r="I1010">
        <v>0</v>
      </c>
      <c r="J1010" s="1">
        <v>45927.747901585652</v>
      </c>
      <c r="K1010" t="s">
        <v>38</v>
      </c>
      <c r="L1010">
        <f>COUNTIF($A$2:A1010,A1010)</f>
        <v>4</v>
      </c>
    </row>
    <row r="1011" spans="1:12" x14ac:dyDescent="0.3">
      <c r="A1011">
        <v>12682</v>
      </c>
      <c r="B1011" t="s">
        <v>36</v>
      </c>
      <c r="C1011" t="s">
        <v>34</v>
      </c>
      <c r="D1011" t="s">
        <v>35</v>
      </c>
      <c r="E1011">
        <v>11</v>
      </c>
      <c r="F1011">
        <v>80</v>
      </c>
      <c r="G1011">
        <v>20</v>
      </c>
      <c r="H1011">
        <v>0</v>
      </c>
      <c r="I1011">
        <v>0</v>
      </c>
      <c r="J1011" s="1">
        <v>45927.747881342591</v>
      </c>
      <c r="K1011" t="s">
        <v>38</v>
      </c>
      <c r="L1011">
        <f>COUNTIF($A$2:A1011,A1011)</f>
        <v>5</v>
      </c>
    </row>
    <row r="1012" spans="1:12" x14ac:dyDescent="0.3">
      <c r="A1012">
        <v>12682</v>
      </c>
      <c r="B1012" t="s">
        <v>36</v>
      </c>
      <c r="C1012" t="s">
        <v>27</v>
      </c>
      <c r="D1012" t="s">
        <v>28</v>
      </c>
      <c r="E1012">
        <v>16</v>
      </c>
      <c r="F1012">
        <v>40</v>
      </c>
      <c r="G1012">
        <v>60</v>
      </c>
      <c r="H1012">
        <v>0</v>
      </c>
      <c r="I1012">
        <v>0</v>
      </c>
      <c r="J1012" s="1">
        <v>45927.747765185188</v>
      </c>
      <c r="K1012" t="s">
        <v>38</v>
      </c>
      <c r="L1012">
        <f>COUNTIF($A$2:A1012,A1012)</f>
        <v>6</v>
      </c>
    </row>
    <row r="1013" spans="1:12" x14ac:dyDescent="0.3">
      <c r="A1013">
        <v>12682</v>
      </c>
      <c r="B1013" t="s">
        <v>36</v>
      </c>
      <c r="C1013" t="s">
        <v>25</v>
      </c>
      <c r="D1013" t="s">
        <v>26</v>
      </c>
      <c r="E1013">
        <v>43</v>
      </c>
      <c r="F1013">
        <v>0</v>
      </c>
      <c r="G1013">
        <v>100</v>
      </c>
      <c r="H1013">
        <v>0</v>
      </c>
      <c r="I1013">
        <v>0</v>
      </c>
      <c r="J1013" s="1">
        <v>45927.747782175924</v>
      </c>
      <c r="K1013" t="s">
        <v>38</v>
      </c>
      <c r="L1013">
        <f>COUNTIF($A$2:A1013,A1013)</f>
        <v>7</v>
      </c>
    </row>
    <row r="1014" spans="1:12" x14ac:dyDescent="0.3">
      <c r="A1014">
        <v>12682</v>
      </c>
      <c r="B1014" t="s">
        <v>36</v>
      </c>
      <c r="C1014" t="s">
        <v>23</v>
      </c>
      <c r="D1014" t="s">
        <v>24</v>
      </c>
      <c r="E1014">
        <v>41</v>
      </c>
      <c r="F1014">
        <v>0</v>
      </c>
      <c r="G1014">
        <v>100</v>
      </c>
      <c r="H1014">
        <v>0</v>
      </c>
      <c r="I1014">
        <v>0</v>
      </c>
      <c r="J1014" s="1">
        <v>45927.747804282408</v>
      </c>
      <c r="K1014" t="s">
        <v>38</v>
      </c>
      <c r="L1014">
        <f>COUNTIF($A$2:A1014,A1014)</f>
        <v>8</v>
      </c>
    </row>
    <row r="1015" spans="1:12" x14ac:dyDescent="0.3">
      <c r="A1015">
        <v>12839</v>
      </c>
      <c r="B1015" t="s">
        <v>113</v>
      </c>
      <c r="C1015" t="s">
        <v>12</v>
      </c>
      <c r="D1015" t="s">
        <v>13</v>
      </c>
      <c r="E1015">
        <v>73</v>
      </c>
      <c r="F1015">
        <v>40</v>
      </c>
      <c r="G1015">
        <v>13.33</v>
      </c>
      <c r="H1015">
        <v>46.67</v>
      </c>
      <c r="I1015">
        <v>0</v>
      </c>
      <c r="J1015" s="1">
        <v>45927.752512881947</v>
      </c>
      <c r="K1015" t="s">
        <v>116</v>
      </c>
      <c r="L1015">
        <f>COUNTIF($A$2:A1015,A1015)</f>
        <v>1</v>
      </c>
    </row>
    <row r="1016" spans="1:12" x14ac:dyDescent="0.3">
      <c r="A1016">
        <v>12839</v>
      </c>
      <c r="B1016" t="s">
        <v>113</v>
      </c>
      <c r="C1016" t="s">
        <v>114</v>
      </c>
      <c r="D1016" t="s">
        <v>115</v>
      </c>
      <c r="E1016">
        <v>45</v>
      </c>
      <c r="F1016">
        <v>36.67</v>
      </c>
      <c r="G1016">
        <v>46.67</v>
      </c>
      <c r="H1016">
        <v>16.670000000000002</v>
      </c>
      <c r="I1016">
        <v>0</v>
      </c>
      <c r="J1016" s="1">
        <v>45927.751728402778</v>
      </c>
      <c r="K1016" t="s">
        <v>116</v>
      </c>
      <c r="L1016">
        <f>COUNTIF($A$2:A1016,A1016)</f>
        <v>2</v>
      </c>
    </row>
    <row r="1017" spans="1:12" x14ac:dyDescent="0.3">
      <c r="A1017">
        <v>12839</v>
      </c>
      <c r="B1017" t="s">
        <v>113</v>
      </c>
      <c r="C1017" t="s">
        <v>178</v>
      </c>
      <c r="D1017" t="s">
        <v>179</v>
      </c>
      <c r="E1017">
        <v>90</v>
      </c>
      <c r="F1017">
        <v>30</v>
      </c>
      <c r="G1017">
        <v>26.67</v>
      </c>
      <c r="H1017">
        <v>43.33</v>
      </c>
      <c r="I1017">
        <v>0</v>
      </c>
      <c r="J1017" s="1">
        <v>45927.752494247688</v>
      </c>
      <c r="K1017" t="s">
        <v>116</v>
      </c>
      <c r="L1017">
        <f>COUNTIF($A$2:A1017,A1017)</f>
        <v>3</v>
      </c>
    </row>
    <row r="1018" spans="1:12" x14ac:dyDescent="0.3">
      <c r="A1018">
        <v>12839</v>
      </c>
      <c r="B1018" t="s">
        <v>113</v>
      </c>
      <c r="C1018" t="s">
        <v>121</v>
      </c>
      <c r="D1018" t="s">
        <v>122</v>
      </c>
      <c r="E1018">
        <v>81</v>
      </c>
      <c r="F1018">
        <v>16.670000000000002</v>
      </c>
      <c r="G1018">
        <v>40</v>
      </c>
      <c r="H1018">
        <v>43.33</v>
      </c>
      <c r="I1018">
        <v>0</v>
      </c>
      <c r="J1018" s="1">
        <v>45927.751793391202</v>
      </c>
      <c r="K1018" t="s">
        <v>116</v>
      </c>
      <c r="L1018">
        <f>COUNTIF($A$2:A1018,A1018)</f>
        <v>4</v>
      </c>
    </row>
    <row r="1019" spans="1:12" x14ac:dyDescent="0.3">
      <c r="A1019">
        <v>12839</v>
      </c>
      <c r="B1019" t="s">
        <v>113</v>
      </c>
      <c r="C1019" t="s">
        <v>149</v>
      </c>
      <c r="D1019" t="s">
        <v>150</v>
      </c>
      <c r="E1019">
        <v>98</v>
      </c>
      <c r="F1019">
        <v>16.670000000000002</v>
      </c>
      <c r="G1019">
        <v>30</v>
      </c>
      <c r="H1019">
        <v>53.33</v>
      </c>
      <c r="I1019">
        <v>0</v>
      </c>
      <c r="J1019" s="1">
        <v>45927.752148055559</v>
      </c>
      <c r="K1019" t="s">
        <v>116</v>
      </c>
      <c r="L1019">
        <f>COUNTIF($A$2:A1019,A1019)</f>
        <v>5</v>
      </c>
    </row>
    <row r="1020" spans="1:12" x14ac:dyDescent="0.3">
      <c r="A1020">
        <v>12839</v>
      </c>
      <c r="B1020" t="s">
        <v>113</v>
      </c>
      <c r="C1020" t="s">
        <v>151</v>
      </c>
      <c r="D1020" t="s">
        <v>152</v>
      </c>
      <c r="E1020">
        <v>103</v>
      </c>
      <c r="F1020">
        <v>13.33</v>
      </c>
      <c r="G1020">
        <v>30</v>
      </c>
      <c r="H1020">
        <v>56.67</v>
      </c>
      <c r="I1020">
        <v>0</v>
      </c>
      <c r="J1020" s="1">
        <v>45927.752167997685</v>
      </c>
      <c r="K1020" t="s">
        <v>116</v>
      </c>
      <c r="L1020">
        <f>COUNTIF($A$2:A1020,A1020)</f>
        <v>6</v>
      </c>
    </row>
    <row r="1021" spans="1:12" x14ac:dyDescent="0.3">
      <c r="A1021">
        <v>12839</v>
      </c>
      <c r="B1021" t="s">
        <v>113</v>
      </c>
      <c r="C1021" t="s">
        <v>176</v>
      </c>
      <c r="D1021" t="s">
        <v>177</v>
      </c>
      <c r="E1021">
        <v>113</v>
      </c>
      <c r="F1021">
        <v>13.33</v>
      </c>
      <c r="G1021">
        <v>23.33</v>
      </c>
      <c r="H1021">
        <v>63.33</v>
      </c>
      <c r="I1021">
        <v>0.01</v>
      </c>
      <c r="J1021" s="1">
        <v>45927.752470636573</v>
      </c>
      <c r="K1021" t="s">
        <v>116</v>
      </c>
      <c r="L1021">
        <f>COUNTIF($A$2:A1021,A1021)</f>
        <v>7</v>
      </c>
    </row>
    <row r="1022" spans="1:12" x14ac:dyDescent="0.3">
      <c r="A1022">
        <v>12839</v>
      </c>
      <c r="B1022" t="s">
        <v>113</v>
      </c>
      <c r="C1022" t="s">
        <v>117</v>
      </c>
      <c r="D1022" t="s">
        <v>118</v>
      </c>
      <c r="E1022">
        <v>68</v>
      </c>
      <c r="F1022">
        <v>10</v>
      </c>
      <c r="G1022">
        <v>50</v>
      </c>
      <c r="H1022">
        <v>40</v>
      </c>
      <c r="I1022">
        <v>0</v>
      </c>
      <c r="J1022" s="1">
        <v>45927.751749432871</v>
      </c>
      <c r="K1022" t="s">
        <v>116</v>
      </c>
      <c r="L1022">
        <f>COUNTIF($A$2:A1022,A1022)</f>
        <v>8</v>
      </c>
    </row>
    <row r="1023" spans="1:12" x14ac:dyDescent="0.3">
      <c r="A1023">
        <v>12839</v>
      </c>
      <c r="B1023" t="s">
        <v>113</v>
      </c>
      <c r="C1023" t="s">
        <v>145</v>
      </c>
      <c r="D1023" t="s">
        <v>146</v>
      </c>
      <c r="E1023">
        <v>98</v>
      </c>
      <c r="F1023">
        <v>10</v>
      </c>
      <c r="G1023">
        <v>33.33</v>
      </c>
      <c r="H1023">
        <v>56.67</v>
      </c>
      <c r="I1023">
        <v>0</v>
      </c>
      <c r="J1023" s="1">
        <v>45927.752078969905</v>
      </c>
      <c r="K1023" t="s">
        <v>116</v>
      </c>
      <c r="L1023">
        <f>COUNTIF($A$2:A1023,A1023)</f>
        <v>9</v>
      </c>
    </row>
    <row r="1024" spans="1:12" x14ac:dyDescent="0.3">
      <c r="A1024">
        <v>12839</v>
      </c>
      <c r="B1024" t="s">
        <v>113</v>
      </c>
      <c r="C1024" t="s">
        <v>153</v>
      </c>
      <c r="D1024" t="s">
        <v>154</v>
      </c>
      <c r="E1024">
        <v>106</v>
      </c>
      <c r="F1024">
        <v>10</v>
      </c>
      <c r="G1024">
        <v>30</v>
      </c>
      <c r="H1024">
        <v>60</v>
      </c>
      <c r="I1024">
        <v>0</v>
      </c>
      <c r="J1024" s="1">
        <v>45927.752189687497</v>
      </c>
      <c r="K1024" t="s">
        <v>116</v>
      </c>
      <c r="L1024">
        <f>COUNTIF($A$2:A1024,A1024)</f>
        <v>10</v>
      </c>
    </row>
    <row r="1025" spans="1:12" x14ac:dyDescent="0.3">
      <c r="A1025">
        <v>12839</v>
      </c>
      <c r="B1025" t="s">
        <v>113</v>
      </c>
      <c r="C1025" t="s">
        <v>123</v>
      </c>
      <c r="D1025" t="s">
        <v>124</v>
      </c>
      <c r="E1025">
        <v>90</v>
      </c>
      <c r="F1025">
        <v>6.67</v>
      </c>
      <c r="G1025">
        <v>36.67</v>
      </c>
      <c r="H1025">
        <v>56.67</v>
      </c>
      <c r="I1025">
        <v>0</v>
      </c>
      <c r="J1025" s="1">
        <v>45927.751837685188</v>
      </c>
      <c r="K1025" t="s">
        <v>116</v>
      </c>
      <c r="L1025">
        <f>COUNTIF($A$2:A1025,A1025)</f>
        <v>11</v>
      </c>
    </row>
    <row r="1026" spans="1:12" x14ac:dyDescent="0.3">
      <c r="A1026">
        <v>12839</v>
      </c>
      <c r="B1026" t="s">
        <v>113</v>
      </c>
      <c r="C1026" t="s">
        <v>141</v>
      </c>
      <c r="D1026" t="s">
        <v>142</v>
      </c>
      <c r="E1026">
        <v>104</v>
      </c>
      <c r="F1026">
        <v>6.67</v>
      </c>
      <c r="G1026">
        <v>33.33</v>
      </c>
      <c r="H1026">
        <v>60</v>
      </c>
      <c r="I1026">
        <v>0</v>
      </c>
      <c r="J1026" s="1">
        <v>45927.752038171297</v>
      </c>
      <c r="K1026" t="s">
        <v>116</v>
      </c>
      <c r="L1026">
        <f>COUNTIF($A$2:A1026,A1026)</f>
        <v>12</v>
      </c>
    </row>
    <row r="1027" spans="1:12" x14ac:dyDescent="0.3">
      <c r="A1027">
        <v>12839</v>
      </c>
      <c r="B1027" t="s">
        <v>113</v>
      </c>
      <c r="C1027" t="s">
        <v>143</v>
      </c>
      <c r="D1027" t="s">
        <v>144</v>
      </c>
      <c r="E1027">
        <v>99</v>
      </c>
      <c r="F1027">
        <v>6.67</v>
      </c>
      <c r="G1027">
        <v>33.33</v>
      </c>
      <c r="H1027">
        <v>60</v>
      </c>
      <c r="I1027">
        <v>0</v>
      </c>
      <c r="J1027" s="1">
        <v>45927.752056874997</v>
      </c>
      <c r="K1027" t="s">
        <v>116</v>
      </c>
      <c r="L1027">
        <f>COUNTIF($A$2:A1027,A1027)</f>
        <v>13</v>
      </c>
    </row>
    <row r="1028" spans="1:12" x14ac:dyDescent="0.3">
      <c r="A1028">
        <v>12839</v>
      </c>
      <c r="B1028" t="s">
        <v>113</v>
      </c>
      <c r="C1028" t="s">
        <v>147</v>
      </c>
      <c r="D1028" t="s">
        <v>148</v>
      </c>
      <c r="E1028">
        <v>106</v>
      </c>
      <c r="F1028">
        <v>6.67</v>
      </c>
      <c r="G1028">
        <v>26.67</v>
      </c>
      <c r="H1028">
        <v>66.67</v>
      </c>
      <c r="I1028">
        <v>0</v>
      </c>
      <c r="J1028" s="1">
        <v>45927.75212582176</v>
      </c>
      <c r="K1028" t="s">
        <v>116</v>
      </c>
      <c r="L1028">
        <f>COUNTIF($A$2:A1028,A1028)</f>
        <v>14</v>
      </c>
    </row>
    <row r="1029" spans="1:12" x14ac:dyDescent="0.3">
      <c r="A1029">
        <v>12839</v>
      </c>
      <c r="B1029" t="s">
        <v>113</v>
      </c>
      <c r="C1029" t="s">
        <v>129</v>
      </c>
      <c r="D1029" t="s">
        <v>130</v>
      </c>
      <c r="E1029">
        <v>104</v>
      </c>
      <c r="F1029">
        <v>3.33</v>
      </c>
      <c r="G1029">
        <v>23.33</v>
      </c>
      <c r="H1029">
        <v>73.33</v>
      </c>
      <c r="I1029">
        <v>0.01</v>
      </c>
      <c r="J1029" s="1">
        <v>45927.751902361109</v>
      </c>
      <c r="K1029" t="s">
        <v>116</v>
      </c>
      <c r="L1029">
        <f>COUNTIF($A$2:A1029,A1029)</f>
        <v>15</v>
      </c>
    </row>
    <row r="1030" spans="1:12" x14ac:dyDescent="0.3">
      <c r="A1030">
        <v>12839</v>
      </c>
      <c r="B1030" t="s">
        <v>113</v>
      </c>
      <c r="C1030" t="s">
        <v>155</v>
      </c>
      <c r="D1030" t="s">
        <v>155</v>
      </c>
      <c r="E1030">
        <v>112</v>
      </c>
      <c r="F1030">
        <v>3.33</v>
      </c>
      <c r="G1030">
        <v>33.33</v>
      </c>
      <c r="H1030">
        <v>63.33</v>
      </c>
      <c r="I1030">
        <v>0.01</v>
      </c>
      <c r="J1030" s="1">
        <v>45927.752211377316</v>
      </c>
      <c r="K1030" t="s">
        <v>116</v>
      </c>
      <c r="L1030">
        <f>COUNTIF($A$2:A1030,A1030)</f>
        <v>16</v>
      </c>
    </row>
    <row r="1031" spans="1:12" x14ac:dyDescent="0.3">
      <c r="A1031">
        <v>12839</v>
      </c>
      <c r="B1031" t="s">
        <v>113</v>
      </c>
      <c r="C1031" t="s">
        <v>166</v>
      </c>
      <c r="D1031" t="s">
        <v>167</v>
      </c>
      <c r="E1031">
        <v>147</v>
      </c>
      <c r="F1031">
        <v>3.33</v>
      </c>
      <c r="G1031">
        <v>10</v>
      </c>
      <c r="H1031">
        <v>86.67</v>
      </c>
      <c r="I1031">
        <v>0</v>
      </c>
      <c r="J1031" s="1">
        <v>45927.752340127314</v>
      </c>
      <c r="K1031" t="s">
        <v>116</v>
      </c>
      <c r="L1031">
        <f>COUNTIF($A$2:A1031,A1031)</f>
        <v>17</v>
      </c>
    </row>
    <row r="1032" spans="1:12" x14ac:dyDescent="0.3">
      <c r="A1032">
        <v>12839</v>
      </c>
      <c r="B1032" t="s">
        <v>113</v>
      </c>
      <c r="C1032" t="s">
        <v>88</v>
      </c>
      <c r="D1032" t="s">
        <v>89</v>
      </c>
      <c r="E1032">
        <v>106</v>
      </c>
      <c r="F1032">
        <v>3.33</v>
      </c>
      <c r="G1032">
        <v>43.33</v>
      </c>
      <c r="H1032">
        <v>53.33</v>
      </c>
      <c r="I1032">
        <v>0.01</v>
      </c>
      <c r="J1032" s="1">
        <v>45927.752359409722</v>
      </c>
      <c r="K1032" t="s">
        <v>116</v>
      </c>
      <c r="L1032">
        <f>COUNTIF($A$2:A1032,A1032)</f>
        <v>18</v>
      </c>
    </row>
    <row r="1033" spans="1:12" x14ac:dyDescent="0.3">
      <c r="A1033">
        <v>12839</v>
      </c>
      <c r="B1033" t="s">
        <v>113</v>
      </c>
      <c r="C1033" t="s">
        <v>119</v>
      </c>
      <c r="D1033" t="s">
        <v>120</v>
      </c>
      <c r="E1033">
        <v>87</v>
      </c>
      <c r="F1033">
        <v>0</v>
      </c>
      <c r="G1033">
        <v>46.67</v>
      </c>
      <c r="H1033">
        <v>53.33</v>
      </c>
      <c r="I1033">
        <v>0</v>
      </c>
      <c r="J1033" s="1">
        <v>45927.751770057868</v>
      </c>
      <c r="K1033" t="s">
        <v>116</v>
      </c>
      <c r="L1033">
        <f>COUNTIF($A$2:A1033,A1033)</f>
        <v>19</v>
      </c>
    </row>
    <row r="1034" spans="1:12" x14ac:dyDescent="0.3">
      <c r="A1034">
        <v>12839</v>
      </c>
      <c r="B1034" t="s">
        <v>113</v>
      </c>
      <c r="C1034" t="s">
        <v>125</v>
      </c>
      <c r="D1034" t="s">
        <v>126</v>
      </c>
      <c r="E1034">
        <v>104</v>
      </c>
      <c r="F1034">
        <v>0</v>
      </c>
      <c r="G1034">
        <v>26.67</v>
      </c>
      <c r="H1034">
        <v>73.33</v>
      </c>
      <c r="I1034">
        <v>0</v>
      </c>
      <c r="J1034" s="1">
        <v>45927.751859444441</v>
      </c>
      <c r="K1034" t="s">
        <v>116</v>
      </c>
      <c r="L1034">
        <f>COUNTIF($A$2:A1034,A1034)</f>
        <v>20</v>
      </c>
    </row>
    <row r="1035" spans="1:12" x14ac:dyDescent="0.3">
      <c r="A1035">
        <v>12839</v>
      </c>
      <c r="B1035" t="s">
        <v>113</v>
      </c>
      <c r="C1035" t="s">
        <v>127</v>
      </c>
      <c r="D1035" t="s">
        <v>128</v>
      </c>
      <c r="E1035">
        <v>111</v>
      </c>
      <c r="F1035">
        <v>0</v>
      </c>
      <c r="G1035">
        <v>26.67</v>
      </c>
      <c r="H1035">
        <v>73.33</v>
      </c>
      <c r="I1035">
        <v>0</v>
      </c>
      <c r="J1035" s="1">
        <v>45927.751880960648</v>
      </c>
      <c r="K1035" t="s">
        <v>116</v>
      </c>
      <c r="L1035">
        <f>COUNTIF($A$2:A1035,A1035)</f>
        <v>21</v>
      </c>
    </row>
    <row r="1036" spans="1:12" x14ac:dyDescent="0.3">
      <c r="A1036">
        <v>12839</v>
      </c>
      <c r="B1036" t="s">
        <v>113</v>
      </c>
      <c r="C1036" t="s">
        <v>131</v>
      </c>
      <c r="D1036" t="s">
        <v>132</v>
      </c>
      <c r="E1036">
        <v>115</v>
      </c>
      <c r="F1036">
        <v>0</v>
      </c>
      <c r="G1036">
        <v>16.670000000000002</v>
      </c>
      <c r="H1036">
        <v>83.33</v>
      </c>
      <c r="I1036">
        <v>0</v>
      </c>
      <c r="J1036" s="1">
        <v>45927.751925520832</v>
      </c>
      <c r="K1036" t="s">
        <v>116</v>
      </c>
      <c r="L1036">
        <f>COUNTIF($A$2:A1036,A1036)</f>
        <v>22</v>
      </c>
    </row>
    <row r="1037" spans="1:12" x14ac:dyDescent="0.3">
      <c r="A1037">
        <v>12839</v>
      </c>
      <c r="B1037" t="s">
        <v>113</v>
      </c>
      <c r="C1037" t="s">
        <v>133</v>
      </c>
      <c r="D1037" t="s">
        <v>134</v>
      </c>
      <c r="E1037">
        <v>119</v>
      </c>
      <c r="F1037">
        <v>0</v>
      </c>
      <c r="G1037">
        <v>20</v>
      </c>
      <c r="H1037">
        <v>80</v>
      </c>
      <c r="I1037">
        <v>0</v>
      </c>
      <c r="J1037" s="1">
        <v>45927.751947175922</v>
      </c>
      <c r="K1037" t="s">
        <v>116</v>
      </c>
      <c r="L1037">
        <f>COUNTIF($A$2:A1037,A1037)</f>
        <v>23</v>
      </c>
    </row>
    <row r="1038" spans="1:12" x14ac:dyDescent="0.3">
      <c r="A1038">
        <v>12839</v>
      </c>
      <c r="B1038" t="s">
        <v>113</v>
      </c>
      <c r="C1038" t="s">
        <v>135</v>
      </c>
      <c r="D1038" t="s">
        <v>136</v>
      </c>
      <c r="E1038">
        <v>139</v>
      </c>
      <c r="F1038">
        <v>0</v>
      </c>
      <c r="G1038">
        <v>10</v>
      </c>
      <c r="H1038">
        <v>90</v>
      </c>
      <c r="I1038">
        <v>0</v>
      </c>
      <c r="J1038" s="1">
        <v>45927.751968773147</v>
      </c>
      <c r="K1038" t="s">
        <v>116</v>
      </c>
      <c r="L1038">
        <f>COUNTIF($A$2:A1038,A1038)</f>
        <v>24</v>
      </c>
    </row>
    <row r="1039" spans="1:12" x14ac:dyDescent="0.3">
      <c r="A1039">
        <v>12839</v>
      </c>
      <c r="B1039" t="s">
        <v>113</v>
      </c>
      <c r="C1039" t="s">
        <v>137</v>
      </c>
      <c r="D1039" t="s">
        <v>138</v>
      </c>
      <c r="E1039">
        <v>135</v>
      </c>
      <c r="F1039">
        <v>0</v>
      </c>
      <c r="G1039">
        <v>13.33</v>
      </c>
      <c r="H1039">
        <v>86.67</v>
      </c>
      <c r="I1039">
        <v>0</v>
      </c>
      <c r="J1039" s="1">
        <v>45927.751991377314</v>
      </c>
      <c r="K1039" t="s">
        <v>116</v>
      </c>
      <c r="L1039">
        <f>COUNTIF($A$2:A1039,A1039)</f>
        <v>25</v>
      </c>
    </row>
    <row r="1040" spans="1:12" x14ac:dyDescent="0.3">
      <c r="A1040">
        <v>12839</v>
      </c>
      <c r="B1040" t="s">
        <v>113</v>
      </c>
      <c r="C1040" t="s">
        <v>139</v>
      </c>
      <c r="D1040" t="s">
        <v>140</v>
      </c>
      <c r="E1040">
        <v>135</v>
      </c>
      <c r="F1040">
        <v>0</v>
      </c>
      <c r="G1040">
        <v>13.33</v>
      </c>
      <c r="H1040">
        <v>86.67</v>
      </c>
      <c r="I1040">
        <v>0</v>
      </c>
      <c r="J1040" s="1">
        <v>45927.752014803242</v>
      </c>
      <c r="K1040" t="s">
        <v>116</v>
      </c>
      <c r="L1040">
        <f>COUNTIF($A$2:A1040,A1040)</f>
        <v>26</v>
      </c>
    </row>
    <row r="1041" spans="1:12" x14ac:dyDescent="0.3">
      <c r="A1041">
        <v>12839</v>
      </c>
      <c r="B1041" t="s">
        <v>113</v>
      </c>
      <c r="C1041" t="s">
        <v>156</v>
      </c>
      <c r="D1041" t="s">
        <v>157</v>
      </c>
      <c r="E1041">
        <v>114</v>
      </c>
      <c r="F1041">
        <v>0</v>
      </c>
      <c r="G1041">
        <v>33.33</v>
      </c>
      <c r="H1041">
        <v>66.67</v>
      </c>
      <c r="I1041">
        <v>0</v>
      </c>
      <c r="J1041" s="1">
        <v>45927.752231817132</v>
      </c>
      <c r="K1041" t="s">
        <v>116</v>
      </c>
      <c r="L1041">
        <f>COUNTIF($A$2:A1041,A1041)</f>
        <v>27</v>
      </c>
    </row>
    <row r="1042" spans="1:12" x14ac:dyDescent="0.3">
      <c r="A1042">
        <v>12839</v>
      </c>
      <c r="B1042" t="s">
        <v>113</v>
      </c>
      <c r="C1042" t="s">
        <v>158</v>
      </c>
      <c r="D1042" t="s">
        <v>159</v>
      </c>
      <c r="E1042">
        <v>132</v>
      </c>
      <c r="F1042">
        <v>0</v>
      </c>
      <c r="G1042">
        <v>13.33</v>
      </c>
      <c r="H1042">
        <v>86.67</v>
      </c>
      <c r="I1042">
        <v>0</v>
      </c>
      <c r="J1042" s="1">
        <v>45927.75225109954</v>
      </c>
      <c r="K1042" t="s">
        <v>116</v>
      </c>
      <c r="L1042">
        <f>COUNTIF($A$2:A1042,A1042)</f>
        <v>28</v>
      </c>
    </row>
    <row r="1043" spans="1:12" x14ac:dyDescent="0.3">
      <c r="A1043">
        <v>12839</v>
      </c>
      <c r="B1043" t="s">
        <v>113</v>
      </c>
      <c r="C1043" t="s">
        <v>160</v>
      </c>
      <c r="D1043" t="s">
        <v>161</v>
      </c>
      <c r="E1043">
        <v>140</v>
      </c>
      <c r="F1043">
        <v>0</v>
      </c>
      <c r="G1043">
        <v>13.33</v>
      </c>
      <c r="H1043">
        <v>86.67</v>
      </c>
      <c r="I1043">
        <v>0</v>
      </c>
      <c r="J1043" s="1">
        <v>45927.752273576392</v>
      </c>
      <c r="K1043" t="s">
        <v>116</v>
      </c>
      <c r="L1043">
        <f>COUNTIF($A$2:A1043,A1043)</f>
        <v>29</v>
      </c>
    </row>
    <row r="1044" spans="1:12" x14ac:dyDescent="0.3">
      <c r="A1044">
        <v>12839</v>
      </c>
      <c r="B1044" t="s">
        <v>113</v>
      </c>
      <c r="C1044" t="s">
        <v>162</v>
      </c>
      <c r="D1044" t="s">
        <v>163</v>
      </c>
      <c r="E1044">
        <v>145</v>
      </c>
      <c r="F1044">
        <v>0</v>
      </c>
      <c r="G1044">
        <v>13.33</v>
      </c>
      <c r="H1044">
        <v>86.67</v>
      </c>
      <c r="I1044">
        <v>0</v>
      </c>
      <c r="J1044" s="1">
        <v>45927.752293530095</v>
      </c>
      <c r="K1044" t="s">
        <v>116</v>
      </c>
      <c r="L1044">
        <f>COUNTIF($A$2:A1044,A1044)</f>
        <v>30</v>
      </c>
    </row>
    <row r="1045" spans="1:12" x14ac:dyDescent="0.3">
      <c r="A1045">
        <v>12839</v>
      </c>
      <c r="B1045" t="s">
        <v>113</v>
      </c>
      <c r="C1045" t="s">
        <v>164</v>
      </c>
      <c r="D1045" t="s">
        <v>165</v>
      </c>
      <c r="E1045">
        <v>144</v>
      </c>
      <c r="F1045">
        <v>0</v>
      </c>
      <c r="G1045">
        <v>13.33</v>
      </c>
      <c r="H1045">
        <v>86.67</v>
      </c>
      <c r="I1045">
        <v>0</v>
      </c>
      <c r="J1045" s="1">
        <v>45927.75231733796</v>
      </c>
      <c r="K1045" t="s">
        <v>116</v>
      </c>
      <c r="L1045">
        <f>COUNTIF($A$2:A1045,A1045)</f>
        <v>31</v>
      </c>
    </row>
    <row r="1046" spans="1:12" x14ac:dyDescent="0.3">
      <c r="A1046">
        <v>12839</v>
      </c>
      <c r="B1046" t="s">
        <v>113</v>
      </c>
      <c r="C1046" t="s">
        <v>168</v>
      </c>
      <c r="D1046" t="s">
        <v>169</v>
      </c>
      <c r="E1046">
        <v>127</v>
      </c>
      <c r="F1046">
        <v>0</v>
      </c>
      <c r="G1046">
        <v>26.67</v>
      </c>
      <c r="H1046">
        <v>73.33</v>
      </c>
      <c r="I1046">
        <v>0</v>
      </c>
      <c r="J1046" s="1">
        <v>45927.752378599536</v>
      </c>
      <c r="K1046" t="s">
        <v>116</v>
      </c>
      <c r="L1046">
        <f>COUNTIF($A$2:A1046,A1046)</f>
        <v>32</v>
      </c>
    </row>
    <row r="1047" spans="1:12" x14ac:dyDescent="0.3">
      <c r="A1047">
        <v>12839</v>
      </c>
      <c r="B1047" t="s">
        <v>113</v>
      </c>
      <c r="C1047" t="s">
        <v>170</v>
      </c>
      <c r="D1047" t="s">
        <v>171</v>
      </c>
      <c r="E1047">
        <v>133</v>
      </c>
      <c r="F1047">
        <v>0</v>
      </c>
      <c r="G1047">
        <v>20</v>
      </c>
      <c r="H1047">
        <v>80</v>
      </c>
      <c r="I1047">
        <v>0</v>
      </c>
      <c r="J1047" s="1">
        <v>45927.752401655096</v>
      </c>
      <c r="K1047" t="s">
        <v>116</v>
      </c>
      <c r="L1047">
        <f>COUNTIF($A$2:A1047,A1047)</f>
        <v>33</v>
      </c>
    </row>
    <row r="1048" spans="1:12" x14ac:dyDescent="0.3">
      <c r="A1048">
        <v>12839</v>
      </c>
      <c r="B1048" t="s">
        <v>113</v>
      </c>
      <c r="C1048" t="s">
        <v>172</v>
      </c>
      <c r="D1048" t="s">
        <v>173</v>
      </c>
      <c r="E1048">
        <v>133</v>
      </c>
      <c r="F1048">
        <v>0</v>
      </c>
      <c r="G1048">
        <v>20</v>
      </c>
      <c r="H1048">
        <v>80</v>
      </c>
      <c r="I1048">
        <v>0</v>
      </c>
      <c r="J1048" s="1">
        <v>45927.752421192126</v>
      </c>
      <c r="K1048" t="s">
        <v>116</v>
      </c>
      <c r="L1048">
        <f>COUNTIF($A$2:A1048,A1048)</f>
        <v>34</v>
      </c>
    </row>
    <row r="1049" spans="1:12" x14ac:dyDescent="0.3">
      <c r="A1049">
        <v>12839</v>
      </c>
      <c r="B1049" t="s">
        <v>113</v>
      </c>
      <c r="C1049" t="s">
        <v>174</v>
      </c>
      <c r="D1049" t="s">
        <v>175</v>
      </c>
      <c r="E1049">
        <v>0</v>
      </c>
      <c r="F1049">
        <v>0</v>
      </c>
      <c r="G1049">
        <v>26.67</v>
      </c>
      <c r="H1049">
        <v>73.33</v>
      </c>
      <c r="I1049">
        <v>0</v>
      </c>
      <c r="J1049" s="1">
        <v>45927.752451006942</v>
      </c>
      <c r="K1049" t="s">
        <v>116</v>
      </c>
      <c r="L1049">
        <f>COUNTIF($A$2:A1049,A1049)</f>
        <v>35</v>
      </c>
    </row>
    <row r="1050" spans="1:12" x14ac:dyDescent="0.3">
      <c r="A1050">
        <v>12840</v>
      </c>
      <c r="B1050" t="s">
        <v>113</v>
      </c>
      <c r="C1050" t="s">
        <v>12</v>
      </c>
      <c r="D1050" t="s">
        <v>13</v>
      </c>
      <c r="E1050">
        <v>56</v>
      </c>
      <c r="F1050">
        <v>61.92</v>
      </c>
      <c r="G1050">
        <v>11.51</v>
      </c>
      <c r="H1050">
        <v>26.3</v>
      </c>
      <c r="I1050">
        <v>0.27</v>
      </c>
      <c r="J1050" s="1">
        <v>45927.752561365742</v>
      </c>
      <c r="K1050" t="s">
        <v>180</v>
      </c>
      <c r="L1050">
        <f>COUNTIF($A$2:A1050,A1050)</f>
        <v>1</v>
      </c>
    </row>
    <row r="1051" spans="1:12" x14ac:dyDescent="0.3">
      <c r="A1051">
        <v>12840</v>
      </c>
      <c r="B1051" t="s">
        <v>113</v>
      </c>
      <c r="C1051" t="s">
        <v>141</v>
      </c>
      <c r="D1051" t="s">
        <v>142</v>
      </c>
      <c r="E1051">
        <v>77</v>
      </c>
      <c r="F1051">
        <v>47.4</v>
      </c>
      <c r="G1051">
        <v>17.260000000000002</v>
      </c>
      <c r="H1051">
        <v>35.07</v>
      </c>
      <c r="I1051">
        <v>0.27</v>
      </c>
      <c r="J1051" s="1">
        <v>45927.753044618054</v>
      </c>
      <c r="K1051" t="s">
        <v>180</v>
      </c>
      <c r="L1051">
        <f>COUNTIF($A$2:A1051,A1051)</f>
        <v>2</v>
      </c>
    </row>
    <row r="1052" spans="1:12" x14ac:dyDescent="0.3">
      <c r="A1052">
        <v>12840</v>
      </c>
      <c r="B1052" t="s">
        <v>113</v>
      </c>
      <c r="C1052" t="s">
        <v>139</v>
      </c>
      <c r="D1052" t="s">
        <v>140</v>
      </c>
      <c r="E1052">
        <v>83</v>
      </c>
      <c r="F1052">
        <v>41.64</v>
      </c>
      <c r="G1052">
        <v>21.37</v>
      </c>
      <c r="H1052">
        <v>36.71</v>
      </c>
      <c r="I1052">
        <v>0.28000000000000003</v>
      </c>
      <c r="J1052" s="1">
        <v>45927.753063356482</v>
      </c>
      <c r="K1052" t="s">
        <v>180</v>
      </c>
      <c r="L1052">
        <f>COUNTIF($A$2:A1052,A1052)</f>
        <v>3</v>
      </c>
    </row>
    <row r="1053" spans="1:12" x14ac:dyDescent="0.3">
      <c r="A1053">
        <v>12840</v>
      </c>
      <c r="B1053" t="s">
        <v>113</v>
      </c>
      <c r="C1053" t="s">
        <v>121</v>
      </c>
      <c r="D1053" t="s">
        <v>122</v>
      </c>
      <c r="E1053">
        <v>87</v>
      </c>
      <c r="F1053">
        <v>41.64</v>
      </c>
      <c r="G1053">
        <v>17.260000000000002</v>
      </c>
      <c r="H1053">
        <v>40.82</v>
      </c>
      <c r="I1053">
        <v>0.28000000000000003</v>
      </c>
      <c r="J1053" s="1">
        <v>45927.753264375002</v>
      </c>
      <c r="K1053" t="s">
        <v>180</v>
      </c>
      <c r="L1053">
        <f>COUNTIF($A$2:A1053,A1053)</f>
        <v>4</v>
      </c>
    </row>
    <row r="1054" spans="1:12" x14ac:dyDescent="0.3">
      <c r="A1054">
        <v>12840</v>
      </c>
      <c r="B1054" t="s">
        <v>113</v>
      </c>
      <c r="C1054" t="s">
        <v>151</v>
      </c>
      <c r="D1054" t="s">
        <v>152</v>
      </c>
      <c r="E1054">
        <v>79</v>
      </c>
      <c r="F1054">
        <v>40.549999999999997</v>
      </c>
      <c r="G1054">
        <v>23.01</v>
      </c>
      <c r="H1054">
        <v>36.159999999999997</v>
      </c>
      <c r="I1054">
        <v>0.28000000000000003</v>
      </c>
      <c r="J1054" s="1">
        <v>45927.752933888885</v>
      </c>
      <c r="K1054" t="s">
        <v>180</v>
      </c>
      <c r="L1054">
        <f>COUNTIF($A$2:A1054,A1054)</f>
        <v>5</v>
      </c>
    </row>
    <row r="1055" spans="1:12" x14ac:dyDescent="0.3">
      <c r="A1055">
        <v>12840</v>
      </c>
      <c r="B1055" t="s">
        <v>113</v>
      </c>
      <c r="C1055" t="s">
        <v>178</v>
      </c>
      <c r="D1055" t="s">
        <v>179</v>
      </c>
      <c r="E1055">
        <v>73</v>
      </c>
      <c r="F1055">
        <v>33.97</v>
      </c>
      <c r="G1055">
        <v>33.97</v>
      </c>
      <c r="H1055">
        <v>31.78</v>
      </c>
      <c r="I1055">
        <v>0.28000000000000003</v>
      </c>
      <c r="J1055" s="1">
        <v>45927.75258497685</v>
      </c>
      <c r="K1055" t="s">
        <v>180</v>
      </c>
      <c r="L1055">
        <f>COUNTIF($A$2:A1055,A1055)</f>
        <v>6</v>
      </c>
    </row>
    <row r="1056" spans="1:12" x14ac:dyDescent="0.3">
      <c r="A1056">
        <v>12840</v>
      </c>
      <c r="B1056" t="s">
        <v>113</v>
      </c>
      <c r="C1056" t="s">
        <v>168</v>
      </c>
      <c r="D1056" t="s">
        <v>169</v>
      </c>
      <c r="E1056">
        <v>77</v>
      </c>
      <c r="F1056">
        <v>31.78</v>
      </c>
      <c r="G1056">
        <v>33.42</v>
      </c>
      <c r="H1056">
        <v>34.520000000000003</v>
      </c>
      <c r="I1056">
        <v>0.28000000000000003</v>
      </c>
      <c r="J1056" s="1">
        <v>45927.752697858799</v>
      </c>
      <c r="K1056" t="s">
        <v>180</v>
      </c>
      <c r="L1056">
        <f>COUNTIF($A$2:A1056,A1056)</f>
        <v>7</v>
      </c>
    </row>
    <row r="1057" spans="1:12" x14ac:dyDescent="0.3">
      <c r="A1057">
        <v>12840</v>
      </c>
      <c r="B1057" t="s">
        <v>113</v>
      </c>
      <c r="C1057" t="s">
        <v>137</v>
      </c>
      <c r="D1057" t="s">
        <v>138</v>
      </c>
      <c r="E1057">
        <v>88</v>
      </c>
      <c r="F1057">
        <v>31.23</v>
      </c>
      <c r="G1057">
        <v>30.68</v>
      </c>
      <c r="H1057">
        <v>37.81</v>
      </c>
      <c r="I1057">
        <v>0.28000000000000003</v>
      </c>
      <c r="J1057" s="1">
        <v>45927.753086296296</v>
      </c>
      <c r="K1057" t="s">
        <v>180</v>
      </c>
      <c r="L1057">
        <f>COUNTIF($A$2:A1057,A1057)</f>
        <v>8</v>
      </c>
    </row>
    <row r="1058" spans="1:12" x14ac:dyDescent="0.3">
      <c r="A1058">
        <v>12840</v>
      </c>
      <c r="B1058" t="s">
        <v>113</v>
      </c>
      <c r="C1058" t="s">
        <v>88</v>
      </c>
      <c r="D1058" t="s">
        <v>89</v>
      </c>
      <c r="E1058">
        <v>84</v>
      </c>
      <c r="F1058">
        <v>23.84</v>
      </c>
      <c r="G1058">
        <v>39.729999999999997</v>
      </c>
      <c r="H1058">
        <v>36.159999999999997</v>
      </c>
      <c r="I1058">
        <v>0.27</v>
      </c>
      <c r="J1058" s="1">
        <v>45927.752721273151</v>
      </c>
      <c r="K1058" t="s">
        <v>180</v>
      </c>
      <c r="L1058">
        <f>COUNTIF($A$2:A1058,A1058)</f>
        <v>9</v>
      </c>
    </row>
    <row r="1059" spans="1:12" x14ac:dyDescent="0.3">
      <c r="A1059">
        <v>12840</v>
      </c>
      <c r="B1059" t="s">
        <v>113</v>
      </c>
      <c r="C1059" t="s">
        <v>119</v>
      </c>
      <c r="D1059" t="s">
        <v>120</v>
      </c>
      <c r="E1059">
        <v>101</v>
      </c>
      <c r="F1059">
        <v>23.84</v>
      </c>
      <c r="G1059">
        <v>29.32</v>
      </c>
      <c r="H1059">
        <v>46.58</v>
      </c>
      <c r="I1059">
        <v>0.26</v>
      </c>
      <c r="J1059" s="1">
        <v>45927.75327912037</v>
      </c>
      <c r="K1059" t="s">
        <v>180</v>
      </c>
      <c r="L1059">
        <f>COUNTIF($A$2:A1059,A1059)</f>
        <v>10</v>
      </c>
    </row>
    <row r="1060" spans="1:12" x14ac:dyDescent="0.3">
      <c r="A1060">
        <v>12840</v>
      </c>
      <c r="B1060" t="s">
        <v>113</v>
      </c>
      <c r="C1060" t="s">
        <v>149</v>
      </c>
      <c r="D1060" t="s">
        <v>150</v>
      </c>
      <c r="E1060">
        <v>89</v>
      </c>
      <c r="F1060">
        <v>21.64</v>
      </c>
      <c r="G1060">
        <v>39.729999999999997</v>
      </c>
      <c r="H1060">
        <v>38.36</v>
      </c>
      <c r="I1060">
        <v>0.27</v>
      </c>
      <c r="J1060" s="1">
        <v>45927.752958657409</v>
      </c>
      <c r="K1060" t="s">
        <v>180</v>
      </c>
      <c r="L1060">
        <f>COUNTIF($A$2:A1060,A1060)</f>
        <v>11</v>
      </c>
    </row>
    <row r="1061" spans="1:12" x14ac:dyDescent="0.3">
      <c r="A1061">
        <v>12840</v>
      </c>
      <c r="B1061" t="s">
        <v>113</v>
      </c>
      <c r="C1061" t="s">
        <v>145</v>
      </c>
      <c r="D1061" t="s">
        <v>146</v>
      </c>
      <c r="E1061">
        <v>91</v>
      </c>
      <c r="F1061">
        <v>20.27</v>
      </c>
      <c r="G1061">
        <v>40.549999999999997</v>
      </c>
      <c r="H1061">
        <v>38.9</v>
      </c>
      <c r="I1061">
        <v>0.28000000000000003</v>
      </c>
      <c r="J1061" s="1">
        <v>45927.753001076388</v>
      </c>
      <c r="K1061" t="s">
        <v>180</v>
      </c>
      <c r="L1061">
        <f>COUNTIF($A$2:A1061,A1061)</f>
        <v>12</v>
      </c>
    </row>
    <row r="1062" spans="1:12" x14ac:dyDescent="0.3">
      <c r="A1062">
        <v>12840</v>
      </c>
      <c r="B1062" t="s">
        <v>113</v>
      </c>
      <c r="C1062" t="s">
        <v>114</v>
      </c>
      <c r="D1062" t="s">
        <v>115</v>
      </c>
      <c r="E1062">
        <v>129</v>
      </c>
      <c r="F1062">
        <v>18.63</v>
      </c>
      <c r="G1062">
        <v>10.68</v>
      </c>
      <c r="H1062">
        <v>69.59</v>
      </c>
      <c r="I1062">
        <v>1.1000000000000001</v>
      </c>
      <c r="J1062" s="1">
        <v>45927.753335624999</v>
      </c>
      <c r="K1062" t="s">
        <v>180</v>
      </c>
      <c r="L1062">
        <f>COUNTIF($A$2:A1062,A1062)</f>
        <v>13</v>
      </c>
    </row>
    <row r="1063" spans="1:12" x14ac:dyDescent="0.3">
      <c r="A1063">
        <v>12840</v>
      </c>
      <c r="B1063" t="s">
        <v>113</v>
      </c>
      <c r="C1063" t="s">
        <v>170</v>
      </c>
      <c r="D1063" t="s">
        <v>171</v>
      </c>
      <c r="E1063">
        <v>85</v>
      </c>
      <c r="F1063">
        <v>18.079999999999998</v>
      </c>
      <c r="G1063">
        <v>45.48</v>
      </c>
      <c r="H1063">
        <v>36.159999999999997</v>
      </c>
      <c r="I1063">
        <v>0.28000000000000003</v>
      </c>
      <c r="J1063" s="1">
        <v>45927.752675567128</v>
      </c>
      <c r="K1063" t="s">
        <v>180</v>
      </c>
      <c r="L1063">
        <f>COUNTIF($A$2:A1063,A1063)</f>
        <v>14</v>
      </c>
    </row>
    <row r="1064" spans="1:12" x14ac:dyDescent="0.3">
      <c r="A1064">
        <v>12840</v>
      </c>
      <c r="B1064" t="s">
        <v>113</v>
      </c>
      <c r="C1064" t="s">
        <v>147</v>
      </c>
      <c r="D1064" t="s">
        <v>148</v>
      </c>
      <c r="E1064">
        <v>91</v>
      </c>
      <c r="F1064">
        <v>17.809999999999999</v>
      </c>
      <c r="G1064">
        <v>42.47</v>
      </c>
      <c r="H1064">
        <v>39.450000000000003</v>
      </c>
      <c r="I1064">
        <v>0.27</v>
      </c>
      <c r="J1064" s="1">
        <v>45927.752981759259</v>
      </c>
      <c r="K1064" t="s">
        <v>180</v>
      </c>
      <c r="L1064">
        <f>COUNTIF($A$2:A1064,A1064)</f>
        <v>15</v>
      </c>
    </row>
    <row r="1065" spans="1:12" x14ac:dyDescent="0.3">
      <c r="A1065">
        <v>12840</v>
      </c>
      <c r="B1065" t="s">
        <v>113</v>
      </c>
      <c r="C1065" t="s">
        <v>174</v>
      </c>
      <c r="D1065" t="s">
        <v>175</v>
      </c>
      <c r="E1065">
        <v>82</v>
      </c>
      <c r="F1065">
        <v>17.53</v>
      </c>
      <c r="G1065">
        <v>48.22</v>
      </c>
      <c r="H1065">
        <v>33.97</v>
      </c>
      <c r="I1065">
        <v>0.28000000000000003</v>
      </c>
      <c r="J1065" s="1">
        <v>45927.752629849536</v>
      </c>
      <c r="K1065" t="s">
        <v>180</v>
      </c>
      <c r="L1065">
        <f>COUNTIF($A$2:A1065,A1065)</f>
        <v>16</v>
      </c>
    </row>
    <row r="1066" spans="1:12" x14ac:dyDescent="0.3">
      <c r="A1066">
        <v>12840</v>
      </c>
      <c r="B1066" t="s">
        <v>113</v>
      </c>
      <c r="C1066" t="s">
        <v>172</v>
      </c>
      <c r="D1066" t="s">
        <v>173</v>
      </c>
      <c r="E1066">
        <v>84</v>
      </c>
      <c r="F1066">
        <v>17.53</v>
      </c>
      <c r="G1066">
        <v>47.95</v>
      </c>
      <c r="H1066">
        <v>34.25</v>
      </c>
      <c r="I1066">
        <v>0.27</v>
      </c>
      <c r="J1066" s="1">
        <v>45927.752652384261</v>
      </c>
      <c r="K1066" t="s">
        <v>180</v>
      </c>
      <c r="L1066">
        <f>COUNTIF($A$2:A1066,A1066)</f>
        <v>17</v>
      </c>
    </row>
    <row r="1067" spans="1:12" x14ac:dyDescent="0.3">
      <c r="A1067">
        <v>12840</v>
      </c>
      <c r="B1067" t="s">
        <v>113</v>
      </c>
      <c r="C1067" t="s">
        <v>166</v>
      </c>
      <c r="D1067" t="s">
        <v>167</v>
      </c>
      <c r="E1067">
        <v>94</v>
      </c>
      <c r="F1067">
        <v>16.440000000000001</v>
      </c>
      <c r="G1067">
        <v>38.36</v>
      </c>
      <c r="H1067">
        <v>44.93</v>
      </c>
      <c r="I1067">
        <v>0.27</v>
      </c>
      <c r="J1067" s="1">
        <v>45927.752740682874</v>
      </c>
      <c r="K1067" t="s">
        <v>180</v>
      </c>
      <c r="L1067">
        <f>COUNTIF($A$2:A1067,A1067)</f>
        <v>18</v>
      </c>
    </row>
    <row r="1068" spans="1:12" x14ac:dyDescent="0.3">
      <c r="A1068">
        <v>12840</v>
      </c>
      <c r="B1068" t="s">
        <v>113</v>
      </c>
      <c r="C1068" t="s">
        <v>158</v>
      </c>
      <c r="D1068" t="s">
        <v>159</v>
      </c>
      <c r="E1068">
        <v>121</v>
      </c>
      <c r="F1068">
        <v>16.440000000000001</v>
      </c>
      <c r="G1068">
        <v>10.14</v>
      </c>
      <c r="H1068">
        <v>73.150000000000006</v>
      </c>
      <c r="I1068">
        <v>0.27</v>
      </c>
      <c r="J1068" s="1">
        <v>45927.752842743059</v>
      </c>
      <c r="K1068" t="s">
        <v>180</v>
      </c>
      <c r="L1068">
        <f>COUNTIF($A$2:A1068,A1068)</f>
        <v>19</v>
      </c>
    </row>
    <row r="1069" spans="1:12" x14ac:dyDescent="0.3">
      <c r="A1069">
        <v>12840</v>
      </c>
      <c r="B1069" t="s">
        <v>113</v>
      </c>
      <c r="C1069" t="s">
        <v>143</v>
      </c>
      <c r="D1069" t="s">
        <v>144</v>
      </c>
      <c r="E1069">
        <v>96</v>
      </c>
      <c r="F1069">
        <v>15.62</v>
      </c>
      <c r="G1069">
        <v>42.74</v>
      </c>
      <c r="H1069">
        <v>41.37</v>
      </c>
      <c r="I1069">
        <v>0.27</v>
      </c>
      <c r="J1069" s="1">
        <v>45927.753023043981</v>
      </c>
      <c r="K1069" t="s">
        <v>180</v>
      </c>
      <c r="L1069">
        <f>COUNTIF($A$2:A1069,A1069)</f>
        <v>20</v>
      </c>
    </row>
    <row r="1070" spans="1:12" x14ac:dyDescent="0.3">
      <c r="A1070">
        <v>12840</v>
      </c>
      <c r="B1070" t="s">
        <v>113</v>
      </c>
      <c r="C1070" t="s">
        <v>176</v>
      </c>
      <c r="D1070" t="s">
        <v>177</v>
      </c>
      <c r="E1070">
        <v>81</v>
      </c>
      <c r="F1070">
        <v>14.79</v>
      </c>
      <c r="G1070">
        <v>52.05</v>
      </c>
      <c r="H1070">
        <v>32.880000000000003</v>
      </c>
      <c r="I1070">
        <v>0.28000000000000003</v>
      </c>
      <c r="J1070" s="1">
        <v>45927.752606562499</v>
      </c>
      <c r="K1070" t="s">
        <v>180</v>
      </c>
      <c r="L1070">
        <f>COUNTIF($A$2:A1070,A1070)</f>
        <v>21</v>
      </c>
    </row>
    <row r="1071" spans="1:12" x14ac:dyDescent="0.3">
      <c r="A1071">
        <v>12840</v>
      </c>
      <c r="B1071" t="s">
        <v>113</v>
      </c>
      <c r="C1071" t="s">
        <v>164</v>
      </c>
      <c r="D1071" t="s">
        <v>165</v>
      </c>
      <c r="E1071">
        <v>99</v>
      </c>
      <c r="F1071">
        <v>14.79</v>
      </c>
      <c r="G1071">
        <v>36.159999999999997</v>
      </c>
      <c r="H1071">
        <v>48.77</v>
      </c>
      <c r="I1071">
        <v>0.28000000000000003</v>
      </c>
      <c r="J1071" s="1">
        <v>45927.752760648145</v>
      </c>
      <c r="K1071" t="s">
        <v>180</v>
      </c>
      <c r="L1071">
        <f>COUNTIF($A$2:A1071,A1071)</f>
        <v>22</v>
      </c>
    </row>
    <row r="1072" spans="1:12" x14ac:dyDescent="0.3">
      <c r="A1072">
        <v>12840</v>
      </c>
      <c r="B1072" t="s">
        <v>113</v>
      </c>
      <c r="C1072" t="s">
        <v>155</v>
      </c>
      <c r="D1072" t="s">
        <v>155</v>
      </c>
      <c r="E1072">
        <v>124</v>
      </c>
      <c r="F1072">
        <v>14.25</v>
      </c>
      <c r="G1072">
        <v>11.78</v>
      </c>
      <c r="H1072">
        <v>73.7</v>
      </c>
      <c r="I1072">
        <v>0.27</v>
      </c>
      <c r="J1072" s="1">
        <v>45927.752888159725</v>
      </c>
      <c r="K1072" t="s">
        <v>180</v>
      </c>
      <c r="L1072">
        <f>COUNTIF($A$2:A1072,A1072)</f>
        <v>23</v>
      </c>
    </row>
    <row r="1073" spans="1:12" x14ac:dyDescent="0.3">
      <c r="A1073">
        <v>12840</v>
      </c>
      <c r="B1073" t="s">
        <v>113</v>
      </c>
      <c r="C1073" t="s">
        <v>153</v>
      </c>
      <c r="D1073" t="s">
        <v>154</v>
      </c>
      <c r="E1073">
        <v>128</v>
      </c>
      <c r="F1073">
        <v>14.25</v>
      </c>
      <c r="G1073">
        <v>9.32</v>
      </c>
      <c r="H1073">
        <v>76.16</v>
      </c>
      <c r="I1073">
        <v>0.27</v>
      </c>
      <c r="J1073" s="1">
        <v>45927.752910787036</v>
      </c>
      <c r="K1073" t="s">
        <v>180</v>
      </c>
      <c r="L1073">
        <f>COUNTIF($A$2:A1073,A1073)</f>
        <v>24</v>
      </c>
    </row>
    <row r="1074" spans="1:12" x14ac:dyDescent="0.3">
      <c r="A1074">
        <v>12840</v>
      </c>
      <c r="B1074" t="s">
        <v>113</v>
      </c>
      <c r="C1074" t="s">
        <v>162</v>
      </c>
      <c r="D1074" t="s">
        <v>163</v>
      </c>
      <c r="E1074">
        <v>103</v>
      </c>
      <c r="F1074">
        <v>13.97</v>
      </c>
      <c r="G1074">
        <v>30.68</v>
      </c>
      <c r="H1074">
        <v>55.07</v>
      </c>
      <c r="I1074">
        <v>0.28000000000000003</v>
      </c>
      <c r="J1074" s="1">
        <v>45927.752782847223</v>
      </c>
      <c r="K1074" t="s">
        <v>180</v>
      </c>
      <c r="L1074">
        <f>COUNTIF($A$2:A1074,A1074)</f>
        <v>25</v>
      </c>
    </row>
    <row r="1075" spans="1:12" x14ac:dyDescent="0.3">
      <c r="A1075">
        <v>12840</v>
      </c>
      <c r="B1075" t="s">
        <v>113</v>
      </c>
      <c r="C1075" t="s">
        <v>156</v>
      </c>
      <c r="D1075" t="s">
        <v>157</v>
      </c>
      <c r="E1075">
        <v>124</v>
      </c>
      <c r="F1075">
        <v>13.97</v>
      </c>
      <c r="G1075">
        <v>12.05</v>
      </c>
      <c r="H1075">
        <v>73.7</v>
      </c>
      <c r="I1075">
        <v>0.28000000000000003</v>
      </c>
      <c r="J1075" s="1">
        <v>45927.752864166665</v>
      </c>
      <c r="K1075" t="s">
        <v>180</v>
      </c>
      <c r="L1075">
        <f>COUNTIF($A$2:A1075,A1075)</f>
        <v>26</v>
      </c>
    </row>
    <row r="1076" spans="1:12" x14ac:dyDescent="0.3">
      <c r="A1076">
        <v>12840</v>
      </c>
      <c r="B1076" t="s">
        <v>113</v>
      </c>
      <c r="C1076" t="s">
        <v>117</v>
      </c>
      <c r="D1076" t="s">
        <v>118</v>
      </c>
      <c r="E1076">
        <v>123</v>
      </c>
      <c r="F1076">
        <v>10.14</v>
      </c>
      <c r="G1076">
        <v>30.96</v>
      </c>
      <c r="H1076">
        <v>58.63</v>
      </c>
      <c r="I1076">
        <v>0.27</v>
      </c>
      <c r="J1076" s="1">
        <v>45927.753299143522</v>
      </c>
      <c r="K1076" t="s">
        <v>180</v>
      </c>
      <c r="L1076">
        <f>COUNTIF($A$2:A1076,A1076)</f>
        <v>27</v>
      </c>
    </row>
    <row r="1077" spans="1:12" x14ac:dyDescent="0.3">
      <c r="A1077">
        <v>12840</v>
      </c>
      <c r="B1077" t="s">
        <v>113</v>
      </c>
      <c r="C1077" t="s">
        <v>160</v>
      </c>
      <c r="D1077" t="s">
        <v>161</v>
      </c>
      <c r="E1077">
        <v>0</v>
      </c>
      <c r="F1077">
        <v>8.2200000000000006</v>
      </c>
      <c r="G1077">
        <v>20.82</v>
      </c>
      <c r="H1077">
        <v>70.680000000000007</v>
      </c>
      <c r="I1077">
        <v>0.27</v>
      </c>
      <c r="J1077" s="1">
        <v>45927.752823495372</v>
      </c>
      <c r="K1077" t="s">
        <v>180</v>
      </c>
      <c r="L1077">
        <f>COUNTIF($A$2:A1077,A1077)</f>
        <v>28</v>
      </c>
    </row>
    <row r="1078" spans="1:12" x14ac:dyDescent="0.3">
      <c r="A1078">
        <v>12840</v>
      </c>
      <c r="B1078" t="s">
        <v>113</v>
      </c>
      <c r="C1078" t="s">
        <v>135</v>
      </c>
      <c r="D1078" t="s">
        <v>136</v>
      </c>
      <c r="E1078">
        <v>99</v>
      </c>
      <c r="F1078">
        <v>7.12</v>
      </c>
      <c r="G1078">
        <v>52.6</v>
      </c>
      <c r="H1078">
        <v>40</v>
      </c>
      <c r="I1078">
        <v>0.28000000000000003</v>
      </c>
      <c r="J1078" s="1">
        <v>45927.7531103125</v>
      </c>
      <c r="K1078" t="s">
        <v>180</v>
      </c>
      <c r="L1078">
        <f>COUNTIF($A$2:A1078,A1078)</f>
        <v>29</v>
      </c>
    </row>
    <row r="1079" spans="1:12" x14ac:dyDescent="0.3">
      <c r="A1079">
        <v>12840</v>
      </c>
      <c r="B1079" t="s">
        <v>113</v>
      </c>
      <c r="C1079" t="s">
        <v>181</v>
      </c>
      <c r="D1079" t="s">
        <v>182</v>
      </c>
      <c r="E1079">
        <v>158</v>
      </c>
      <c r="F1079">
        <v>6.3</v>
      </c>
      <c r="G1079">
        <v>13.42</v>
      </c>
      <c r="H1079">
        <v>80</v>
      </c>
      <c r="I1079">
        <v>0.28000000000000003</v>
      </c>
      <c r="J1079" s="1">
        <v>45927.753317129631</v>
      </c>
      <c r="K1079" t="s">
        <v>180</v>
      </c>
      <c r="L1079">
        <f>COUNTIF($A$2:A1079,A1079)</f>
        <v>30</v>
      </c>
    </row>
    <row r="1080" spans="1:12" x14ac:dyDescent="0.3">
      <c r="A1080">
        <v>12840</v>
      </c>
      <c r="B1080" t="s">
        <v>113</v>
      </c>
      <c r="C1080" t="s">
        <v>125</v>
      </c>
      <c r="D1080" t="s">
        <v>126</v>
      </c>
      <c r="E1080">
        <v>124</v>
      </c>
      <c r="F1080">
        <v>4.93</v>
      </c>
      <c r="G1080">
        <v>36.99</v>
      </c>
      <c r="H1080">
        <v>57.26</v>
      </c>
      <c r="I1080">
        <v>0.82</v>
      </c>
      <c r="J1080" s="1">
        <v>45927.753222222222</v>
      </c>
      <c r="K1080" t="s">
        <v>180</v>
      </c>
      <c r="L1080">
        <f>COUNTIF($A$2:A1080,A1080)</f>
        <v>31</v>
      </c>
    </row>
    <row r="1081" spans="1:12" x14ac:dyDescent="0.3">
      <c r="A1081">
        <v>12840</v>
      </c>
      <c r="B1081" t="s">
        <v>113</v>
      </c>
      <c r="C1081" t="s">
        <v>129</v>
      </c>
      <c r="D1081" t="s">
        <v>130</v>
      </c>
      <c r="E1081">
        <v>117</v>
      </c>
      <c r="F1081">
        <v>4.66</v>
      </c>
      <c r="G1081">
        <v>43.01</v>
      </c>
      <c r="H1081">
        <v>52.05</v>
      </c>
      <c r="I1081">
        <v>0.28000000000000003</v>
      </c>
      <c r="J1081" s="1">
        <v>45927.753176018516</v>
      </c>
      <c r="K1081" t="s">
        <v>180</v>
      </c>
      <c r="L1081">
        <f>COUNTIF($A$2:A1081,A1081)</f>
        <v>32</v>
      </c>
    </row>
    <row r="1082" spans="1:12" x14ac:dyDescent="0.3">
      <c r="A1082">
        <v>12840</v>
      </c>
      <c r="B1082" t="s">
        <v>113</v>
      </c>
      <c r="C1082" t="s">
        <v>127</v>
      </c>
      <c r="D1082" t="s">
        <v>128</v>
      </c>
      <c r="E1082">
        <v>121</v>
      </c>
      <c r="F1082">
        <v>3.84</v>
      </c>
      <c r="G1082">
        <v>40.82</v>
      </c>
      <c r="H1082">
        <v>55.07</v>
      </c>
      <c r="I1082">
        <v>0.27</v>
      </c>
      <c r="J1082" s="1">
        <v>45927.753198587961</v>
      </c>
      <c r="K1082" t="s">
        <v>180</v>
      </c>
      <c r="L1082">
        <f>COUNTIF($A$2:A1082,A1082)</f>
        <v>33</v>
      </c>
    </row>
    <row r="1083" spans="1:12" x14ac:dyDescent="0.3">
      <c r="A1083">
        <v>12840</v>
      </c>
      <c r="B1083" t="s">
        <v>113</v>
      </c>
      <c r="C1083" t="s">
        <v>123</v>
      </c>
      <c r="D1083" t="s">
        <v>124</v>
      </c>
      <c r="E1083">
        <v>127</v>
      </c>
      <c r="F1083">
        <v>3.84</v>
      </c>
      <c r="G1083">
        <v>37.26</v>
      </c>
      <c r="H1083">
        <v>58.63</v>
      </c>
      <c r="I1083">
        <v>0.27</v>
      </c>
      <c r="J1083" s="1">
        <v>45927.753246122687</v>
      </c>
      <c r="K1083" t="s">
        <v>180</v>
      </c>
      <c r="L1083">
        <f>COUNTIF($A$2:A1083,A1083)</f>
        <v>34</v>
      </c>
    </row>
    <row r="1084" spans="1:12" x14ac:dyDescent="0.3">
      <c r="A1084">
        <v>12840</v>
      </c>
      <c r="B1084" t="s">
        <v>113</v>
      </c>
      <c r="C1084" t="s">
        <v>133</v>
      </c>
      <c r="D1084" t="s">
        <v>134</v>
      </c>
      <c r="E1084">
        <v>103</v>
      </c>
      <c r="F1084">
        <v>2.4700000000000002</v>
      </c>
      <c r="G1084">
        <v>54.52</v>
      </c>
      <c r="H1084">
        <v>42.74</v>
      </c>
      <c r="I1084">
        <v>0.27</v>
      </c>
      <c r="J1084" s="1">
        <v>45927.753131412035</v>
      </c>
      <c r="K1084" t="s">
        <v>180</v>
      </c>
      <c r="L1084">
        <f>COUNTIF($A$2:A1084,A1084)</f>
        <v>35</v>
      </c>
    </row>
    <row r="1085" spans="1:12" x14ac:dyDescent="0.3">
      <c r="A1085">
        <v>12840</v>
      </c>
      <c r="B1085" t="s">
        <v>113</v>
      </c>
      <c r="C1085" t="s">
        <v>131</v>
      </c>
      <c r="D1085" t="s">
        <v>132</v>
      </c>
      <c r="E1085">
        <v>108</v>
      </c>
      <c r="F1085">
        <v>2.19</v>
      </c>
      <c r="G1085">
        <v>53.15</v>
      </c>
      <c r="H1085">
        <v>44.38</v>
      </c>
      <c r="I1085">
        <v>0.28000000000000003</v>
      </c>
      <c r="J1085" s="1">
        <v>45927.753154224534</v>
      </c>
      <c r="K1085" t="s">
        <v>180</v>
      </c>
      <c r="L1085">
        <f>COUNTIF($A$2:A1085,A1085)</f>
        <v>36</v>
      </c>
    </row>
    <row r="1086" spans="1:12" x14ac:dyDescent="0.3">
      <c r="A1086">
        <v>12841</v>
      </c>
      <c r="B1086" t="s">
        <v>234</v>
      </c>
      <c r="C1086" t="s">
        <v>12</v>
      </c>
      <c r="D1086" t="s">
        <v>13</v>
      </c>
      <c r="E1086">
        <v>21</v>
      </c>
      <c r="F1086">
        <v>66.67</v>
      </c>
      <c r="G1086">
        <v>10</v>
      </c>
      <c r="H1086">
        <v>23.33</v>
      </c>
      <c r="I1086">
        <v>0</v>
      </c>
      <c r="J1086" s="1">
        <v>45927.780550729163</v>
      </c>
      <c r="K1086" t="s">
        <v>235</v>
      </c>
      <c r="L1086">
        <f>COUNTIF($A$2:A1086,A1086)</f>
        <v>1</v>
      </c>
    </row>
    <row r="1087" spans="1:12" x14ac:dyDescent="0.3">
      <c r="A1087">
        <v>12841</v>
      </c>
      <c r="B1087" t="s">
        <v>234</v>
      </c>
      <c r="C1087" t="s">
        <v>181</v>
      </c>
      <c r="D1087" t="s">
        <v>182</v>
      </c>
      <c r="E1087">
        <v>20</v>
      </c>
      <c r="F1087">
        <v>63.33</v>
      </c>
      <c r="G1087">
        <v>26.67</v>
      </c>
      <c r="H1087">
        <v>10</v>
      </c>
      <c r="I1087">
        <v>0</v>
      </c>
      <c r="J1087" s="1">
        <v>45927.780288726855</v>
      </c>
      <c r="K1087" t="s">
        <v>235</v>
      </c>
      <c r="L1087">
        <f>COUNTIF($A$2:A1087,A1087)</f>
        <v>2</v>
      </c>
    </row>
    <row r="1088" spans="1:12" x14ac:dyDescent="0.3">
      <c r="A1088">
        <v>12841</v>
      </c>
      <c r="B1088" t="s">
        <v>234</v>
      </c>
      <c r="C1088" t="s">
        <v>114</v>
      </c>
      <c r="D1088" t="s">
        <v>115</v>
      </c>
      <c r="E1088">
        <v>18</v>
      </c>
      <c r="F1088">
        <v>53.33</v>
      </c>
      <c r="G1088">
        <v>30</v>
      </c>
      <c r="H1088">
        <v>6.67</v>
      </c>
      <c r="I1088">
        <v>10</v>
      </c>
      <c r="J1088" s="1">
        <v>45927.780250150463</v>
      </c>
      <c r="K1088" t="s">
        <v>235</v>
      </c>
      <c r="L1088">
        <f>COUNTIF($A$2:A1088,A1088)</f>
        <v>3</v>
      </c>
    </row>
    <row r="1089" spans="1:12" x14ac:dyDescent="0.3">
      <c r="A1089">
        <v>12841</v>
      </c>
      <c r="B1089" t="s">
        <v>234</v>
      </c>
      <c r="C1089" t="s">
        <v>151</v>
      </c>
      <c r="D1089" t="s">
        <v>152</v>
      </c>
      <c r="E1089">
        <v>48</v>
      </c>
      <c r="F1089">
        <v>50</v>
      </c>
      <c r="G1089">
        <v>23.33</v>
      </c>
      <c r="H1089">
        <v>26.67</v>
      </c>
      <c r="I1089">
        <v>0</v>
      </c>
      <c r="J1089" s="1">
        <v>45927.780458194444</v>
      </c>
      <c r="K1089" t="s">
        <v>235</v>
      </c>
      <c r="L1089">
        <f>COUNTIF($A$2:A1089,A1089)</f>
        <v>4</v>
      </c>
    </row>
    <row r="1090" spans="1:12" x14ac:dyDescent="0.3">
      <c r="A1090">
        <v>12841</v>
      </c>
      <c r="B1090" t="s">
        <v>234</v>
      </c>
      <c r="C1090" t="s">
        <v>121</v>
      </c>
      <c r="D1090" t="s">
        <v>122</v>
      </c>
      <c r="E1090">
        <v>0</v>
      </c>
      <c r="F1090">
        <v>46.67</v>
      </c>
      <c r="G1090">
        <v>33.33</v>
      </c>
      <c r="H1090">
        <v>20</v>
      </c>
      <c r="I1090">
        <v>0</v>
      </c>
      <c r="J1090" s="1">
        <v>45927.780347465276</v>
      </c>
      <c r="K1090" t="s">
        <v>235</v>
      </c>
      <c r="L1090">
        <f>COUNTIF($A$2:A1090,A1090)</f>
        <v>5</v>
      </c>
    </row>
    <row r="1091" spans="1:12" x14ac:dyDescent="0.3">
      <c r="A1091">
        <v>12841</v>
      </c>
      <c r="B1091" t="s">
        <v>234</v>
      </c>
      <c r="C1091" t="s">
        <v>123</v>
      </c>
      <c r="D1091" t="s">
        <v>124</v>
      </c>
      <c r="E1091">
        <v>36</v>
      </c>
      <c r="F1091">
        <v>46.67</v>
      </c>
      <c r="G1091">
        <v>33.33</v>
      </c>
      <c r="H1091">
        <v>20</v>
      </c>
      <c r="I1091">
        <v>0</v>
      </c>
      <c r="J1091" s="1">
        <v>45927.780367534724</v>
      </c>
      <c r="K1091" t="s">
        <v>235</v>
      </c>
      <c r="L1091">
        <f>COUNTIF($A$2:A1091,A1091)</f>
        <v>6</v>
      </c>
    </row>
    <row r="1092" spans="1:12" x14ac:dyDescent="0.3">
      <c r="A1092">
        <v>12841</v>
      </c>
      <c r="B1092" t="s">
        <v>234</v>
      </c>
      <c r="C1092" t="s">
        <v>88</v>
      </c>
      <c r="D1092" t="s">
        <v>89</v>
      </c>
      <c r="E1092">
        <v>45</v>
      </c>
      <c r="F1092">
        <v>40</v>
      </c>
      <c r="G1092">
        <v>33.33</v>
      </c>
      <c r="H1092">
        <v>26.67</v>
      </c>
      <c r="I1092">
        <v>0</v>
      </c>
      <c r="J1092" s="1">
        <v>45927.780535011574</v>
      </c>
      <c r="K1092" t="s">
        <v>235</v>
      </c>
      <c r="L1092">
        <f>COUNTIF($A$2:A1092,A1092)</f>
        <v>7</v>
      </c>
    </row>
    <row r="1093" spans="1:12" x14ac:dyDescent="0.3">
      <c r="A1093">
        <v>12841</v>
      </c>
      <c r="B1093" t="s">
        <v>234</v>
      </c>
      <c r="C1093" t="s">
        <v>117</v>
      </c>
      <c r="D1093" t="s">
        <v>118</v>
      </c>
      <c r="E1093">
        <v>34</v>
      </c>
      <c r="F1093">
        <v>23.33</v>
      </c>
      <c r="G1093">
        <v>60</v>
      </c>
      <c r="H1093">
        <v>16.670000000000002</v>
      </c>
      <c r="I1093">
        <v>0</v>
      </c>
      <c r="J1093" s="1">
        <v>45927.780304027779</v>
      </c>
      <c r="K1093" t="s">
        <v>235</v>
      </c>
      <c r="L1093">
        <f>COUNTIF($A$2:A1093,A1093)</f>
        <v>8</v>
      </c>
    </row>
    <row r="1094" spans="1:12" x14ac:dyDescent="0.3">
      <c r="A1094">
        <v>12841</v>
      </c>
      <c r="B1094" t="s">
        <v>234</v>
      </c>
      <c r="C1094" t="s">
        <v>127</v>
      </c>
      <c r="D1094" t="s">
        <v>128</v>
      </c>
      <c r="E1094">
        <v>49</v>
      </c>
      <c r="F1094">
        <v>23.33</v>
      </c>
      <c r="G1094">
        <v>50</v>
      </c>
      <c r="H1094">
        <v>26.67</v>
      </c>
      <c r="I1094">
        <v>0</v>
      </c>
      <c r="J1094" s="1">
        <v>45927.780404513891</v>
      </c>
      <c r="K1094" t="s">
        <v>235</v>
      </c>
      <c r="L1094">
        <f>COUNTIF($A$2:A1094,A1094)</f>
        <v>9</v>
      </c>
    </row>
    <row r="1095" spans="1:12" x14ac:dyDescent="0.3">
      <c r="A1095">
        <v>12841</v>
      </c>
      <c r="B1095" t="s">
        <v>234</v>
      </c>
      <c r="C1095" t="s">
        <v>125</v>
      </c>
      <c r="D1095" t="s">
        <v>126</v>
      </c>
      <c r="E1095">
        <v>48</v>
      </c>
      <c r="F1095">
        <v>20</v>
      </c>
      <c r="G1095">
        <v>50</v>
      </c>
      <c r="H1095">
        <v>30</v>
      </c>
      <c r="I1095">
        <v>0</v>
      </c>
      <c r="J1095" s="1">
        <v>45927.78038478009</v>
      </c>
      <c r="K1095" t="s">
        <v>235</v>
      </c>
      <c r="L1095">
        <f>COUNTIF($A$2:A1095,A1095)</f>
        <v>10</v>
      </c>
    </row>
    <row r="1096" spans="1:12" x14ac:dyDescent="0.3">
      <c r="A1096">
        <v>12841</v>
      </c>
      <c r="B1096" t="s">
        <v>234</v>
      </c>
      <c r="C1096" t="s">
        <v>236</v>
      </c>
      <c r="D1096" t="s">
        <v>237</v>
      </c>
      <c r="E1096">
        <v>0</v>
      </c>
      <c r="F1096">
        <v>10</v>
      </c>
      <c r="G1096">
        <v>0</v>
      </c>
      <c r="H1096">
        <v>0</v>
      </c>
      <c r="I1096">
        <v>90</v>
      </c>
      <c r="J1096" s="1">
        <v>45927.780270474534</v>
      </c>
      <c r="K1096" t="s">
        <v>235</v>
      </c>
      <c r="L1096">
        <f>COUNTIF($A$2:A1096,A1096)</f>
        <v>11</v>
      </c>
    </row>
    <row r="1097" spans="1:12" x14ac:dyDescent="0.3">
      <c r="A1097">
        <v>12841</v>
      </c>
      <c r="B1097" t="s">
        <v>234</v>
      </c>
      <c r="C1097" t="s">
        <v>119</v>
      </c>
      <c r="D1097" t="s">
        <v>120</v>
      </c>
      <c r="E1097">
        <v>53</v>
      </c>
      <c r="F1097">
        <v>10</v>
      </c>
      <c r="G1097">
        <v>60</v>
      </c>
      <c r="H1097">
        <v>30</v>
      </c>
      <c r="I1097">
        <v>0</v>
      </c>
      <c r="J1097" s="1">
        <v>45927.780324247688</v>
      </c>
      <c r="K1097" t="s">
        <v>235</v>
      </c>
      <c r="L1097">
        <f>COUNTIF($A$2:A1097,A1097)</f>
        <v>12</v>
      </c>
    </row>
    <row r="1098" spans="1:12" x14ac:dyDescent="0.3">
      <c r="A1098">
        <v>12841</v>
      </c>
      <c r="B1098" t="s">
        <v>234</v>
      </c>
      <c r="C1098" t="s">
        <v>135</v>
      </c>
      <c r="D1098" t="s">
        <v>136</v>
      </c>
      <c r="E1098">
        <v>63</v>
      </c>
      <c r="F1098">
        <v>6.67</v>
      </c>
      <c r="G1098">
        <v>50</v>
      </c>
      <c r="H1098">
        <v>43.33</v>
      </c>
      <c r="I1098">
        <v>0</v>
      </c>
      <c r="J1098" s="1">
        <v>45927.780443333337</v>
      </c>
      <c r="K1098" t="s">
        <v>235</v>
      </c>
      <c r="L1098">
        <f>COUNTIF($A$2:A1098,A1098)</f>
        <v>13</v>
      </c>
    </row>
    <row r="1099" spans="1:12" x14ac:dyDescent="0.3">
      <c r="A1099">
        <v>12841</v>
      </c>
      <c r="B1099" t="s">
        <v>234</v>
      </c>
      <c r="C1099" t="s">
        <v>164</v>
      </c>
      <c r="D1099" t="s">
        <v>165</v>
      </c>
      <c r="E1099">
        <v>71</v>
      </c>
      <c r="F1099">
        <v>6.67</v>
      </c>
      <c r="G1099">
        <v>60</v>
      </c>
      <c r="H1099">
        <v>33.33</v>
      </c>
      <c r="I1099">
        <v>0</v>
      </c>
      <c r="J1099" s="1">
        <v>45927.780500624998</v>
      </c>
      <c r="K1099" t="s">
        <v>235</v>
      </c>
      <c r="L1099">
        <f>COUNTIF($A$2:A1099,A1099)</f>
        <v>14</v>
      </c>
    </row>
    <row r="1100" spans="1:12" x14ac:dyDescent="0.3">
      <c r="A1100">
        <v>12841</v>
      </c>
      <c r="B1100" t="s">
        <v>234</v>
      </c>
      <c r="C1100" t="s">
        <v>129</v>
      </c>
      <c r="D1100" t="s">
        <v>130</v>
      </c>
      <c r="E1100">
        <v>71</v>
      </c>
      <c r="F1100">
        <v>3.33</v>
      </c>
      <c r="G1100">
        <v>50</v>
      </c>
      <c r="H1100">
        <v>46.67</v>
      </c>
      <c r="I1100">
        <v>0</v>
      </c>
      <c r="J1100" s="1">
        <v>45927.78042333333</v>
      </c>
      <c r="K1100" t="s">
        <v>235</v>
      </c>
      <c r="L1100">
        <f>COUNTIF($A$2:A1100,A1100)</f>
        <v>15</v>
      </c>
    </row>
    <row r="1101" spans="1:12" x14ac:dyDescent="0.3">
      <c r="A1101">
        <v>12841</v>
      </c>
      <c r="B1101" t="s">
        <v>234</v>
      </c>
      <c r="C1101" t="s">
        <v>166</v>
      </c>
      <c r="D1101" t="s">
        <v>167</v>
      </c>
      <c r="E1101">
        <v>71</v>
      </c>
      <c r="F1101">
        <v>3.33</v>
      </c>
      <c r="G1101">
        <v>63.33</v>
      </c>
      <c r="H1101">
        <v>33.33</v>
      </c>
      <c r="I1101">
        <v>0.01</v>
      </c>
      <c r="J1101" s="1">
        <v>45927.780519259257</v>
      </c>
      <c r="K1101" t="s">
        <v>235</v>
      </c>
      <c r="L1101">
        <f>COUNTIF($A$2:A1101,A1101)</f>
        <v>16</v>
      </c>
    </row>
    <row r="1102" spans="1:12" x14ac:dyDescent="0.3">
      <c r="A1102">
        <v>12841</v>
      </c>
      <c r="B1102" t="s">
        <v>234</v>
      </c>
      <c r="C1102" t="s">
        <v>160</v>
      </c>
      <c r="D1102" t="s">
        <v>161</v>
      </c>
      <c r="E1102">
        <v>0</v>
      </c>
      <c r="F1102">
        <v>0</v>
      </c>
      <c r="G1102">
        <v>63.33</v>
      </c>
      <c r="H1102">
        <v>36.67</v>
      </c>
      <c r="I1102">
        <v>0</v>
      </c>
      <c r="J1102" s="1">
        <v>45927.780481319445</v>
      </c>
      <c r="K1102" t="s">
        <v>235</v>
      </c>
      <c r="L1102">
        <f>COUNTIF($A$2:A1102,A1102)</f>
        <v>17</v>
      </c>
    </row>
    <row r="1103" spans="1:12" x14ac:dyDescent="0.3">
      <c r="A1103">
        <v>12842</v>
      </c>
      <c r="B1103" t="s">
        <v>234</v>
      </c>
      <c r="C1103" t="s">
        <v>12</v>
      </c>
      <c r="D1103" t="s">
        <v>13</v>
      </c>
      <c r="E1103">
        <v>31</v>
      </c>
      <c r="F1103">
        <v>76.67</v>
      </c>
      <c r="G1103">
        <v>10</v>
      </c>
      <c r="H1103">
        <v>13.33</v>
      </c>
      <c r="I1103">
        <v>0</v>
      </c>
      <c r="J1103" s="1">
        <v>45927.780615393516</v>
      </c>
      <c r="K1103" t="s">
        <v>238</v>
      </c>
      <c r="L1103">
        <f>COUNTIF($A$2:A1103,A1103)</f>
        <v>1</v>
      </c>
    </row>
    <row r="1104" spans="1:12" x14ac:dyDescent="0.3">
      <c r="A1104">
        <v>12842</v>
      </c>
      <c r="B1104" t="s">
        <v>234</v>
      </c>
      <c r="C1104" t="s">
        <v>151</v>
      </c>
      <c r="D1104" t="s">
        <v>152</v>
      </c>
      <c r="E1104">
        <v>35</v>
      </c>
      <c r="F1104">
        <v>60</v>
      </c>
      <c r="G1104">
        <v>23.33</v>
      </c>
      <c r="H1104">
        <v>16.670000000000002</v>
      </c>
      <c r="I1104">
        <v>0</v>
      </c>
      <c r="J1104" s="1">
        <v>45927.780728900463</v>
      </c>
      <c r="K1104" t="s">
        <v>238</v>
      </c>
      <c r="L1104">
        <f>COUNTIF($A$2:A1104,A1104)</f>
        <v>2</v>
      </c>
    </row>
    <row r="1105" spans="1:12" x14ac:dyDescent="0.3">
      <c r="A1105">
        <v>12842</v>
      </c>
      <c r="B1105" t="s">
        <v>234</v>
      </c>
      <c r="C1105" t="s">
        <v>114</v>
      </c>
      <c r="D1105" t="s">
        <v>115</v>
      </c>
      <c r="E1105">
        <v>63</v>
      </c>
      <c r="F1105">
        <v>53.33</v>
      </c>
      <c r="G1105">
        <v>10</v>
      </c>
      <c r="H1105">
        <v>26.67</v>
      </c>
      <c r="I1105">
        <v>10</v>
      </c>
      <c r="J1105" s="1">
        <v>45927.780912372684</v>
      </c>
      <c r="K1105" t="s">
        <v>238</v>
      </c>
      <c r="L1105">
        <f>COUNTIF($A$2:A1105,A1105)</f>
        <v>3</v>
      </c>
    </row>
    <row r="1106" spans="1:12" x14ac:dyDescent="0.3">
      <c r="A1106">
        <v>12842</v>
      </c>
      <c r="B1106" t="s">
        <v>234</v>
      </c>
      <c r="C1106" t="s">
        <v>121</v>
      </c>
      <c r="D1106" t="s">
        <v>122</v>
      </c>
      <c r="E1106">
        <v>45</v>
      </c>
      <c r="F1106">
        <v>40</v>
      </c>
      <c r="G1106">
        <v>36.67</v>
      </c>
      <c r="H1106">
        <v>23.33</v>
      </c>
      <c r="I1106">
        <v>0</v>
      </c>
      <c r="J1106" s="1">
        <v>45927.780836550926</v>
      </c>
      <c r="K1106" t="s">
        <v>238</v>
      </c>
      <c r="L1106">
        <f>COUNTIF($A$2:A1106,A1106)</f>
        <v>4</v>
      </c>
    </row>
    <row r="1107" spans="1:12" x14ac:dyDescent="0.3">
      <c r="A1107">
        <v>12842</v>
      </c>
      <c r="B1107" t="s">
        <v>234</v>
      </c>
      <c r="C1107" t="s">
        <v>174</v>
      </c>
      <c r="D1107" t="s">
        <v>175</v>
      </c>
      <c r="E1107">
        <v>50</v>
      </c>
      <c r="F1107">
        <v>36.67</v>
      </c>
      <c r="G1107">
        <v>43.33</v>
      </c>
      <c r="H1107">
        <v>20</v>
      </c>
      <c r="I1107">
        <v>0</v>
      </c>
      <c r="J1107" s="1">
        <v>45927.780635509262</v>
      </c>
      <c r="K1107" t="s">
        <v>238</v>
      </c>
      <c r="L1107">
        <f>COUNTIF($A$2:A1107,A1107)</f>
        <v>5</v>
      </c>
    </row>
    <row r="1108" spans="1:12" x14ac:dyDescent="0.3">
      <c r="A1108">
        <v>12842</v>
      </c>
      <c r="B1108" t="s">
        <v>234</v>
      </c>
      <c r="C1108" t="s">
        <v>181</v>
      </c>
      <c r="D1108" t="s">
        <v>182</v>
      </c>
      <c r="E1108">
        <v>51</v>
      </c>
      <c r="F1108">
        <v>36.67</v>
      </c>
      <c r="G1108">
        <v>33.33</v>
      </c>
      <c r="H1108">
        <v>30</v>
      </c>
      <c r="I1108">
        <v>0</v>
      </c>
      <c r="J1108" s="1">
        <v>45927.780894733798</v>
      </c>
      <c r="K1108" t="s">
        <v>238</v>
      </c>
      <c r="L1108">
        <f>COUNTIF($A$2:A1108,A1108)</f>
        <v>6</v>
      </c>
    </row>
    <row r="1109" spans="1:12" x14ac:dyDescent="0.3">
      <c r="A1109">
        <v>12842</v>
      </c>
      <c r="B1109" t="s">
        <v>234</v>
      </c>
      <c r="C1109" t="s">
        <v>135</v>
      </c>
      <c r="D1109" t="s">
        <v>136</v>
      </c>
      <c r="E1109">
        <v>0</v>
      </c>
      <c r="F1109">
        <v>20</v>
      </c>
      <c r="G1109">
        <v>53.33</v>
      </c>
      <c r="H1109">
        <v>26.67</v>
      </c>
      <c r="I1109">
        <v>0</v>
      </c>
      <c r="J1109" s="1">
        <v>45927.78075164352</v>
      </c>
      <c r="K1109" t="s">
        <v>238</v>
      </c>
      <c r="L1109">
        <f>COUNTIF($A$2:A1109,A1109)</f>
        <v>7</v>
      </c>
    </row>
    <row r="1110" spans="1:12" x14ac:dyDescent="0.3">
      <c r="A1110">
        <v>12842</v>
      </c>
      <c r="B1110" t="s">
        <v>234</v>
      </c>
      <c r="C1110" t="s">
        <v>88</v>
      </c>
      <c r="D1110" t="s">
        <v>89</v>
      </c>
      <c r="E1110">
        <v>56</v>
      </c>
      <c r="F1110">
        <v>16.670000000000002</v>
      </c>
      <c r="G1110">
        <v>60</v>
      </c>
      <c r="H1110">
        <v>23.33</v>
      </c>
      <c r="I1110">
        <v>0</v>
      </c>
      <c r="J1110" s="1">
        <v>45927.780653946757</v>
      </c>
      <c r="K1110" t="s">
        <v>238</v>
      </c>
      <c r="L1110">
        <f>COUNTIF($A$2:A1110,A1110)</f>
        <v>8</v>
      </c>
    </row>
    <row r="1111" spans="1:12" x14ac:dyDescent="0.3">
      <c r="A1111">
        <v>12842</v>
      </c>
      <c r="B1111" t="s">
        <v>234</v>
      </c>
      <c r="C1111" t="s">
        <v>119</v>
      </c>
      <c r="D1111" t="s">
        <v>120</v>
      </c>
      <c r="E1111">
        <v>58</v>
      </c>
      <c r="F1111">
        <v>13.33</v>
      </c>
      <c r="G1111">
        <v>63.33</v>
      </c>
      <c r="H1111">
        <v>23.33</v>
      </c>
      <c r="I1111">
        <v>0.01</v>
      </c>
      <c r="J1111" s="1">
        <v>45927.780855810182</v>
      </c>
      <c r="K1111" t="s">
        <v>238</v>
      </c>
      <c r="L1111">
        <f>COUNTIF($A$2:A1111,A1111)</f>
        <v>9</v>
      </c>
    </row>
    <row r="1112" spans="1:12" x14ac:dyDescent="0.3">
      <c r="A1112">
        <v>12842</v>
      </c>
      <c r="B1112" t="s">
        <v>234</v>
      </c>
      <c r="C1112" t="s">
        <v>166</v>
      </c>
      <c r="D1112" t="s">
        <v>167</v>
      </c>
      <c r="E1112">
        <v>68</v>
      </c>
      <c r="F1112">
        <v>3.33</v>
      </c>
      <c r="G1112">
        <v>70</v>
      </c>
      <c r="H1112">
        <v>26.67</v>
      </c>
      <c r="I1112">
        <v>0</v>
      </c>
      <c r="J1112" s="1">
        <v>45927.780669143518</v>
      </c>
      <c r="K1112" t="s">
        <v>238</v>
      </c>
      <c r="L1112">
        <f>COUNTIF($A$2:A1112,A1112)</f>
        <v>10</v>
      </c>
    </row>
    <row r="1113" spans="1:12" x14ac:dyDescent="0.3">
      <c r="A1113">
        <v>12842</v>
      </c>
      <c r="B1113" t="s">
        <v>234</v>
      </c>
      <c r="C1113" t="s">
        <v>164</v>
      </c>
      <c r="D1113" t="s">
        <v>165</v>
      </c>
      <c r="E1113">
        <v>75</v>
      </c>
      <c r="F1113">
        <v>3.33</v>
      </c>
      <c r="G1113">
        <v>56.67</v>
      </c>
      <c r="H1113">
        <v>40</v>
      </c>
      <c r="I1113">
        <v>0</v>
      </c>
      <c r="J1113" s="1">
        <v>45927.780689259256</v>
      </c>
      <c r="K1113" t="s">
        <v>238</v>
      </c>
      <c r="L1113">
        <f>COUNTIF($A$2:A1113,A1113)</f>
        <v>11</v>
      </c>
    </row>
    <row r="1114" spans="1:12" x14ac:dyDescent="0.3">
      <c r="A1114">
        <v>12842</v>
      </c>
      <c r="B1114" t="s">
        <v>234</v>
      </c>
      <c r="C1114" t="s">
        <v>236</v>
      </c>
      <c r="D1114" t="s">
        <v>237</v>
      </c>
      <c r="E1114">
        <v>53</v>
      </c>
      <c r="F1114">
        <v>3.33</v>
      </c>
      <c r="G1114">
        <v>0</v>
      </c>
      <c r="H1114">
        <v>6.67</v>
      </c>
      <c r="I1114">
        <v>90</v>
      </c>
      <c r="J1114" s="1">
        <v>45927.780928217595</v>
      </c>
      <c r="K1114" t="s">
        <v>238</v>
      </c>
      <c r="L1114">
        <f>COUNTIF($A$2:A1114,A1114)</f>
        <v>12</v>
      </c>
    </row>
    <row r="1115" spans="1:12" x14ac:dyDescent="0.3">
      <c r="A1115">
        <v>12842</v>
      </c>
      <c r="B1115" t="s">
        <v>234</v>
      </c>
      <c r="C1115" t="s">
        <v>160</v>
      </c>
      <c r="D1115" t="s">
        <v>161</v>
      </c>
      <c r="E1115">
        <v>100</v>
      </c>
      <c r="F1115">
        <v>0</v>
      </c>
      <c r="G1115">
        <v>16.670000000000002</v>
      </c>
      <c r="H1115">
        <v>83.33</v>
      </c>
      <c r="I1115">
        <v>0</v>
      </c>
      <c r="J1115" s="1">
        <v>45927.780709340281</v>
      </c>
      <c r="K1115" t="s">
        <v>238</v>
      </c>
      <c r="L1115">
        <f>COUNTIF($A$2:A1115,A1115)</f>
        <v>13</v>
      </c>
    </row>
    <row r="1116" spans="1:12" x14ac:dyDescent="0.3">
      <c r="A1116">
        <v>12842</v>
      </c>
      <c r="B1116" t="s">
        <v>234</v>
      </c>
      <c r="C1116" t="s">
        <v>129</v>
      </c>
      <c r="D1116" t="s">
        <v>130</v>
      </c>
      <c r="E1116">
        <v>79</v>
      </c>
      <c r="F1116">
        <v>0</v>
      </c>
      <c r="G1116">
        <v>60</v>
      </c>
      <c r="H1116">
        <v>40</v>
      </c>
      <c r="I1116">
        <v>0</v>
      </c>
      <c r="J1116" s="1">
        <v>45927.780768287033</v>
      </c>
      <c r="K1116" t="s">
        <v>238</v>
      </c>
      <c r="L1116">
        <f>COUNTIF($A$2:A1116,A1116)</f>
        <v>14</v>
      </c>
    </row>
    <row r="1117" spans="1:12" x14ac:dyDescent="0.3">
      <c r="A1117">
        <v>12842</v>
      </c>
      <c r="B1117" t="s">
        <v>234</v>
      </c>
      <c r="C1117" t="s">
        <v>127</v>
      </c>
      <c r="D1117" t="s">
        <v>128</v>
      </c>
      <c r="E1117">
        <v>77</v>
      </c>
      <c r="F1117">
        <v>0</v>
      </c>
      <c r="G1117">
        <v>56.67</v>
      </c>
      <c r="H1117">
        <v>43.33</v>
      </c>
      <c r="I1117">
        <v>0</v>
      </c>
      <c r="J1117" s="1">
        <v>45927.780784178241</v>
      </c>
      <c r="K1117" t="s">
        <v>238</v>
      </c>
      <c r="L1117">
        <f>COUNTIF($A$2:A1117,A1117)</f>
        <v>15</v>
      </c>
    </row>
    <row r="1118" spans="1:12" x14ac:dyDescent="0.3">
      <c r="A1118">
        <v>12842</v>
      </c>
      <c r="B1118" t="s">
        <v>234</v>
      </c>
      <c r="C1118" t="s">
        <v>125</v>
      </c>
      <c r="D1118" t="s">
        <v>126</v>
      </c>
      <c r="E1118">
        <v>80</v>
      </c>
      <c r="F1118">
        <v>0</v>
      </c>
      <c r="G1118">
        <v>53.33</v>
      </c>
      <c r="H1118">
        <v>46.67</v>
      </c>
      <c r="I1118">
        <v>0</v>
      </c>
      <c r="J1118" s="1">
        <v>45927.780801608795</v>
      </c>
      <c r="K1118" t="s">
        <v>238</v>
      </c>
      <c r="L1118">
        <f>COUNTIF($A$2:A1118,A1118)</f>
        <v>16</v>
      </c>
    </row>
    <row r="1119" spans="1:12" x14ac:dyDescent="0.3">
      <c r="A1119">
        <v>12842</v>
      </c>
      <c r="B1119" t="s">
        <v>234</v>
      </c>
      <c r="C1119" t="s">
        <v>123</v>
      </c>
      <c r="D1119" t="s">
        <v>124</v>
      </c>
      <c r="E1119">
        <v>104</v>
      </c>
      <c r="F1119">
        <v>0</v>
      </c>
      <c r="G1119">
        <v>13.33</v>
      </c>
      <c r="H1119">
        <v>86.67</v>
      </c>
      <c r="I1119">
        <v>0</v>
      </c>
      <c r="J1119" s="1">
        <v>45927.780819814812</v>
      </c>
      <c r="K1119" t="s">
        <v>238</v>
      </c>
      <c r="L1119">
        <f>COUNTIF($A$2:A1119,A1119)</f>
        <v>17</v>
      </c>
    </row>
    <row r="1120" spans="1:12" x14ac:dyDescent="0.3">
      <c r="A1120">
        <v>12842</v>
      </c>
      <c r="B1120" t="s">
        <v>234</v>
      </c>
      <c r="C1120" t="s">
        <v>117</v>
      </c>
      <c r="D1120" t="s">
        <v>118</v>
      </c>
      <c r="E1120">
        <v>89</v>
      </c>
      <c r="F1120">
        <v>0</v>
      </c>
      <c r="G1120">
        <v>56.67</v>
      </c>
      <c r="H1120">
        <v>43.33</v>
      </c>
      <c r="I1120">
        <v>0</v>
      </c>
      <c r="J1120" s="1">
        <v>45927.780873796299</v>
      </c>
      <c r="K1120" t="s">
        <v>238</v>
      </c>
      <c r="L1120">
        <f>COUNTIF($A$2:A1120,A1120)</f>
        <v>18</v>
      </c>
    </row>
    <row r="1121" spans="1:12" x14ac:dyDescent="0.3">
      <c r="A1121">
        <v>12903</v>
      </c>
      <c r="B1121" t="s">
        <v>326</v>
      </c>
      <c r="C1121" t="s">
        <v>327</v>
      </c>
      <c r="D1121" t="s">
        <v>328</v>
      </c>
      <c r="E1121">
        <v>0</v>
      </c>
      <c r="F1121">
        <v>100</v>
      </c>
      <c r="G1121">
        <v>0</v>
      </c>
      <c r="H1121">
        <v>0</v>
      </c>
      <c r="I1121">
        <v>0</v>
      </c>
      <c r="J1121" s="1">
        <v>45927.785258460652</v>
      </c>
      <c r="K1121" t="s">
        <v>329</v>
      </c>
      <c r="L1121">
        <f>COUNTIF($A$2:A1121,A1121)</f>
        <v>1</v>
      </c>
    </row>
    <row r="1122" spans="1:12" x14ac:dyDescent="0.3">
      <c r="A1122">
        <v>12903</v>
      </c>
      <c r="B1122" t="s">
        <v>326</v>
      </c>
      <c r="C1122" t="s">
        <v>290</v>
      </c>
      <c r="D1122" t="s">
        <v>291</v>
      </c>
      <c r="E1122">
        <v>0</v>
      </c>
      <c r="F1122">
        <v>86.67</v>
      </c>
      <c r="G1122">
        <v>13.33</v>
      </c>
      <c r="H1122">
        <v>0</v>
      </c>
      <c r="I1122">
        <v>0</v>
      </c>
      <c r="J1122" s="1">
        <v>45927.78528329861</v>
      </c>
      <c r="K1122" t="s">
        <v>329</v>
      </c>
      <c r="L1122">
        <f>COUNTIF($A$2:A1122,A1122)</f>
        <v>2</v>
      </c>
    </row>
    <row r="1123" spans="1:12" x14ac:dyDescent="0.3">
      <c r="A1123">
        <v>12903</v>
      </c>
      <c r="B1123" t="s">
        <v>326</v>
      </c>
      <c r="C1123" t="s">
        <v>296</v>
      </c>
      <c r="D1123" t="s">
        <v>297</v>
      </c>
      <c r="E1123">
        <v>25</v>
      </c>
      <c r="F1123">
        <v>86.67</v>
      </c>
      <c r="G1123">
        <v>0</v>
      </c>
      <c r="H1123">
        <v>13.33</v>
      </c>
      <c r="I1123">
        <v>0</v>
      </c>
      <c r="J1123" s="1">
        <v>45927.785465590277</v>
      </c>
      <c r="K1123" t="s">
        <v>329</v>
      </c>
      <c r="L1123">
        <f>COUNTIF($A$2:A1123,A1123)</f>
        <v>3</v>
      </c>
    </row>
    <row r="1124" spans="1:12" x14ac:dyDescent="0.3">
      <c r="A1124">
        <v>12903</v>
      </c>
      <c r="B1124" t="s">
        <v>326</v>
      </c>
      <c r="C1124" t="s">
        <v>298</v>
      </c>
      <c r="D1124" t="s">
        <v>299</v>
      </c>
      <c r="E1124">
        <v>20</v>
      </c>
      <c r="F1124">
        <v>86.67</v>
      </c>
      <c r="G1124">
        <v>0</v>
      </c>
      <c r="H1124">
        <v>13.33</v>
      </c>
      <c r="I1124">
        <v>0</v>
      </c>
      <c r="J1124" s="1">
        <v>45927.785506307868</v>
      </c>
      <c r="K1124" t="s">
        <v>329</v>
      </c>
      <c r="L1124">
        <f>COUNTIF($A$2:A1124,A1124)</f>
        <v>4</v>
      </c>
    </row>
    <row r="1125" spans="1:12" x14ac:dyDescent="0.3">
      <c r="A1125">
        <v>12903</v>
      </c>
      <c r="B1125" t="s">
        <v>326</v>
      </c>
      <c r="C1125" t="s">
        <v>294</v>
      </c>
      <c r="D1125" t="s">
        <v>295</v>
      </c>
      <c r="E1125">
        <v>30</v>
      </c>
      <c r="F1125">
        <v>80</v>
      </c>
      <c r="G1125">
        <v>6.67</v>
      </c>
      <c r="H1125">
        <v>13.33</v>
      </c>
      <c r="I1125">
        <v>0</v>
      </c>
      <c r="J1125" s="1">
        <v>45927.78533939815</v>
      </c>
      <c r="K1125" t="s">
        <v>329</v>
      </c>
      <c r="L1125">
        <f>COUNTIF($A$2:A1125,A1125)</f>
        <v>5</v>
      </c>
    </row>
    <row r="1126" spans="1:12" x14ac:dyDescent="0.3">
      <c r="A1126">
        <v>12903</v>
      </c>
      <c r="B1126" t="s">
        <v>326</v>
      </c>
      <c r="C1126" t="s">
        <v>281</v>
      </c>
      <c r="D1126" t="s">
        <v>282</v>
      </c>
      <c r="E1126">
        <v>37</v>
      </c>
      <c r="F1126">
        <v>80</v>
      </c>
      <c r="G1126">
        <v>0</v>
      </c>
      <c r="H1126">
        <v>20</v>
      </c>
      <c r="I1126">
        <v>0</v>
      </c>
      <c r="J1126" s="1">
        <v>45927.785809247682</v>
      </c>
      <c r="K1126" t="s">
        <v>329</v>
      </c>
      <c r="L1126">
        <f>COUNTIF($A$2:A1126,A1126)</f>
        <v>6</v>
      </c>
    </row>
    <row r="1127" spans="1:12" x14ac:dyDescent="0.3">
      <c r="A1127">
        <v>12903</v>
      </c>
      <c r="B1127" t="s">
        <v>326</v>
      </c>
      <c r="C1127" t="s">
        <v>330</v>
      </c>
      <c r="D1127" t="s">
        <v>331</v>
      </c>
      <c r="E1127">
        <v>28</v>
      </c>
      <c r="F1127">
        <v>76.67</v>
      </c>
      <c r="G1127">
        <v>10</v>
      </c>
      <c r="H1127">
        <v>13.33</v>
      </c>
      <c r="I1127">
        <v>0</v>
      </c>
      <c r="J1127" s="1">
        <v>45927.785384062503</v>
      </c>
      <c r="K1127" t="s">
        <v>329</v>
      </c>
      <c r="L1127">
        <f>COUNTIF($A$2:A1127,A1127)</f>
        <v>7</v>
      </c>
    </row>
    <row r="1128" spans="1:12" x14ac:dyDescent="0.3">
      <c r="A1128">
        <v>12903</v>
      </c>
      <c r="B1128" t="s">
        <v>326</v>
      </c>
      <c r="C1128" t="s">
        <v>338</v>
      </c>
      <c r="D1128" t="s">
        <v>339</v>
      </c>
      <c r="E1128">
        <v>26</v>
      </c>
      <c r="F1128">
        <v>76.67</v>
      </c>
      <c r="G1128">
        <v>6.67</v>
      </c>
      <c r="H1128">
        <v>16.670000000000002</v>
      </c>
      <c r="I1128">
        <v>0</v>
      </c>
      <c r="J1128" s="1">
        <v>45927.785593726854</v>
      </c>
      <c r="K1128" t="s">
        <v>329</v>
      </c>
      <c r="L1128">
        <f>COUNTIF($A$2:A1128,A1128)</f>
        <v>8</v>
      </c>
    </row>
    <row r="1129" spans="1:12" x14ac:dyDescent="0.3">
      <c r="A1129">
        <v>12903</v>
      </c>
      <c r="B1129" t="s">
        <v>326</v>
      </c>
      <c r="C1129" t="s">
        <v>340</v>
      </c>
      <c r="D1129" t="s">
        <v>341</v>
      </c>
      <c r="E1129">
        <v>30</v>
      </c>
      <c r="F1129">
        <v>76.67</v>
      </c>
      <c r="G1129">
        <v>6.67</v>
      </c>
      <c r="H1129">
        <v>16.670000000000002</v>
      </c>
      <c r="I1129">
        <v>0</v>
      </c>
      <c r="J1129" s="1">
        <v>45927.785636886576</v>
      </c>
      <c r="K1129" t="s">
        <v>329</v>
      </c>
      <c r="L1129">
        <f>COUNTIF($A$2:A1129,A1129)</f>
        <v>9</v>
      </c>
    </row>
    <row r="1130" spans="1:12" x14ac:dyDescent="0.3">
      <c r="A1130">
        <v>12903</v>
      </c>
      <c r="B1130" t="s">
        <v>326</v>
      </c>
      <c r="C1130" t="s">
        <v>279</v>
      </c>
      <c r="D1130" t="s">
        <v>280</v>
      </c>
      <c r="E1130">
        <v>37</v>
      </c>
      <c r="F1130">
        <v>76.67</v>
      </c>
      <c r="G1130">
        <v>3.33</v>
      </c>
      <c r="H1130">
        <v>20</v>
      </c>
      <c r="I1130">
        <v>0</v>
      </c>
      <c r="J1130" s="1">
        <v>45927.785794131945</v>
      </c>
      <c r="K1130" t="s">
        <v>329</v>
      </c>
      <c r="L1130">
        <f>COUNTIF($A$2:A1130,A1130)</f>
        <v>10</v>
      </c>
    </row>
    <row r="1131" spans="1:12" x14ac:dyDescent="0.3">
      <c r="A1131">
        <v>12903</v>
      </c>
      <c r="B1131" t="s">
        <v>326</v>
      </c>
      <c r="C1131" t="s">
        <v>292</v>
      </c>
      <c r="D1131" t="s">
        <v>293</v>
      </c>
      <c r="E1131">
        <v>25</v>
      </c>
      <c r="F1131">
        <v>70</v>
      </c>
      <c r="G1131">
        <v>23.33</v>
      </c>
      <c r="H1131">
        <v>6.67</v>
      </c>
      <c r="I1131">
        <v>0</v>
      </c>
      <c r="J1131" s="1">
        <v>45927.785322800926</v>
      </c>
      <c r="K1131" t="s">
        <v>329</v>
      </c>
      <c r="L1131">
        <f>COUNTIF($A$2:A1131,A1131)</f>
        <v>11</v>
      </c>
    </row>
    <row r="1132" spans="1:12" x14ac:dyDescent="0.3">
      <c r="A1132">
        <v>12903</v>
      </c>
      <c r="B1132" t="s">
        <v>326</v>
      </c>
      <c r="C1132" t="s">
        <v>336</v>
      </c>
      <c r="D1132" t="s">
        <v>337</v>
      </c>
      <c r="E1132">
        <v>24</v>
      </c>
      <c r="F1132">
        <v>70</v>
      </c>
      <c r="G1132">
        <v>16.670000000000002</v>
      </c>
      <c r="H1132">
        <v>13.33</v>
      </c>
      <c r="I1132">
        <v>0</v>
      </c>
      <c r="J1132" s="1">
        <v>45927.785551342589</v>
      </c>
      <c r="K1132" t="s">
        <v>329</v>
      </c>
      <c r="L1132">
        <f>COUNTIF($A$2:A1132,A1132)</f>
        <v>12</v>
      </c>
    </row>
    <row r="1133" spans="1:12" x14ac:dyDescent="0.3">
      <c r="A1133">
        <v>12903</v>
      </c>
      <c r="B1133" t="s">
        <v>326</v>
      </c>
      <c r="C1133" t="s">
        <v>108</v>
      </c>
      <c r="D1133" t="s">
        <v>109</v>
      </c>
      <c r="E1133">
        <v>0</v>
      </c>
      <c r="F1133">
        <v>70</v>
      </c>
      <c r="G1133">
        <v>10</v>
      </c>
      <c r="H1133">
        <v>20</v>
      </c>
      <c r="I1133">
        <v>0</v>
      </c>
      <c r="J1133" s="1">
        <v>45927.78583148148</v>
      </c>
      <c r="K1133" t="s">
        <v>329</v>
      </c>
      <c r="L1133">
        <f>COUNTIF($A$2:A1133,A1133)</f>
        <v>13</v>
      </c>
    </row>
    <row r="1134" spans="1:12" x14ac:dyDescent="0.3">
      <c r="A1134">
        <v>12903</v>
      </c>
      <c r="B1134" t="s">
        <v>326</v>
      </c>
      <c r="C1134" t="s">
        <v>364</v>
      </c>
      <c r="D1134" t="s">
        <v>365</v>
      </c>
      <c r="E1134">
        <v>43</v>
      </c>
      <c r="F1134">
        <v>70</v>
      </c>
      <c r="G1134">
        <v>10</v>
      </c>
      <c r="H1134">
        <v>20</v>
      </c>
      <c r="I1134">
        <v>0</v>
      </c>
      <c r="J1134" s="1">
        <v>45927.785942916664</v>
      </c>
      <c r="K1134" t="s">
        <v>329</v>
      </c>
      <c r="L1134">
        <f>COUNTIF($A$2:A1134,A1134)</f>
        <v>14</v>
      </c>
    </row>
    <row r="1135" spans="1:12" x14ac:dyDescent="0.3">
      <c r="A1135">
        <v>12903</v>
      </c>
      <c r="B1135" t="s">
        <v>326</v>
      </c>
      <c r="C1135" t="s">
        <v>366</v>
      </c>
      <c r="D1135" t="s">
        <v>367</v>
      </c>
      <c r="E1135">
        <v>44</v>
      </c>
      <c r="F1135">
        <v>70</v>
      </c>
      <c r="G1135">
        <v>10</v>
      </c>
      <c r="H1135">
        <v>20</v>
      </c>
      <c r="I1135">
        <v>0</v>
      </c>
      <c r="J1135" s="1">
        <v>45927.785960277775</v>
      </c>
      <c r="K1135" t="s">
        <v>329</v>
      </c>
      <c r="L1135">
        <f>COUNTIF($A$2:A1135,A1135)</f>
        <v>15</v>
      </c>
    </row>
    <row r="1136" spans="1:12" x14ac:dyDescent="0.3">
      <c r="A1136">
        <v>12903</v>
      </c>
      <c r="B1136" t="s">
        <v>326</v>
      </c>
      <c r="C1136" t="s">
        <v>374</v>
      </c>
      <c r="D1136" t="s">
        <v>374</v>
      </c>
      <c r="E1136">
        <v>45</v>
      </c>
      <c r="F1136">
        <v>70</v>
      </c>
      <c r="G1136">
        <v>6.67</v>
      </c>
      <c r="H1136">
        <v>23.33</v>
      </c>
      <c r="I1136">
        <v>0</v>
      </c>
      <c r="J1136" s="1">
        <v>45927.786036956022</v>
      </c>
      <c r="K1136" t="s">
        <v>329</v>
      </c>
      <c r="L1136">
        <f>COUNTIF($A$2:A1136,A1136)</f>
        <v>16</v>
      </c>
    </row>
    <row r="1137" spans="1:12" x14ac:dyDescent="0.3">
      <c r="A1137">
        <v>12903</v>
      </c>
      <c r="B1137" t="s">
        <v>326</v>
      </c>
      <c r="C1137" t="s">
        <v>300</v>
      </c>
      <c r="D1137" t="s">
        <v>301</v>
      </c>
      <c r="E1137">
        <v>34</v>
      </c>
      <c r="F1137">
        <v>66.67</v>
      </c>
      <c r="G1137">
        <v>16.670000000000002</v>
      </c>
      <c r="H1137">
        <v>16.670000000000002</v>
      </c>
      <c r="I1137">
        <v>0</v>
      </c>
      <c r="J1137" s="1">
        <v>45927.785678831016</v>
      </c>
      <c r="K1137" t="s">
        <v>329</v>
      </c>
      <c r="L1137">
        <f>COUNTIF($A$2:A1137,A1137)</f>
        <v>17</v>
      </c>
    </row>
    <row r="1138" spans="1:12" x14ac:dyDescent="0.3">
      <c r="A1138">
        <v>12903</v>
      </c>
      <c r="B1138" t="s">
        <v>326</v>
      </c>
      <c r="C1138" t="s">
        <v>372</v>
      </c>
      <c r="D1138" t="s">
        <v>373</v>
      </c>
      <c r="E1138">
        <v>44</v>
      </c>
      <c r="F1138">
        <v>66.67</v>
      </c>
      <c r="G1138">
        <v>13.33</v>
      </c>
      <c r="H1138">
        <v>20</v>
      </c>
      <c r="I1138">
        <v>0</v>
      </c>
      <c r="J1138" s="1">
        <v>45927.786018553241</v>
      </c>
      <c r="K1138" t="s">
        <v>329</v>
      </c>
      <c r="L1138">
        <f>COUNTIF($A$2:A1138,A1138)</f>
        <v>18</v>
      </c>
    </row>
    <row r="1139" spans="1:12" x14ac:dyDescent="0.3">
      <c r="A1139">
        <v>12903</v>
      </c>
      <c r="B1139" t="s">
        <v>326</v>
      </c>
      <c r="C1139" t="s">
        <v>354</v>
      </c>
      <c r="D1139" t="s">
        <v>355</v>
      </c>
      <c r="E1139">
        <v>53</v>
      </c>
      <c r="F1139">
        <v>63.33</v>
      </c>
      <c r="G1139">
        <v>13.33</v>
      </c>
      <c r="H1139">
        <v>23.33</v>
      </c>
      <c r="I1139">
        <v>0.01</v>
      </c>
      <c r="J1139" s="1">
        <v>45927.785848703701</v>
      </c>
      <c r="K1139" t="s">
        <v>329</v>
      </c>
      <c r="L1139">
        <f>COUNTIF($A$2:A1139,A1139)</f>
        <v>19</v>
      </c>
    </row>
    <row r="1140" spans="1:12" x14ac:dyDescent="0.3">
      <c r="A1140">
        <v>12903</v>
      </c>
      <c r="B1140" t="s">
        <v>326</v>
      </c>
      <c r="C1140" t="s">
        <v>375</v>
      </c>
      <c r="D1140" t="s">
        <v>376</v>
      </c>
      <c r="E1140">
        <v>39</v>
      </c>
      <c r="F1140">
        <v>63.33</v>
      </c>
      <c r="G1140">
        <v>16.670000000000002</v>
      </c>
      <c r="H1140">
        <v>20</v>
      </c>
      <c r="I1140">
        <v>0</v>
      </c>
      <c r="J1140" s="1">
        <v>45927.786056377314</v>
      </c>
      <c r="K1140" t="s">
        <v>329</v>
      </c>
      <c r="L1140">
        <f>COUNTIF($A$2:A1140,A1140)</f>
        <v>20</v>
      </c>
    </row>
    <row r="1141" spans="1:12" x14ac:dyDescent="0.3">
      <c r="A1141">
        <v>12903</v>
      </c>
      <c r="B1141" t="s">
        <v>326</v>
      </c>
      <c r="C1141" t="s">
        <v>368</v>
      </c>
      <c r="D1141" t="s">
        <v>369</v>
      </c>
      <c r="E1141">
        <v>49</v>
      </c>
      <c r="F1141">
        <v>60</v>
      </c>
      <c r="G1141">
        <v>20</v>
      </c>
      <c r="H1141">
        <v>20</v>
      </c>
      <c r="I1141">
        <v>0</v>
      </c>
      <c r="J1141" s="1">
        <v>45927.785979050925</v>
      </c>
      <c r="K1141" t="s">
        <v>329</v>
      </c>
      <c r="L1141">
        <f>COUNTIF($A$2:A1141,A1141)</f>
        <v>21</v>
      </c>
    </row>
    <row r="1142" spans="1:12" x14ac:dyDescent="0.3">
      <c r="A1142">
        <v>12903</v>
      </c>
      <c r="B1142" t="s">
        <v>326</v>
      </c>
      <c r="C1142" t="s">
        <v>342</v>
      </c>
      <c r="D1142" t="s">
        <v>343</v>
      </c>
      <c r="E1142">
        <v>42</v>
      </c>
      <c r="F1142">
        <v>56.67</v>
      </c>
      <c r="G1142">
        <v>23.33</v>
      </c>
      <c r="H1142">
        <v>20</v>
      </c>
      <c r="I1142">
        <v>0</v>
      </c>
      <c r="J1142" s="1">
        <v>45927.785696134262</v>
      </c>
      <c r="K1142" t="s">
        <v>329</v>
      </c>
      <c r="L1142">
        <f>COUNTIF($A$2:A1142,A1142)</f>
        <v>22</v>
      </c>
    </row>
    <row r="1143" spans="1:12" x14ac:dyDescent="0.3">
      <c r="A1143">
        <v>12903</v>
      </c>
      <c r="B1143" t="s">
        <v>326</v>
      </c>
      <c r="C1143" t="s">
        <v>332</v>
      </c>
      <c r="D1143" t="s">
        <v>333</v>
      </c>
      <c r="E1143">
        <v>33</v>
      </c>
      <c r="F1143">
        <v>53.33</v>
      </c>
      <c r="G1143">
        <v>33.33</v>
      </c>
      <c r="H1143">
        <v>13.33</v>
      </c>
      <c r="I1143">
        <v>0.01</v>
      </c>
      <c r="J1143" s="1">
        <v>45927.785401574074</v>
      </c>
      <c r="K1143" t="s">
        <v>329</v>
      </c>
      <c r="L1143">
        <f>COUNTIF($A$2:A1143,A1143)</f>
        <v>23</v>
      </c>
    </row>
    <row r="1144" spans="1:12" x14ac:dyDescent="0.3">
      <c r="A1144">
        <v>12903</v>
      </c>
      <c r="B1144" t="s">
        <v>326</v>
      </c>
      <c r="C1144" t="s">
        <v>334</v>
      </c>
      <c r="D1144" t="s">
        <v>335</v>
      </c>
      <c r="E1144">
        <v>34</v>
      </c>
      <c r="F1144">
        <v>53.33</v>
      </c>
      <c r="G1144">
        <v>33.33</v>
      </c>
      <c r="H1144">
        <v>13.33</v>
      </c>
      <c r="I1144">
        <v>0.01</v>
      </c>
      <c r="J1144" s="1">
        <v>45927.785421793982</v>
      </c>
      <c r="K1144" t="s">
        <v>329</v>
      </c>
      <c r="L1144">
        <f>COUNTIF($A$2:A1144,A1144)</f>
        <v>24</v>
      </c>
    </row>
    <row r="1145" spans="1:12" x14ac:dyDescent="0.3">
      <c r="A1145">
        <v>12903</v>
      </c>
      <c r="B1145" t="s">
        <v>326</v>
      </c>
      <c r="C1145" t="s">
        <v>350</v>
      </c>
      <c r="D1145" t="s">
        <v>351</v>
      </c>
      <c r="E1145">
        <v>46</v>
      </c>
      <c r="F1145">
        <v>53.33</v>
      </c>
      <c r="G1145">
        <v>26.67</v>
      </c>
      <c r="H1145">
        <v>20</v>
      </c>
      <c r="I1145">
        <v>0</v>
      </c>
      <c r="J1145" s="1">
        <v>45927.785759664352</v>
      </c>
      <c r="K1145" t="s">
        <v>329</v>
      </c>
      <c r="L1145">
        <f>COUNTIF($A$2:A1145,A1145)</f>
        <v>25</v>
      </c>
    </row>
    <row r="1146" spans="1:12" x14ac:dyDescent="0.3">
      <c r="A1146">
        <v>12903</v>
      </c>
      <c r="B1146" t="s">
        <v>326</v>
      </c>
      <c r="C1146" t="s">
        <v>356</v>
      </c>
      <c r="D1146" t="s">
        <v>357</v>
      </c>
      <c r="E1146">
        <v>57</v>
      </c>
      <c r="F1146">
        <v>50</v>
      </c>
      <c r="G1146">
        <v>30</v>
      </c>
      <c r="H1146">
        <v>20</v>
      </c>
      <c r="I1146">
        <v>0</v>
      </c>
      <c r="J1146" s="1">
        <v>45927.78586841435</v>
      </c>
      <c r="K1146" t="s">
        <v>329</v>
      </c>
      <c r="L1146">
        <f>COUNTIF($A$2:A1146,A1146)</f>
        <v>26</v>
      </c>
    </row>
    <row r="1147" spans="1:12" x14ac:dyDescent="0.3">
      <c r="A1147">
        <v>12903</v>
      </c>
      <c r="B1147" t="s">
        <v>326</v>
      </c>
      <c r="C1147" t="s">
        <v>358</v>
      </c>
      <c r="D1147" t="s">
        <v>359</v>
      </c>
      <c r="E1147">
        <v>60</v>
      </c>
      <c r="F1147">
        <v>50</v>
      </c>
      <c r="G1147">
        <v>26.67</v>
      </c>
      <c r="H1147">
        <v>23.33</v>
      </c>
      <c r="I1147">
        <v>0</v>
      </c>
      <c r="J1147" s="1">
        <v>45927.785888900464</v>
      </c>
      <c r="K1147" t="s">
        <v>329</v>
      </c>
      <c r="L1147">
        <f>COUNTIF($A$2:A1147,A1147)</f>
        <v>27</v>
      </c>
    </row>
    <row r="1148" spans="1:12" x14ac:dyDescent="0.3">
      <c r="A1148">
        <v>12903</v>
      </c>
      <c r="B1148" t="s">
        <v>326</v>
      </c>
      <c r="C1148" t="s">
        <v>360</v>
      </c>
      <c r="D1148" t="s">
        <v>361</v>
      </c>
      <c r="E1148">
        <v>61</v>
      </c>
      <c r="F1148">
        <v>50</v>
      </c>
      <c r="G1148">
        <v>26.67</v>
      </c>
      <c r="H1148">
        <v>23.33</v>
      </c>
      <c r="I1148">
        <v>0</v>
      </c>
      <c r="J1148" s="1">
        <v>45927.785906481484</v>
      </c>
      <c r="K1148" t="s">
        <v>329</v>
      </c>
      <c r="L1148">
        <f>COUNTIF($A$2:A1148,A1148)</f>
        <v>28</v>
      </c>
    </row>
    <row r="1149" spans="1:12" x14ac:dyDescent="0.3">
      <c r="A1149">
        <v>12903</v>
      </c>
      <c r="B1149" t="s">
        <v>326</v>
      </c>
      <c r="C1149" t="s">
        <v>344</v>
      </c>
      <c r="D1149" t="s">
        <v>345</v>
      </c>
      <c r="E1149">
        <v>49</v>
      </c>
      <c r="F1149">
        <v>43.33</v>
      </c>
      <c r="G1149">
        <v>36.67</v>
      </c>
      <c r="H1149">
        <v>20</v>
      </c>
      <c r="I1149">
        <v>0</v>
      </c>
      <c r="J1149" s="1">
        <v>45927.78571152778</v>
      </c>
      <c r="K1149" t="s">
        <v>329</v>
      </c>
      <c r="L1149">
        <f>COUNTIF($A$2:A1149,A1149)</f>
        <v>29</v>
      </c>
    </row>
    <row r="1150" spans="1:12" x14ac:dyDescent="0.3">
      <c r="A1150">
        <v>12903</v>
      </c>
      <c r="B1150" t="s">
        <v>326</v>
      </c>
      <c r="C1150" t="s">
        <v>348</v>
      </c>
      <c r="D1150" t="s">
        <v>349</v>
      </c>
      <c r="E1150">
        <v>48</v>
      </c>
      <c r="F1150">
        <v>43.33</v>
      </c>
      <c r="G1150">
        <v>36.67</v>
      </c>
      <c r="H1150">
        <v>20</v>
      </c>
      <c r="I1150">
        <v>0</v>
      </c>
      <c r="J1150" s="1">
        <v>45927.785742928238</v>
      </c>
      <c r="K1150" t="s">
        <v>329</v>
      </c>
      <c r="L1150">
        <f>COUNTIF($A$2:A1150,A1150)</f>
        <v>30</v>
      </c>
    </row>
    <row r="1151" spans="1:12" x14ac:dyDescent="0.3">
      <c r="A1151">
        <v>12903</v>
      </c>
      <c r="B1151" t="s">
        <v>326</v>
      </c>
      <c r="C1151" t="s">
        <v>352</v>
      </c>
      <c r="D1151" t="s">
        <v>353</v>
      </c>
      <c r="E1151">
        <v>50</v>
      </c>
      <c r="F1151">
        <v>43.33</v>
      </c>
      <c r="G1151">
        <v>36.67</v>
      </c>
      <c r="H1151">
        <v>20</v>
      </c>
      <c r="I1151">
        <v>0</v>
      </c>
      <c r="J1151" s="1">
        <v>45927.78577736111</v>
      </c>
      <c r="K1151" t="s">
        <v>329</v>
      </c>
      <c r="L1151">
        <f>COUNTIF($A$2:A1151,A1151)</f>
        <v>31</v>
      </c>
    </row>
    <row r="1152" spans="1:12" x14ac:dyDescent="0.3">
      <c r="A1152">
        <v>12903</v>
      </c>
      <c r="B1152" t="s">
        <v>326</v>
      </c>
      <c r="C1152" t="s">
        <v>370</v>
      </c>
      <c r="D1152" t="s">
        <v>371</v>
      </c>
      <c r="E1152">
        <v>51</v>
      </c>
      <c r="F1152">
        <v>43.33</v>
      </c>
      <c r="G1152">
        <v>36.67</v>
      </c>
      <c r="H1152">
        <v>20</v>
      </c>
      <c r="I1152">
        <v>0</v>
      </c>
      <c r="J1152" s="1">
        <v>45927.785997916668</v>
      </c>
      <c r="K1152" t="s">
        <v>329</v>
      </c>
      <c r="L1152">
        <f>COUNTIF($A$2:A1152,A1152)</f>
        <v>32</v>
      </c>
    </row>
    <row r="1153" spans="1:12" x14ac:dyDescent="0.3">
      <c r="A1153">
        <v>12903</v>
      </c>
      <c r="B1153" t="s">
        <v>326</v>
      </c>
      <c r="C1153" t="s">
        <v>362</v>
      </c>
      <c r="D1153" t="s">
        <v>363</v>
      </c>
      <c r="E1153">
        <v>63</v>
      </c>
      <c r="F1153">
        <v>40</v>
      </c>
      <c r="G1153">
        <v>36.67</v>
      </c>
      <c r="H1153">
        <v>23.33</v>
      </c>
      <c r="I1153">
        <v>0</v>
      </c>
      <c r="J1153" s="1">
        <v>45927.78592509259</v>
      </c>
      <c r="K1153" t="s">
        <v>329</v>
      </c>
      <c r="L1153">
        <f>COUNTIF($A$2:A1153,A1153)</f>
        <v>33</v>
      </c>
    </row>
    <row r="1154" spans="1:12" x14ac:dyDescent="0.3">
      <c r="A1154">
        <v>12903</v>
      </c>
      <c r="B1154" t="s">
        <v>326</v>
      </c>
      <c r="C1154" t="s">
        <v>346</v>
      </c>
      <c r="D1154" t="s">
        <v>347</v>
      </c>
      <c r="E1154">
        <v>51</v>
      </c>
      <c r="F1154">
        <v>33.33</v>
      </c>
      <c r="G1154">
        <v>46.67</v>
      </c>
      <c r="H1154">
        <v>20</v>
      </c>
      <c r="I1154">
        <v>0</v>
      </c>
      <c r="J1154" s="1">
        <v>45927.785726134258</v>
      </c>
      <c r="K1154" t="s">
        <v>329</v>
      </c>
      <c r="L1154">
        <f>COUNTIF($A$2:A1154,A1154)</f>
        <v>34</v>
      </c>
    </row>
    <row r="1155" spans="1:12" x14ac:dyDescent="0.3">
      <c r="A1155">
        <v>12904</v>
      </c>
      <c r="B1155" t="s">
        <v>326</v>
      </c>
      <c r="C1155" t="s">
        <v>375</v>
      </c>
      <c r="D1155" t="s">
        <v>376</v>
      </c>
      <c r="E1155">
        <v>2</v>
      </c>
      <c r="F1155">
        <v>100</v>
      </c>
      <c r="G1155">
        <v>0</v>
      </c>
      <c r="H1155">
        <v>0</v>
      </c>
      <c r="I1155">
        <v>0</v>
      </c>
      <c r="J1155" s="1">
        <v>45927.786096550924</v>
      </c>
      <c r="K1155" t="s">
        <v>377</v>
      </c>
      <c r="L1155">
        <f>COUNTIF($A$2:A1155,A1155)</f>
        <v>1</v>
      </c>
    </row>
    <row r="1156" spans="1:12" x14ac:dyDescent="0.3">
      <c r="A1156">
        <v>12904</v>
      </c>
      <c r="B1156" t="s">
        <v>326</v>
      </c>
      <c r="C1156" t="s">
        <v>327</v>
      </c>
      <c r="D1156" t="s">
        <v>328</v>
      </c>
      <c r="E1156">
        <v>0</v>
      </c>
      <c r="F1156">
        <v>86.67</v>
      </c>
      <c r="G1156">
        <v>3.33</v>
      </c>
      <c r="H1156">
        <v>10</v>
      </c>
      <c r="I1156">
        <v>0</v>
      </c>
      <c r="J1156" s="1">
        <v>45927.786976527779</v>
      </c>
      <c r="K1156" t="s">
        <v>377</v>
      </c>
      <c r="L1156">
        <f>COUNTIF($A$2:A1156,A1156)</f>
        <v>2</v>
      </c>
    </row>
    <row r="1157" spans="1:12" x14ac:dyDescent="0.3">
      <c r="A1157">
        <v>12904</v>
      </c>
      <c r="B1157" t="s">
        <v>326</v>
      </c>
      <c r="C1157" t="s">
        <v>362</v>
      </c>
      <c r="D1157" t="s">
        <v>363</v>
      </c>
      <c r="E1157">
        <v>9</v>
      </c>
      <c r="F1157">
        <v>83.33</v>
      </c>
      <c r="G1157">
        <v>10</v>
      </c>
      <c r="H1157">
        <v>6.67</v>
      </c>
      <c r="I1157">
        <v>0</v>
      </c>
      <c r="J1157" s="1">
        <v>45927.78626818287</v>
      </c>
      <c r="K1157" t="s">
        <v>377</v>
      </c>
      <c r="L1157">
        <f>COUNTIF($A$2:A1157,A1157)</f>
        <v>3</v>
      </c>
    </row>
    <row r="1158" spans="1:12" x14ac:dyDescent="0.3">
      <c r="A1158">
        <v>12904</v>
      </c>
      <c r="B1158" t="s">
        <v>326</v>
      </c>
      <c r="C1158" t="s">
        <v>374</v>
      </c>
      <c r="D1158" t="s">
        <v>374</v>
      </c>
      <c r="E1158">
        <v>13</v>
      </c>
      <c r="F1158">
        <v>80</v>
      </c>
      <c r="G1158">
        <v>20</v>
      </c>
      <c r="H1158">
        <v>0</v>
      </c>
      <c r="I1158">
        <v>0</v>
      </c>
      <c r="J1158" s="1">
        <v>45927.786112430556</v>
      </c>
      <c r="K1158" t="s">
        <v>377</v>
      </c>
      <c r="L1158">
        <f>COUNTIF($A$2:A1158,A1158)</f>
        <v>4</v>
      </c>
    </row>
    <row r="1159" spans="1:12" x14ac:dyDescent="0.3">
      <c r="A1159">
        <v>12904</v>
      </c>
      <c r="B1159" t="s">
        <v>326</v>
      </c>
      <c r="C1159" t="s">
        <v>364</v>
      </c>
      <c r="D1159" t="s">
        <v>365</v>
      </c>
      <c r="E1159">
        <v>9</v>
      </c>
      <c r="F1159">
        <v>80</v>
      </c>
      <c r="G1159">
        <v>16.670000000000002</v>
      </c>
      <c r="H1159">
        <v>3.33</v>
      </c>
      <c r="I1159">
        <v>0</v>
      </c>
      <c r="J1159" s="1">
        <v>45927.786223807867</v>
      </c>
      <c r="K1159" t="s">
        <v>377</v>
      </c>
      <c r="L1159">
        <f>COUNTIF($A$2:A1159,A1159)</f>
        <v>5</v>
      </c>
    </row>
    <row r="1160" spans="1:12" x14ac:dyDescent="0.3">
      <c r="A1160">
        <v>12904</v>
      </c>
      <c r="B1160" t="s">
        <v>326</v>
      </c>
      <c r="C1160" t="s">
        <v>360</v>
      </c>
      <c r="D1160" t="s">
        <v>361</v>
      </c>
      <c r="E1160">
        <v>0</v>
      </c>
      <c r="F1160">
        <v>80</v>
      </c>
      <c r="G1160">
        <v>13.33</v>
      </c>
      <c r="H1160">
        <v>6.67</v>
      </c>
      <c r="I1160">
        <v>0</v>
      </c>
      <c r="J1160" s="1">
        <v>45927.786288553238</v>
      </c>
      <c r="K1160" t="s">
        <v>377</v>
      </c>
      <c r="L1160">
        <f>COUNTIF($A$2:A1160,A1160)</f>
        <v>6</v>
      </c>
    </row>
    <row r="1161" spans="1:12" x14ac:dyDescent="0.3">
      <c r="A1161">
        <v>12904</v>
      </c>
      <c r="B1161" t="s">
        <v>326</v>
      </c>
      <c r="C1161" t="s">
        <v>108</v>
      </c>
      <c r="D1161" t="s">
        <v>109</v>
      </c>
      <c r="E1161">
        <v>17</v>
      </c>
      <c r="F1161">
        <v>80</v>
      </c>
      <c r="G1161">
        <v>3.33</v>
      </c>
      <c r="H1161">
        <v>16.670000000000002</v>
      </c>
      <c r="I1161">
        <v>0</v>
      </c>
      <c r="J1161" s="1">
        <v>45927.786413009257</v>
      </c>
      <c r="K1161" t="s">
        <v>377</v>
      </c>
      <c r="L1161">
        <f>COUNTIF($A$2:A1161,A1161)</f>
        <v>7</v>
      </c>
    </row>
    <row r="1162" spans="1:12" x14ac:dyDescent="0.3">
      <c r="A1162">
        <v>12904</v>
      </c>
      <c r="B1162" t="s">
        <v>326</v>
      </c>
      <c r="C1162" t="s">
        <v>372</v>
      </c>
      <c r="D1162" t="s">
        <v>373</v>
      </c>
      <c r="E1162">
        <v>9</v>
      </c>
      <c r="F1162">
        <v>76.67</v>
      </c>
      <c r="G1162">
        <v>23.33</v>
      </c>
      <c r="H1162">
        <v>0</v>
      </c>
      <c r="I1162">
        <v>0</v>
      </c>
      <c r="J1162" s="1">
        <v>45927.786129641201</v>
      </c>
      <c r="K1162" t="s">
        <v>377</v>
      </c>
      <c r="L1162">
        <f>COUNTIF($A$2:A1162,A1162)</f>
        <v>8</v>
      </c>
    </row>
    <row r="1163" spans="1:12" x14ac:dyDescent="0.3">
      <c r="A1163">
        <v>12904</v>
      </c>
      <c r="B1163" t="s">
        <v>326</v>
      </c>
      <c r="C1163" t="s">
        <v>368</v>
      </c>
      <c r="D1163" t="s">
        <v>369</v>
      </c>
      <c r="E1163">
        <v>9</v>
      </c>
      <c r="F1163">
        <v>76.67</v>
      </c>
      <c r="G1163">
        <v>23.33</v>
      </c>
      <c r="H1163">
        <v>0</v>
      </c>
      <c r="I1163">
        <v>0</v>
      </c>
      <c r="J1163" s="1">
        <v>45927.786162164353</v>
      </c>
      <c r="K1163" t="s">
        <v>377</v>
      </c>
      <c r="L1163">
        <f>COUNTIF($A$2:A1163,A1163)</f>
        <v>9</v>
      </c>
    </row>
    <row r="1164" spans="1:12" x14ac:dyDescent="0.3">
      <c r="A1164">
        <v>12904</v>
      </c>
      <c r="B1164" t="s">
        <v>326</v>
      </c>
      <c r="C1164" t="s">
        <v>358</v>
      </c>
      <c r="D1164" t="s">
        <v>359</v>
      </c>
      <c r="E1164">
        <v>13</v>
      </c>
      <c r="F1164">
        <v>76.67</v>
      </c>
      <c r="G1164">
        <v>16.670000000000002</v>
      </c>
      <c r="H1164">
        <v>6.67</v>
      </c>
      <c r="I1164">
        <v>0</v>
      </c>
      <c r="J1164" s="1">
        <v>45927.786332048614</v>
      </c>
      <c r="K1164" t="s">
        <v>377</v>
      </c>
      <c r="L1164">
        <f>COUNTIF($A$2:A1164,A1164)</f>
        <v>10</v>
      </c>
    </row>
    <row r="1165" spans="1:12" x14ac:dyDescent="0.3">
      <c r="A1165">
        <v>12904</v>
      </c>
      <c r="B1165" t="s">
        <v>326</v>
      </c>
      <c r="C1165" t="s">
        <v>356</v>
      </c>
      <c r="D1165" t="s">
        <v>357</v>
      </c>
      <c r="E1165">
        <v>16</v>
      </c>
      <c r="F1165">
        <v>73.33</v>
      </c>
      <c r="G1165">
        <v>16.670000000000002</v>
      </c>
      <c r="H1165">
        <v>10</v>
      </c>
      <c r="I1165">
        <v>0</v>
      </c>
      <c r="J1165" s="1">
        <v>45927.786352256946</v>
      </c>
      <c r="K1165" t="s">
        <v>377</v>
      </c>
      <c r="L1165">
        <f>COUNTIF($A$2:A1165,A1165)</f>
        <v>11</v>
      </c>
    </row>
    <row r="1166" spans="1:12" x14ac:dyDescent="0.3">
      <c r="A1166">
        <v>12904</v>
      </c>
      <c r="B1166" t="s">
        <v>326</v>
      </c>
      <c r="C1166" t="s">
        <v>281</v>
      </c>
      <c r="D1166" t="s">
        <v>282</v>
      </c>
      <c r="E1166">
        <v>31</v>
      </c>
      <c r="F1166">
        <v>73.33</v>
      </c>
      <c r="G1166">
        <v>10</v>
      </c>
      <c r="H1166">
        <v>16.670000000000002</v>
      </c>
      <c r="I1166">
        <v>0</v>
      </c>
      <c r="J1166" s="1">
        <v>45927.786433425928</v>
      </c>
      <c r="K1166" t="s">
        <v>377</v>
      </c>
      <c r="L1166">
        <f>COUNTIF($A$2:A1166,A1166)</f>
        <v>12</v>
      </c>
    </row>
    <row r="1167" spans="1:12" x14ac:dyDescent="0.3">
      <c r="A1167">
        <v>12904</v>
      </c>
      <c r="B1167" t="s">
        <v>326</v>
      </c>
      <c r="C1167" t="s">
        <v>279</v>
      </c>
      <c r="D1167" t="s">
        <v>280</v>
      </c>
      <c r="E1167">
        <v>27</v>
      </c>
      <c r="F1167">
        <v>73.33</v>
      </c>
      <c r="G1167">
        <v>10</v>
      </c>
      <c r="H1167">
        <v>16.670000000000002</v>
      </c>
      <c r="I1167">
        <v>0</v>
      </c>
      <c r="J1167" s="1">
        <v>45927.78645068287</v>
      </c>
      <c r="K1167" t="s">
        <v>377</v>
      </c>
      <c r="L1167">
        <f>COUNTIF($A$2:A1167,A1167)</f>
        <v>13</v>
      </c>
    </row>
    <row r="1168" spans="1:12" x14ac:dyDescent="0.3">
      <c r="A1168">
        <v>12904</v>
      </c>
      <c r="B1168" t="s">
        <v>326</v>
      </c>
      <c r="C1168" t="s">
        <v>298</v>
      </c>
      <c r="D1168" t="s">
        <v>299</v>
      </c>
      <c r="E1168">
        <v>0</v>
      </c>
      <c r="F1168">
        <v>73.33</v>
      </c>
      <c r="G1168">
        <v>13.33</v>
      </c>
      <c r="H1168">
        <v>13.33</v>
      </c>
      <c r="I1168">
        <v>0</v>
      </c>
      <c r="J1168" s="1">
        <v>45927.786742835648</v>
      </c>
      <c r="K1168" t="s">
        <v>377</v>
      </c>
      <c r="L1168">
        <f>COUNTIF($A$2:A1168,A1168)</f>
        <v>14</v>
      </c>
    </row>
    <row r="1169" spans="1:12" x14ac:dyDescent="0.3">
      <c r="A1169">
        <v>12904</v>
      </c>
      <c r="B1169" t="s">
        <v>326</v>
      </c>
      <c r="C1169" t="s">
        <v>292</v>
      </c>
      <c r="D1169" t="s">
        <v>293</v>
      </c>
      <c r="E1169">
        <v>22</v>
      </c>
      <c r="F1169">
        <v>73.33</v>
      </c>
      <c r="G1169">
        <v>10</v>
      </c>
      <c r="H1169">
        <v>16.670000000000002</v>
      </c>
      <c r="I1169">
        <v>0</v>
      </c>
      <c r="J1169" s="1">
        <v>45927.786888020833</v>
      </c>
      <c r="K1169" t="s">
        <v>377</v>
      </c>
      <c r="L1169">
        <f>COUNTIF($A$2:A1169,A1169)</f>
        <v>15</v>
      </c>
    </row>
    <row r="1170" spans="1:12" x14ac:dyDescent="0.3">
      <c r="A1170">
        <v>12904</v>
      </c>
      <c r="B1170" t="s">
        <v>326</v>
      </c>
      <c r="C1170" t="s">
        <v>370</v>
      </c>
      <c r="D1170" t="s">
        <v>371</v>
      </c>
      <c r="E1170">
        <v>13</v>
      </c>
      <c r="F1170">
        <v>70</v>
      </c>
      <c r="G1170">
        <v>30</v>
      </c>
      <c r="H1170">
        <v>0</v>
      </c>
      <c r="I1170">
        <v>0</v>
      </c>
      <c r="J1170" s="1">
        <v>45927.786146643521</v>
      </c>
      <c r="K1170" t="s">
        <v>377</v>
      </c>
      <c r="L1170">
        <f>COUNTIF($A$2:A1170,A1170)</f>
        <v>16</v>
      </c>
    </row>
    <row r="1171" spans="1:12" x14ac:dyDescent="0.3">
      <c r="A1171">
        <v>12904</v>
      </c>
      <c r="B1171" t="s">
        <v>326</v>
      </c>
      <c r="C1171" t="s">
        <v>352</v>
      </c>
      <c r="D1171" t="s">
        <v>353</v>
      </c>
      <c r="E1171">
        <v>28</v>
      </c>
      <c r="F1171">
        <v>70</v>
      </c>
      <c r="G1171">
        <v>13.33</v>
      </c>
      <c r="H1171">
        <v>16.670000000000002</v>
      </c>
      <c r="I1171">
        <v>0</v>
      </c>
      <c r="J1171" s="1">
        <v>45927.786466516205</v>
      </c>
      <c r="K1171" t="s">
        <v>377</v>
      </c>
      <c r="L1171">
        <f>COUNTIF($A$2:A1171,A1171)</f>
        <v>17</v>
      </c>
    </row>
    <row r="1172" spans="1:12" x14ac:dyDescent="0.3">
      <c r="A1172">
        <v>12904</v>
      </c>
      <c r="B1172" t="s">
        <v>326</v>
      </c>
      <c r="C1172" t="s">
        <v>330</v>
      </c>
      <c r="D1172" t="s">
        <v>331</v>
      </c>
      <c r="E1172">
        <v>0</v>
      </c>
      <c r="F1172">
        <v>70</v>
      </c>
      <c r="G1172">
        <v>13.33</v>
      </c>
      <c r="H1172">
        <v>16.670000000000002</v>
      </c>
      <c r="I1172">
        <v>0</v>
      </c>
      <c r="J1172" s="1">
        <v>45927.786827592594</v>
      </c>
      <c r="K1172" t="s">
        <v>377</v>
      </c>
      <c r="L1172">
        <f>COUNTIF($A$2:A1172,A1172)</f>
        <v>18</v>
      </c>
    </row>
    <row r="1173" spans="1:12" x14ac:dyDescent="0.3">
      <c r="A1173">
        <v>12904</v>
      </c>
      <c r="B1173" t="s">
        <v>326</v>
      </c>
      <c r="C1173" t="s">
        <v>366</v>
      </c>
      <c r="D1173" t="s">
        <v>367</v>
      </c>
      <c r="E1173">
        <v>14</v>
      </c>
      <c r="F1173">
        <v>66.67</v>
      </c>
      <c r="G1173">
        <v>33.33</v>
      </c>
      <c r="H1173">
        <v>0</v>
      </c>
      <c r="I1173">
        <v>0</v>
      </c>
      <c r="J1173" s="1">
        <v>45927.786181932868</v>
      </c>
      <c r="K1173" t="s">
        <v>377</v>
      </c>
      <c r="L1173">
        <f>COUNTIF($A$2:A1173,A1173)</f>
        <v>19</v>
      </c>
    </row>
    <row r="1174" spans="1:12" x14ac:dyDescent="0.3">
      <c r="A1174">
        <v>12904</v>
      </c>
      <c r="B1174" t="s">
        <v>326</v>
      </c>
      <c r="C1174" t="s">
        <v>294</v>
      </c>
      <c r="D1174" t="s">
        <v>295</v>
      </c>
      <c r="E1174">
        <v>23</v>
      </c>
      <c r="F1174">
        <v>66.67</v>
      </c>
      <c r="G1174">
        <v>16.670000000000002</v>
      </c>
      <c r="H1174">
        <v>16.670000000000002</v>
      </c>
      <c r="I1174">
        <v>0</v>
      </c>
      <c r="J1174" s="1">
        <v>45927.786870706019</v>
      </c>
      <c r="K1174" t="s">
        <v>377</v>
      </c>
      <c r="L1174">
        <f>COUNTIF($A$2:A1174,A1174)</f>
        <v>20</v>
      </c>
    </row>
    <row r="1175" spans="1:12" x14ac:dyDescent="0.3">
      <c r="A1175">
        <v>12904</v>
      </c>
      <c r="B1175" t="s">
        <v>326</v>
      </c>
      <c r="C1175" t="s">
        <v>340</v>
      </c>
      <c r="D1175" t="s">
        <v>341</v>
      </c>
      <c r="E1175">
        <v>35</v>
      </c>
      <c r="F1175">
        <v>60</v>
      </c>
      <c r="G1175">
        <v>23.33</v>
      </c>
      <c r="H1175">
        <v>16.670000000000002</v>
      </c>
      <c r="I1175">
        <v>0</v>
      </c>
      <c r="J1175" s="1">
        <v>45927.786687476852</v>
      </c>
      <c r="K1175" t="s">
        <v>377</v>
      </c>
      <c r="L1175">
        <f>COUNTIF($A$2:A1175,A1175)</f>
        <v>21</v>
      </c>
    </row>
    <row r="1176" spans="1:12" x14ac:dyDescent="0.3">
      <c r="A1176">
        <v>12904</v>
      </c>
      <c r="B1176" t="s">
        <v>326</v>
      </c>
      <c r="C1176" t="s">
        <v>354</v>
      </c>
      <c r="D1176" t="s">
        <v>355</v>
      </c>
      <c r="E1176">
        <v>22</v>
      </c>
      <c r="F1176">
        <v>56.67</v>
      </c>
      <c r="G1176">
        <v>30</v>
      </c>
      <c r="H1176">
        <v>13.33</v>
      </c>
      <c r="I1176">
        <v>0</v>
      </c>
      <c r="J1176" s="1">
        <v>45927.786395659721</v>
      </c>
      <c r="K1176" t="s">
        <v>377</v>
      </c>
      <c r="L1176">
        <f>COUNTIF($A$2:A1176,A1176)</f>
        <v>22</v>
      </c>
    </row>
    <row r="1177" spans="1:12" x14ac:dyDescent="0.3">
      <c r="A1177">
        <v>12904</v>
      </c>
      <c r="B1177" t="s">
        <v>326</v>
      </c>
      <c r="C1177" t="s">
        <v>344</v>
      </c>
      <c r="D1177" t="s">
        <v>345</v>
      </c>
      <c r="E1177">
        <v>34</v>
      </c>
      <c r="F1177">
        <v>56.67</v>
      </c>
      <c r="G1177">
        <v>26.67</v>
      </c>
      <c r="H1177">
        <v>16.670000000000002</v>
      </c>
      <c r="I1177">
        <v>0</v>
      </c>
      <c r="J1177" s="1">
        <v>45927.786584571761</v>
      </c>
      <c r="K1177" t="s">
        <v>377</v>
      </c>
      <c r="L1177">
        <f>COUNTIF($A$2:A1177,A1177)</f>
        <v>23</v>
      </c>
    </row>
    <row r="1178" spans="1:12" x14ac:dyDescent="0.3">
      <c r="A1178">
        <v>12904</v>
      </c>
      <c r="B1178" t="s">
        <v>326</v>
      </c>
      <c r="C1178" t="s">
        <v>342</v>
      </c>
      <c r="D1178" t="s">
        <v>343</v>
      </c>
      <c r="E1178">
        <v>35</v>
      </c>
      <c r="F1178">
        <v>56.67</v>
      </c>
      <c r="G1178">
        <v>26.67</v>
      </c>
      <c r="H1178">
        <v>16.670000000000002</v>
      </c>
      <c r="I1178">
        <v>0</v>
      </c>
      <c r="J1178" s="1">
        <v>45927.786625057874</v>
      </c>
      <c r="K1178" t="s">
        <v>377</v>
      </c>
      <c r="L1178">
        <f>COUNTIF($A$2:A1178,A1178)</f>
        <v>24</v>
      </c>
    </row>
    <row r="1179" spans="1:12" x14ac:dyDescent="0.3">
      <c r="A1179">
        <v>12904</v>
      </c>
      <c r="B1179" t="s">
        <v>326</v>
      </c>
      <c r="C1179" t="s">
        <v>300</v>
      </c>
      <c r="D1179" t="s">
        <v>301</v>
      </c>
      <c r="E1179">
        <v>32</v>
      </c>
      <c r="F1179">
        <v>56.67</v>
      </c>
      <c r="G1179">
        <v>26.67</v>
      </c>
      <c r="H1179">
        <v>16.670000000000002</v>
      </c>
      <c r="I1179">
        <v>0</v>
      </c>
      <c r="J1179" s="1">
        <v>45927.786671516202</v>
      </c>
      <c r="K1179" t="s">
        <v>377</v>
      </c>
      <c r="L1179">
        <f>COUNTIF($A$2:A1179,A1179)</f>
        <v>25</v>
      </c>
    </row>
    <row r="1180" spans="1:12" x14ac:dyDescent="0.3">
      <c r="A1180">
        <v>12904</v>
      </c>
      <c r="B1180" t="s">
        <v>326</v>
      </c>
      <c r="C1180" t="s">
        <v>338</v>
      </c>
      <c r="D1180" t="s">
        <v>339</v>
      </c>
      <c r="E1180">
        <v>38</v>
      </c>
      <c r="F1180">
        <v>56.67</v>
      </c>
      <c r="G1180">
        <v>23.33</v>
      </c>
      <c r="H1180">
        <v>20</v>
      </c>
      <c r="I1180">
        <v>0</v>
      </c>
      <c r="J1180" s="1">
        <v>45927.786705682869</v>
      </c>
      <c r="K1180" t="s">
        <v>377</v>
      </c>
      <c r="L1180">
        <f>COUNTIF($A$2:A1180,A1180)</f>
        <v>26</v>
      </c>
    </row>
    <row r="1181" spans="1:12" x14ac:dyDescent="0.3">
      <c r="A1181">
        <v>12904</v>
      </c>
      <c r="B1181" t="s">
        <v>326</v>
      </c>
      <c r="C1181" t="s">
        <v>296</v>
      </c>
      <c r="D1181" t="s">
        <v>297</v>
      </c>
      <c r="E1181">
        <v>0</v>
      </c>
      <c r="F1181">
        <v>56.67</v>
      </c>
      <c r="G1181">
        <v>23.33</v>
      </c>
      <c r="H1181">
        <v>20</v>
      </c>
      <c r="I1181">
        <v>0</v>
      </c>
      <c r="J1181" s="1">
        <v>45927.786765925928</v>
      </c>
      <c r="K1181" t="s">
        <v>377</v>
      </c>
      <c r="L1181">
        <f>COUNTIF($A$2:A1181,A1181)</f>
        <v>27</v>
      </c>
    </row>
    <row r="1182" spans="1:12" x14ac:dyDescent="0.3">
      <c r="A1182">
        <v>12904</v>
      </c>
      <c r="B1182" t="s">
        <v>326</v>
      </c>
      <c r="C1182" t="s">
        <v>350</v>
      </c>
      <c r="D1182" t="s">
        <v>351</v>
      </c>
      <c r="E1182">
        <v>35</v>
      </c>
      <c r="F1182">
        <v>53.33</v>
      </c>
      <c r="G1182">
        <v>30</v>
      </c>
      <c r="H1182">
        <v>16.670000000000002</v>
      </c>
      <c r="I1182">
        <v>0</v>
      </c>
      <c r="J1182" s="1">
        <v>45927.786486365738</v>
      </c>
      <c r="K1182" t="s">
        <v>377</v>
      </c>
      <c r="L1182">
        <f>COUNTIF($A$2:A1182,A1182)</f>
        <v>28</v>
      </c>
    </row>
    <row r="1183" spans="1:12" x14ac:dyDescent="0.3">
      <c r="A1183">
        <v>12904</v>
      </c>
      <c r="B1183" t="s">
        <v>326</v>
      </c>
      <c r="C1183" t="s">
        <v>348</v>
      </c>
      <c r="D1183" t="s">
        <v>349</v>
      </c>
      <c r="E1183">
        <v>35</v>
      </c>
      <c r="F1183">
        <v>50</v>
      </c>
      <c r="G1183">
        <v>33.33</v>
      </c>
      <c r="H1183">
        <v>16.670000000000002</v>
      </c>
      <c r="I1183">
        <v>0</v>
      </c>
      <c r="J1183" s="1">
        <v>45927.786505023148</v>
      </c>
      <c r="K1183" t="s">
        <v>377</v>
      </c>
      <c r="L1183">
        <f>COUNTIF($A$2:A1183,A1183)</f>
        <v>29</v>
      </c>
    </row>
    <row r="1184" spans="1:12" x14ac:dyDescent="0.3">
      <c r="A1184">
        <v>12904</v>
      </c>
      <c r="B1184" t="s">
        <v>326</v>
      </c>
      <c r="C1184" t="s">
        <v>346</v>
      </c>
      <c r="D1184" t="s">
        <v>347</v>
      </c>
      <c r="E1184">
        <v>36</v>
      </c>
      <c r="F1184">
        <v>46.67</v>
      </c>
      <c r="G1184">
        <v>36.67</v>
      </c>
      <c r="H1184">
        <v>16.670000000000002</v>
      </c>
      <c r="I1184">
        <v>0</v>
      </c>
      <c r="J1184" s="1">
        <v>45927.786544675924</v>
      </c>
      <c r="K1184" t="s">
        <v>377</v>
      </c>
      <c r="L1184">
        <f>COUNTIF($A$2:A1184,A1184)</f>
        <v>30</v>
      </c>
    </row>
    <row r="1185" spans="1:12" x14ac:dyDescent="0.3">
      <c r="A1185">
        <v>12904</v>
      </c>
      <c r="B1185" t="s">
        <v>326</v>
      </c>
      <c r="C1185" t="s">
        <v>290</v>
      </c>
      <c r="D1185" t="s">
        <v>291</v>
      </c>
      <c r="E1185">
        <v>27</v>
      </c>
      <c r="F1185">
        <v>40</v>
      </c>
      <c r="G1185">
        <v>46.67</v>
      </c>
      <c r="H1185">
        <v>13.33</v>
      </c>
      <c r="I1185">
        <v>0</v>
      </c>
      <c r="J1185" s="1">
        <v>45927.786931712966</v>
      </c>
      <c r="K1185" t="s">
        <v>377</v>
      </c>
      <c r="L1185">
        <f>COUNTIF($A$2:A1185,A1185)</f>
        <v>31</v>
      </c>
    </row>
    <row r="1186" spans="1:12" x14ac:dyDescent="0.3">
      <c r="A1186">
        <v>12904</v>
      </c>
      <c r="B1186" t="s">
        <v>326</v>
      </c>
      <c r="C1186" t="s">
        <v>336</v>
      </c>
      <c r="D1186" t="s">
        <v>337</v>
      </c>
      <c r="E1186">
        <v>44</v>
      </c>
      <c r="F1186">
        <v>30</v>
      </c>
      <c r="G1186">
        <v>50</v>
      </c>
      <c r="H1186">
        <v>20</v>
      </c>
      <c r="I1186">
        <v>0</v>
      </c>
      <c r="J1186" s="1">
        <v>45927.786720682867</v>
      </c>
      <c r="K1186" t="s">
        <v>377</v>
      </c>
      <c r="L1186">
        <f>COUNTIF($A$2:A1186,A1186)</f>
        <v>32</v>
      </c>
    </row>
    <row r="1187" spans="1:12" x14ac:dyDescent="0.3">
      <c r="A1187">
        <v>12904</v>
      </c>
      <c r="B1187" t="s">
        <v>326</v>
      </c>
      <c r="C1187" t="s">
        <v>332</v>
      </c>
      <c r="D1187" t="s">
        <v>333</v>
      </c>
      <c r="E1187">
        <v>39</v>
      </c>
      <c r="F1187">
        <v>30</v>
      </c>
      <c r="G1187">
        <v>50</v>
      </c>
      <c r="H1187">
        <v>20</v>
      </c>
      <c r="I1187">
        <v>0</v>
      </c>
      <c r="J1187" s="1">
        <v>45927.786804085648</v>
      </c>
      <c r="K1187" t="s">
        <v>377</v>
      </c>
      <c r="L1187">
        <f>COUNTIF($A$2:A1187,A1187)</f>
        <v>33</v>
      </c>
    </row>
    <row r="1188" spans="1:12" x14ac:dyDescent="0.3">
      <c r="A1188">
        <v>12904</v>
      </c>
      <c r="B1188" t="s">
        <v>326</v>
      </c>
      <c r="C1188" t="s">
        <v>334</v>
      </c>
      <c r="D1188" t="s">
        <v>335</v>
      </c>
      <c r="E1188">
        <v>37</v>
      </c>
      <c r="F1188">
        <v>26.67</v>
      </c>
      <c r="G1188">
        <v>53.33</v>
      </c>
      <c r="H1188">
        <v>20</v>
      </c>
      <c r="I1188">
        <v>0</v>
      </c>
      <c r="J1188" s="1">
        <v>45927.786784317126</v>
      </c>
      <c r="K1188" t="s">
        <v>377</v>
      </c>
      <c r="L1188">
        <f>COUNTIF($A$2:A1188,A1188)</f>
        <v>34</v>
      </c>
    </row>
    <row r="1189" spans="1:12" x14ac:dyDescent="0.3">
      <c r="A1189">
        <v>12925</v>
      </c>
      <c r="B1189" t="s">
        <v>515</v>
      </c>
      <c r="C1189" t="s">
        <v>298</v>
      </c>
      <c r="D1189" t="s">
        <v>299</v>
      </c>
      <c r="E1189">
        <v>7</v>
      </c>
      <c r="F1189">
        <v>96.99</v>
      </c>
      <c r="G1189">
        <v>1.64</v>
      </c>
      <c r="H1189">
        <v>1.37</v>
      </c>
      <c r="I1189">
        <v>0</v>
      </c>
      <c r="J1189" s="1">
        <v>45928.060640439813</v>
      </c>
      <c r="K1189" t="s">
        <v>516</v>
      </c>
      <c r="L1189">
        <f>COUNTIF($A$2:A1189,A1189)</f>
        <v>1</v>
      </c>
    </row>
    <row r="1190" spans="1:12" x14ac:dyDescent="0.3">
      <c r="A1190">
        <v>12925</v>
      </c>
      <c r="B1190" t="s">
        <v>515</v>
      </c>
      <c r="C1190" t="s">
        <v>330</v>
      </c>
      <c r="D1190" t="s">
        <v>331</v>
      </c>
      <c r="E1190">
        <v>0</v>
      </c>
      <c r="F1190">
        <v>95.07</v>
      </c>
      <c r="G1190">
        <v>3.56</v>
      </c>
      <c r="H1190">
        <v>1.37</v>
      </c>
      <c r="I1190">
        <v>0</v>
      </c>
      <c r="J1190" s="1">
        <v>45928.060441805559</v>
      </c>
      <c r="K1190" t="s">
        <v>516</v>
      </c>
      <c r="L1190">
        <f>COUNTIF($A$2:A1190,A1190)</f>
        <v>2</v>
      </c>
    </row>
    <row r="1191" spans="1:12" x14ac:dyDescent="0.3">
      <c r="A1191">
        <v>12925</v>
      </c>
      <c r="B1191" t="s">
        <v>515</v>
      </c>
      <c r="C1191" t="s">
        <v>336</v>
      </c>
      <c r="D1191" t="s">
        <v>337</v>
      </c>
      <c r="E1191">
        <v>0</v>
      </c>
      <c r="F1191">
        <v>93.42</v>
      </c>
      <c r="G1191">
        <v>4.93</v>
      </c>
      <c r="H1191">
        <v>1.64</v>
      </c>
      <c r="I1191">
        <v>0</v>
      </c>
      <c r="J1191" s="1">
        <v>45928.060681273149</v>
      </c>
      <c r="K1191" t="s">
        <v>516</v>
      </c>
      <c r="L1191">
        <f>COUNTIF($A$2:A1191,A1191)</f>
        <v>3</v>
      </c>
    </row>
    <row r="1192" spans="1:12" x14ac:dyDescent="0.3">
      <c r="A1192">
        <v>12925</v>
      </c>
      <c r="B1192" t="s">
        <v>515</v>
      </c>
      <c r="C1192" t="s">
        <v>340</v>
      </c>
      <c r="D1192" t="s">
        <v>341</v>
      </c>
      <c r="E1192">
        <v>10</v>
      </c>
      <c r="F1192">
        <v>92.05</v>
      </c>
      <c r="G1192">
        <v>6.03</v>
      </c>
      <c r="H1192">
        <v>1.92</v>
      </c>
      <c r="I1192">
        <v>0</v>
      </c>
      <c r="J1192" s="1">
        <v>45928.060723831019</v>
      </c>
      <c r="K1192" t="s">
        <v>516</v>
      </c>
      <c r="L1192">
        <f>COUNTIF($A$2:A1192,A1192)</f>
        <v>4</v>
      </c>
    </row>
    <row r="1193" spans="1:12" x14ac:dyDescent="0.3">
      <c r="A1193">
        <v>12925</v>
      </c>
      <c r="B1193" t="s">
        <v>515</v>
      </c>
      <c r="C1193" t="s">
        <v>279</v>
      </c>
      <c r="D1193" t="s">
        <v>280</v>
      </c>
      <c r="E1193">
        <v>10</v>
      </c>
      <c r="F1193">
        <v>90.96</v>
      </c>
      <c r="G1193">
        <v>7.67</v>
      </c>
      <c r="H1193">
        <v>1.37</v>
      </c>
      <c r="I1193">
        <v>0</v>
      </c>
      <c r="J1193" s="1">
        <v>45928.061039988424</v>
      </c>
      <c r="K1193" t="s">
        <v>516</v>
      </c>
      <c r="L1193">
        <f>COUNTIF($A$2:A1193,A1193)</f>
        <v>5</v>
      </c>
    </row>
    <row r="1194" spans="1:12" x14ac:dyDescent="0.3">
      <c r="A1194">
        <v>12925</v>
      </c>
      <c r="B1194" t="s">
        <v>515</v>
      </c>
      <c r="C1194" t="s">
        <v>292</v>
      </c>
      <c r="D1194" t="s">
        <v>293</v>
      </c>
      <c r="E1194">
        <v>10</v>
      </c>
      <c r="F1194">
        <v>89.04</v>
      </c>
      <c r="G1194">
        <v>9.59</v>
      </c>
      <c r="H1194">
        <v>1.37</v>
      </c>
      <c r="I1194">
        <v>0</v>
      </c>
      <c r="J1194" s="1">
        <v>45928.060333437497</v>
      </c>
      <c r="K1194" t="s">
        <v>516</v>
      </c>
      <c r="L1194">
        <f>COUNTIF($A$2:A1194,A1194)</f>
        <v>6</v>
      </c>
    </row>
    <row r="1195" spans="1:12" x14ac:dyDescent="0.3">
      <c r="A1195">
        <v>12925</v>
      </c>
      <c r="B1195" t="s">
        <v>515</v>
      </c>
      <c r="C1195" t="s">
        <v>294</v>
      </c>
      <c r="D1195" t="s">
        <v>295</v>
      </c>
      <c r="E1195">
        <v>0</v>
      </c>
      <c r="F1195">
        <v>88.49</v>
      </c>
      <c r="G1195">
        <v>9.59</v>
      </c>
      <c r="H1195">
        <v>1.92</v>
      </c>
      <c r="I1195">
        <v>0</v>
      </c>
      <c r="J1195" s="1">
        <v>45928.060405694443</v>
      </c>
      <c r="K1195" t="s">
        <v>516</v>
      </c>
      <c r="L1195">
        <f>COUNTIF($A$2:A1195,A1195)</f>
        <v>7</v>
      </c>
    </row>
    <row r="1196" spans="1:12" x14ac:dyDescent="0.3">
      <c r="A1196">
        <v>12925</v>
      </c>
      <c r="B1196" t="s">
        <v>515</v>
      </c>
      <c r="C1196" t="s">
        <v>300</v>
      </c>
      <c r="D1196" t="s">
        <v>301</v>
      </c>
      <c r="E1196">
        <v>11</v>
      </c>
      <c r="F1196">
        <v>85.48</v>
      </c>
      <c r="G1196">
        <v>12.05</v>
      </c>
      <c r="H1196">
        <v>2.4700000000000002</v>
      </c>
      <c r="I1196">
        <v>0</v>
      </c>
      <c r="J1196" s="1">
        <v>45928.060767916664</v>
      </c>
      <c r="K1196" t="s">
        <v>516</v>
      </c>
      <c r="L1196">
        <f>COUNTIF($A$2:A1196,A1196)</f>
        <v>8</v>
      </c>
    </row>
    <row r="1197" spans="1:12" x14ac:dyDescent="0.3">
      <c r="A1197">
        <v>12925</v>
      </c>
      <c r="B1197" t="s">
        <v>515</v>
      </c>
      <c r="C1197" t="s">
        <v>281</v>
      </c>
      <c r="D1197" t="s">
        <v>282</v>
      </c>
      <c r="E1197">
        <v>0</v>
      </c>
      <c r="F1197">
        <v>85.48</v>
      </c>
      <c r="G1197">
        <v>11.78</v>
      </c>
      <c r="H1197">
        <v>2.74</v>
      </c>
      <c r="I1197">
        <v>0</v>
      </c>
      <c r="J1197" s="1">
        <v>45928.061073124998</v>
      </c>
      <c r="K1197" t="s">
        <v>516</v>
      </c>
      <c r="L1197">
        <f>COUNTIF($A$2:A1197,A1197)</f>
        <v>9</v>
      </c>
    </row>
    <row r="1198" spans="1:12" x14ac:dyDescent="0.3">
      <c r="A1198">
        <v>12925</v>
      </c>
      <c r="B1198" t="s">
        <v>515</v>
      </c>
      <c r="C1198" t="s">
        <v>370</v>
      </c>
      <c r="D1198" t="s">
        <v>371</v>
      </c>
      <c r="E1198">
        <v>14</v>
      </c>
      <c r="F1198">
        <v>84.66</v>
      </c>
      <c r="G1198">
        <v>11.23</v>
      </c>
      <c r="H1198">
        <v>4.1100000000000003</v>
      </c>
      <c r="I1198">
        <v>0</v>
      </c>
      <c r="J1198" s="1">
        <v>45928.06152653935</v>
      </c>
      <c r="K1198" t="s">
        <v>516</v>
      </c>
      <c r="L1198">
        <f>COUNTIF($A$2:A1198,A1198)</f>
        <v>10</v>
      </c>
    </row>
    <row r="1199" spans="1:12" x14ac:dyDescent="0.3">
      <c r="A1199">
        <v>12925</v>
      </c>
      <c r="B1199" t="s">
        <v>515</v>
      </c>
      <c r="C1199" t="s">
        <v>368</v>
      </c>
      <c r="D1199" t="s">
        <v>369</v>
      </c>
      <c r="E1199">
        <v>13</v>
      </c>
      <c r="F1199">
        <v>83.56</v>
      </c>
      <c r="G1199">
        <v>13.15</v>
      </c>
      <c r="H1199">
        <v>3.29</v>
      </c>
      <c r="I1199">
        <v>0</v>
      </c>
      <c r="J1199" s="1">
        <v>45928.061399293983</v>
      </c>
      <c r="K1199" t="s">
        <v>516</v>
      </c>
      <c r="L1199">
        <f>COUNTIF($A$2:A1199,A1199)</f>
        <v>11</v>
      </c>
    </row>
    <row r="1200" spans="1:12" x14ac:dyDescent="0.3">
      <c r="A1200">
        <v>12925</v>
      </c>
      <c r="B1200" t="s">
        <v>515</v>
      </c>
      <c r="C1200" t="s">
        <v>332</v>
      </c>
      <c r="D1200" t="s">
        <v>333</v>
      </c>
      <c r="E1200">
        <v>0</v>
      </c>
      <c r="F1200">
        <v>81.64</v>
      </c>
      <c r="G1200">
        <v>16.71</v>
      </c>
      <c r="H1200">
        <v>1.64</v>
      </c>
      <c r="I1200">
        <v>0</v>
      </c>
      <c r="J1200" s="1">
        <v>45928.060478101848</v>
      </c>
      <c r="K1200" t="s">
        <v>516</v>
      </c>
      <c r="L1200">
        <f>COUNTIF($A$2:A1200,A1200)</f>
        <v>12</v>
      </c>
    </row>
    <row r="1201" spans="1:12" x14ac:dyDescent="0.3">
      <c r="A1201">
        <v>12925</v>
      </c>
      <c r="B1201" t="s">
        <v>515</v>
      </c>
      <c r="C1201" t="s">
        <v>344</v>
      </c>
      <c r="D1201" t="s">
        <v>345</v>
      </c>
      <c r="E1201">
        <v>13</v>
      </c>
      <c r="F1201">
        <v>81.64</v>
      </c>
      <c r="G1201">
        <v>14.79</v>
      </c>
      <c r="H1201">
        <v>3.56</v>
      </c>
      <c r="I1201">
        <v>0.01</v>
      </c>
      <c r="J1201" s="1">
        <v>45928.060831331015</v>
      </c>
      <c r="K1201" t="s">
        <v>516</v>
      </c>
      <c r="L1201">
        <f>COUNTIF($A$2:A1201,A1201)</f>
        <v>13</v>
      </c>
    </row>
    <row r="1202" spans="1:12" x14ac:dyDescent="0.3">
      <c r="A1202">
        <v>12925</v>
      </c>
      <c r="B1202" t="s">
        <v>515</v>
      </c>
      <c r="C1202" t="s">
        <v>334</v>
      </c>
      <c r="D1202" t="s">
        <v>335</v>
      </c>
      <c r="E1202">
        <v>12</v>
      </c>
      <c r="F1202">
        <v>80.55</v>
      </c>
      <c r="G1202">
        <v>17.53</v>
      </c>
      <c r="H1202">
        <v>1.92</v>
      </c>
      <c r="I1202">
        <v>0</v>
      </c>
      <c r="J1202" s="1">
        <v>45928.060524791668</v>
      </c>
      <c r="K1202" t="s">
        <v>516</v>
      </c>
      <c r="L1202">
        <f>COUNTIF($A$2:A1202,A1202)</f>
        <v>14</v>
      </c>
    </row>
    <row r="1203" spans="1:12" x14ac:dyDescent="0.3">
      <c r="A1203">
        <v>12925</v>
      </c>
      <c r="B1203" t="s">
        <v>515</v>
      </c>
      <c r="C1203" t="s">
        <v>296</v>
      </c>
      <c r="D1203" t="s">
        <v>297</v>
      </c>
      <c r="E1203">
        <v>13</v>
      </c>
      <c r="F1203">
        <v>80.27</v>
      </c>
      <c r="G1203">
        <v>17.809999999999999</v>
      </c>
      <c r="H1203">
        <v>1.92</v>
      </c>
      <c r="I1203">
        <v>0</v>
      </c>
      <c r="J1203" s="1">
        <v>45928.060569837966</v>
      </c>
      <c r="K1203" t="s">
        <v>516</v>
      </c>
      <c r="L1203">
        <f>COUNTIF($A$2:A1203,A1203)</f>
        <v>15</v>
      </c>
    </row>
    <row r="1204" spans="1:12" x14ac:dyDescent="0.3">
      <c r="A1204">
        <v>12925</v>
      </c>
      <c r="B1204" t="s">
        <v>515</v>
      </c>
      <c r="C1204" t="s">
        <v>110</v>
      </c>
      <c r="D1204" t="s">
        <v>111</v>
      </c>
      <c r="E1204">
        <v>13</v>
      </c>
      <c r="F1204">
        <v>80</v>
      </c>
      <c r="G1204">
        <v>16.989999999999998</v>
      </c>
      <c r="H1204">
        <v>3.01</v>
      </c>
      <c r="I1204">
        <v>0</v>
      </c>
      <c r="J1204" s="1">
        <v>45928.061156226853</v>
      </c>
      <c r="K1204" t="s">
        <v>516</v>
      </c>
      <c r="L1204">
        <f>COUNTIF($A$2:A1204,A1204)</f>
        <v>16</v>
      </c>
    </row>
    <row r="1205" spans="1:12" x14ac:dyDescent="0.3">
      <c r="A1205">
        <v>12925</v>
      </c>
      <c r="B1205" t="s">
        <v>515</v>
      </c>
      <c r="C1205" t="s">
        <v>375</v>
      </c>
      <c r="D1205" t="s">
        <v>376</v>
      </c>
      <c r="E1205">
        <v>16</v>
      </c>
      <c r="F1205">
        <v>78.900000000000006</v>
      </c>
      <c r="G1205">
        <v>13.42</v>
      </c>
      <c r="H1205">
        <v>7.67</v>
      </c>
      <c r="I1205">
        <v>0.01</v>
      </c>
      <c r="J1205" s="1">
        <v>45928.061699861108</v>
      </c>
      <c r="K1205" t="s">
        <v>516</v>
      </c>
      <c r="L1205">
        <f>COUNTIF($A$2:A1205,A1205)</f>
        <v>17</v>
      </c>
    </row>
    <row r="1206" spans="1:12" x14ac:dyDescent="0.3">
      <c r="A1206">
        <v>12925</v>
      </c>
      <c r="B1206" t="s">
        <v>515</v>
      </c>
      <c r="C1206" t="s">
        <v>540</v>
      </c>
      <c r="D1206" t="s">
        <v>541</v>
      </c>
      <c r="E1206">
        <v>15</v>
      </c>
      <c r="F1206">
        <v>75.069999999999993</v>
      </c>
      <c r="G1206">
        <v>21.37</v>
      </c>
      <c r="H1206">
        <v>3.56</v>
      </c>
      <c r="I1206">
        <v>0</v>
      </c>
      <c r="J1206" s="1">
        <v>45928.061442430553</v>
      </c>
      <c r="K1206" t="s">
        <v>516</v>
      </c>
      <c r="L1206">
        <f>COUNTIF($A$2:A1206,A1206)</f>
        <v>18</v>
      </c>
    </row>
    <row r="1207" spans="1:12" x14ac:dyDescent="0.3">
      <c r="A1207">
        <v>12925</v>
      </c>
      <c r="B1207" t="s">
        <v>515</v>
      </c>
      <c r="C1207" t="s">
        <v>287</v>
      </c>
      <c r="D1207" t="s">
        <v>288</v>
      </c>
      <c r="E1207">
        <v>4</v>
      </c>
      <c r="F1207">
        <v>74.790000000000006</v>
      </c>
      <c r="G1207">
        <v>2.4700000000000002</v>
      </c>
      <c r="H1207">
        <v>0</v>
      </c>
      <c r="I1207">
        <v>22.74</v>
      </c>
      <c r="J1207" s="1">
        <v>45928.06011327546</v>
      </c>
      <c r="K1207" t="s">
        <v>516</v>
      </c>
      <c r="L1207">
        <f>COUNTIF($A$2:A1207,A1207)</f>
        <v>19</v>
      </c>
    </row>
    <row r="1208" spans="1:12" x14ac:dyDescent="0.3">
      <c r="A1208">
        <v>12925</v>
      </c>
      <c r="B1208" t="s">
        <v>515</v>
      </c>
      <c r="C1208" t="s">
        <v>526</v>
      </c>
      <c r="D1208" t="s">
        <v>527</v>
      </c>
      <c r="E1208">
        <v>13</v>
      </c>
      <c r="F1208">
        <v>73.97</v>
      </c>
      <c r="G1208">
        <v>24.38</v>
      </c>
      <c r="H1208">
        <v>1.37</v>
      </c>
      <c r="I1208">
        <v>0.28000000000000003</v>
      </c>
      <c r="J1208" s="1">
        <v>45928.060592662034</v>
      </c>
      <c r="K1208" t="s">
        <v>516</v>
      </c>
      <c r="L1208">
        <f>COUNTIF($A$2:A1208,A1208)</f>
        <v>20</v>
      </c>
    </row>
    <row r="1209" spans="1:12" x14ac:dyDescent="0.3">
      <c r="A1209">
        <v>12925</v>
      </c>
      <c r="B1209" t="s">
        <v>515</v>
      </c>
      <c r="C1209" t="s">
        <v>544</v>
      </c>
      <c r="D1209" t="s">
        <v>545</v>
      </c>
      <c r="E1209">
        <v>19</v>
      </c>
      <c r="F1209">
        <v>71.23</v>
      </c>
      <c r="G1209">
        <v>21.92</v>
      </c>
      <c r="H1209">
        <v>6.85</v>
      </c>
      <c r="I1209">
        <v>0</v>
      </c>
      <c r="J1209" s="1">
        <v>45928.061572430553</v>
      </c>
      <c r="K1209" t="s">
        <v>516</v>
      </c>
      <c r="L1209">
        <f>COUNTIF($A$2:A1209,A1209)</f>
        <v>21</v>
      </c>
    </row>
    <row r="1210" spans="1:12" x14ac:dyDescent="0.3">
      <c r="A1210">
        <v>12925</v>
      </c>
      <c r="B1210" t="s">
        <v>515</v>
      </c>
      <c r="C1210" t="s">
        <v>374</v>
      </c>
      <c r="D1210" t="s">
        <v>374</v>
      </c>
      <c r="E1210">
        <v>19</v>
      </c>
      <c r="F1210">
        <v>70.680000000000007</v>
      </c>
      <c r="G1210">
        <v>21.64</v>
      </c>
      <c r="H1210">
        <v>7.67</v>
      </c>
      <c r="I1210">
        <v>0.01</v>
      </c>
      <c r="J1210" s="1">
        <v>45928.061681805557</v>
      </c>
      <c r="K1210" t="s">
        <v>516</v>
      </c>
      <c r="L1210">
        <f>COUNTIF($A$2:A1210,A1210)</f>
        <v>22</v>
      </c>
    </row>
    <row r="1211" spans="1:12" x14ac:dyDescent="0.3">
      <c r="A1211">
        <v>12925</v>
      </c>
      <c r="B1211" t="s">
        <v>515</v>
      </c>
      <c r="C1211" t="s">
        <v>348</v>
      </c>
      <c r="D1211" t="s">
        <v>349</v>
      </c>
      <c r="E1211">
        <v>17</v>
      </c>
      <c r="F1211">
        <v>70.41</v>
      </c>
      <c r="G1211">
        <v>25.48</v>
      </c>
      <c r="H1211">
        <v>4.1100000000000003</v>
      </c>
      <c r="I1211">
        <v>0</v>
      </c>
      <c r="J1211" s="1">
        <v>45928.06090960648</v>
      </c>
      <c r="K1211" t="s">
        <v>516</v>
      </c>
      <c r="L1211">
        <f>COUNTIF($A$2:A1211,A1211)</f>
        <v>23</v>
      </c>
    </row>
    <row r="1212" spans="1:12" x14ac:dyDescent="0.3">
      <c r="A1212">
        <v>12925</v>
      </c>
      <c r="B1212" t="s">
        <v>515</v>
      </c>
      <c r="C1212" t="s">
        <v>350</v>
      </c>
      <c r="D1212" t="s">
        <v>351</v>
      </c>
      <c r="E1212">
        <v>18</v>
      </c>
      <c r="F1212">
        <v>68.489999999999995</v>
      </c>
      <c r="G1212">
        <v>27.4</v>
      </c>
      <c r="H1212">
        <v>4.1100000000000003</v>
      </c>
      <c r="I1212">
        <v>0</v>
      </c>
      <c r="J1212" s="1">
        <v>45928.060954780092</v>
      </c>
      <c r="K1212" t="s">
        <v>516</v>
      </c>
      <c r="L1212">
        <f>COUNTIF($A$2:A1212,A1212)</f>
        <v>24</v>
      </c>
    </row>
    <row r="1213" spans="1:12" x14ac:dyDescent="0.3">
      <c r="A1213">
        <v>12925</v>
      </c>
      <c r="B1213" t="s">
        <v>515</v>
      </c>
      <c r="C1213" t="s">
        <v>372</v>
      </c>
      <c r="D1213" t="s">
        <v>373</v>
      </c>
      <c r="E1213">
        <v>19</v>
      </c>
      <c r="F1213">
        <v>68.489999999999995</v>
      </c>
      <c r="G1213">
        <v>25.21</v>
      </c>
      <c r="H1213">
        <v>6.3</v>
      </c>
      <c r="I1213">
        <v>0</v>
      </c>
      <c r="J1213" s="1">
        <v>45928.061662685184</v>
      </c>
      <c r="K1213" t="s">
        <v>516</v>
      </c>
      <c r="L1213">
        <f>COUNTIF($A$2:A1213,A1213)</f>
        <v>25</v>
      </c>
    </row>
    <row r="1214" spans="1:12" x14ac:dyDescent="0.3">
      <c r="A1214">
        <v>12925</v>
      </c>
      <c r="B1214" t="s">
        <v>515</v>
      </c>
      <c r="C1214" t="s">
        <v>524</v>
      </c>
      <c r="D1214" t="s">
        <v>525</v>
      </c>
      <c r="E1214">
        <v>15</v>
      </c>
      <c r="F1214">
        <v>68.22</v>
      </c>
      <c r="G1214">
        <v>29.59</v>
      </c>
      <c r="H1214">
        <v>2.19</v>
      </c>
      <c r="I1214">
        <v>0</v>
      </c>
      <c r="J1214" s="1">
        <v>45928.060375266206</v>
      </c>
      <c r="K1214" t="s">
        <v>516</v>
      </c>
      <c r="L1214">
        <f>COUNTIF($A$2:A1214,A1214)</f>
        <v>26</v>
      </c>
    </row>
    <row r="1215" spans="1:12" x14ac:dyDescent="0.3">
      <c r="A1215">
        <v>12925</v>
      </c>
      <c r="B1215" t="s">
        <v>515</v>
      </c>
      <c r="C1215" t="s">
        <v>528</v>
      </c>
      <c r="D1215" t="s">
        <v>529</v>
      </c>
      <c r="E1215">
        <v>0</v>
      </c>
      <c r="F1215">
        <v>67.12</v>
      </c>
      <c r="G1215">
        <v>29.86</v>
      </c>
      <c r="H1215">
        <v>3.01</v>
      </c>
      <c r="I1215">
        <v>0</v>
      </c>
      <c r="J1215" s="1">
        <v>45928.061189201391</v>
      </c>
      <c r="K1215" t="s">
        <v>516</v>
      </c>
      <c r="L1215">
        <f>COUNTIF($A$2:A1215,A1215)</f>
        <v>27</v>
      </c>
    </row>
    <row r="1216" spans="1:12" x14ac:dyDescent="0.3">
      <c r="A1216">
        <v>12925</v>
      </c>
      <c r="B1216" t="s">
        <v>515</v>
      </c>
      <c r="C1216" t="s">
        <v>546</v>
      </c>
      <c r="D1216" t="s">
        <v>547</v>
      </c>
      <c r="E1216">
        <v>20</v>
      </c>
      <c r="F1216">
        <v>65.209999999999994</v>
      </c>
      <c r="G1216">
        <v>27.95</v>
      </c>
      <c r="H1216">
        <v>6.85</v>
      </c>
      <c r="I1216">
        <v>0</v>
      </c>
      <c r="J1216" s="1">
        <v>45928.061618692132</v>
      </c>
      <c r="K1216" t="s">
        <v>516</v>
      </c>
      <c r="L1216">
        <f>COUNTIF($A$2:A1216,A1216)</f>
        <v>28</v>
      </c>
    </row>
    <row r="1217" spans="1:12" x14ac:dyDescent="0.3">
      <c r="A1217">
        <v>12925</v>
      </c>
      <c r="B1217" t="s">
        <v>515</v>
      </c>
      <c r="C1217" t="s">
        <v>108</v>
      </c>
      <c r="D1217" t="s">
        <v>109</v>
      </c>
      <c r="E1217">
        <v>17</v>
      </c>
      <c r="F1217">
        <v>64.38</v>
      </c>
      <c r="G1217">
        <v>32.880000000000003</v>
      </c>
      <c r="H1217">
        <v>2.74</v>
      </c>
      <c r="I1217">
        <v>0</v>
      </c>
      <c r="J1217" s="1">
        <v>45928.061115891207</v>
      </c>
      <c r="K1217" t="s">
        <v>516</v>
      </c>
      <c r="L1217">
        <f>COUNTIF($A$2:A1217,A1217)</f>
        <v>29</v>
      </c>
    </row>
    <row r="1218" spans="1:12" x14ac:dyDescent="0.3">
      <c r="A1218">
        <v>12925</v>
      </c>
      <c r="B1218" t="s">
        <v>515</v>
      </c>
      <c r="C1218" t="s">
        <v>290</v>
      </c>
      <c r="D1218" t="s">
        <v>291</v>
      </c>
      <c r="E1218">
        <v>16</v>
      </c>
      <c r="F1218">
        <v>56.99</v>
      </c>
      <c r="G1218">
        <v>43.01</v>
      </c>
      <c r="H1218">
        <v>0</v>
      </c>
      <c r="I1218">
        <v>0</v>
      </c>
      <c r="J1218" s="1">
        <v>45928.060131041668</v>
      </c>
      <c r="K1218" t="s">
        <v>516</v>
      </c>
      <c r="L1218">
        <f>COUNTIF($A$2:A1218,A1218)</f>
        <v>30</v>
      </c>
    </row>
    <row r="1219" spans="1:12" x14ac:dyDescent="0.3">
      <c r="A1219">
        <v>12925</v>
      </c>
      <c r="B1219" t="s">
        <v>515</v>
      </c>
      <c r="C1219" t="s">
        <v>352</v>
      </c>
      <c r="D1219" t="s">
        <v>353</v>
      </c>
      <c r="E1219">
        <v>19</v>
      </c>
      <c r="F1219">
        <v>55.89</v>
      </c>
      <c r="G1219">
        <v>41.37</v>
      </c>
      <c r="H1219">
        <v>2.74</v>
      </c>
      <c r="I1219">
        <v>0</v>
      </c>
      <c r="J1219" s="1">
        <v>45928.060998252316</v>
      </c>
      <c r="K1219" t="s">
        <v>516</v>
      </c>
      <c r="L1219">
        <f>COUNTIF($A$2:A1219,A1219)</f>
        <v>31</v>
      </c>
    </row>
    <row r="1220" spans="1:12" x14ac:dyDescent="0.3">
      <c r="A1220">
        <v>12925</v>
      </c>
      <c r="B1220" t="s">
        <v>515</v>
      </c>
      <c r="C1220" t="s">
        <v>530</v>
      </c>
      <c r="D1220" t="s">
        <v>531</v>
      </c>
      <c r="E1220">
        <v>21</v>
      </c>
      <c r="F1220">
        <v>53.97</v>
      </c>
      <c r="G1220">
        <v>43.01</v>
      </c>
      <c r="H1220">
        <v>3.01</v>
      </c>
      <c r="I1220">
        <v>0.01</v>
      </c>
      <c r="J1220" s="1">
        <v>45928.061207511571</v>
      </c>
      <c r="K1220" t="s">
        <v>516</v>
      </c>
      <c r="L1220">
        <f>COUNTIF($A$2:A1220,A1220)</f>
        <v>32</v>
      </c>
    </row>
    <row r="1221" spans="1:12" x14ac:dyDescent="0.3">
      <c r="A1221">
        <v>12925</v>
      </c>
      <c r="B1221" t="s">
        <v>515</v>
      </c>
      <c r="C1221" t="s">
        <v>342</v>
      </c>
      <c r="D1221" t="s">
        <v>343</v>
      </c>
      <c r="E1221">
        <v>22</v>
      </c>
      <c r="F1221">
        <v>50.96</v>
      </c>
      <c r="G1221">
        <v>44.38</v>
      </c>
      <c r="H1221">
        <v>4.66</v>
      </c>
      <c r="I1221">
        <v>0</v>
      </c>
      <c r="J1221" s="1">
        <v>45928.060809918985</v>
      </c>
      <c r="K1221" t="s">
        <v>516</v>
      </c>
      <c r="L1221">
        <f>COUNTIF($A$2:A1221,A1221)</f>
        <v>33</v>
      </c>
    </row>
    <row r="1222" spans="1:12" x14ac:dyDescent="0.3">
      <c r="A1222">
        <v>12925</v>
      </c>
      <c r="B1222" t="s">
        <v>515</v>
      </c>
      <c r="C1222" t="s">
        <v>542</v>
      </c>
      <c r="D1222" t="s">
        <v>543</v>
      </c>
      <c r="E1222">
        <v>22</v>
      </c>
      <c r="F1222">
        <v>49.59</v>
      </c>
      <c r="G1222">
        <v>46.3</v>
      </c>
      <c r="H1222">
        <v>4.1100000000000003</v>
      </c>
      <c r="I1222">
        <v>0</v>
      </c>
      <c r="J1222" s="1">
        <v>45928.06148355324</v>
      </c>
      <c r="K1222" t="s">
        <v>516</v>
      </c>
      <c r="L1222">
        <f>COUNTIF($A$2:A1222,A1222)</f>
        <v>34</v>
      </c>
    </row>
    <row r="1223" spans="1:12" x14ac:dyDescent="0.3">
      <c r="A1223">
        <v>12925</v>
      </c>
      <c r="B1223" t="s">
        <v>515</v>
      </c>
      <c r="C1223" t="s">
        <v>517</v>
      </c>
      <c r="D1223" t="s">
        <v>518</v>
      </c>
      <c r="E1223">
        <v>19</v>
      </c>
      <c r="F1223">
        <v>44.11</v>
      </c>
      <c r="G1223">
        <v>55.07</v>
      </c>
      <c r="H1223">
        <v>0.82</v>
      </c>
      <c r="I1223">
        <v>0</v>
      </c>
      <c r="J1223" s="1">
        <v>45928.060172013887</v>
      </c>
      <c r="K1223" t="s">
        <v>516</v>
      </c>
      <c r="L1223">
        <f>COUNTIF($A$2:A1223,A1223)</f>
        <v>35</v>
      </c>
    </row>
    <row r="1224" spans="1:12" x14ac:dyDescent="0.3">
      <c r="A1224">
        <v>12925</v>
      </c>
      <c r="B1224" t="s">
        <v>515</v>
      </c>
      <c r="C1224" t="s">
        <v>534</v>
      </c>
      <c r="D1224" t="s">
        <v>535</v>
      </c>
      <c r="E1224">
        <v>27</v>
      </c>
      <c r="F1224">
        <v>39.450000000000003</v>
      </c>
      <c r="G1224">
        <v>55.34</v>
      </c>
      <c r="H1224">
        <v>5.21</v>
      </c>
      <c r="I1224">
        <v>0</v>
      </c>
      <c r="J1224" s="1">
        <v>45928.061271018516</v>
      </c>
      <c r="K1224" t="s">
        <v>516</v>
      </c>
      <c r="L1224">
        <f>COUNTIF($A$2:A1224,A1224)</f>
        <v>36</v>
      </c>
    </row>
    <row r="1225" spans="1:12" x14ac:dyDescent="0.3">
      <c r="A1225">
        <v>12925</v>
      </c>
      <c r="B1225" t="s">
        <v>515</v>
      </c>
      <c r="C1225" t="s">
        <v>519</v>
      </c>
      <c r="D1225" t="s">
        <v>519</v>
      </c>
      <c r="E1225">
        <v>24</v>
      </c>
      <c r="F1225">
        <v>29.59</v>
      </c>
      <c r="G1225">
        <v>68.77</v>
      </c>
      <c r="H1225">
        <v>1.64</v>
      </c>
      <c r="I1225">
        <v>0</v>
      </c>
      <c r="J1225" s="1">
        <v>45928.060212569442</v>
      </c>
      <c r="K1225" t="s">
        <v>516</v>
      </c>
      <c r="L1225">
        <f>COUNTIF($A$2:A1225,A1225)</f>
        <v>37</v>
      </c>
    </row>
    <row r="1226" spans="1:12" x14ac:dyDescent="0.3">
      <c r="A1226">
        <v>12925</v>
      </c>
      <c r="B1226" t="s">
        <v>515</v>
      </c>
      <c r="C1226" t="s">
        <v>536</v>
      </c>
      <c r="D1226" t="s">
        <v>537</v>
      </c>
      <c r="E1226">
        <v>33</v>
      </c>
      <c r="F1226">
        <v>24.66</v>
      </c>
      <c r="G1226">
        <v>67.400000000000006</v>
      </c>
      <c r="H1226">
        <v>7.95</v>
      </c>
      <c r="I1226">
        <v>0</v>
      </c>
      <c r="J1226" s="1">
        <v>45928.06131344907</v>
      </c>
      <c r="K1226" t="s">
        <v>516</v>
      </c>
      <c r="L1226">
        <f>COUNTIF($A$2:A1226,A1226)</f>
        <v>38</v>
      </c>
    </row>
    <row r="1227" spans="1:12" x14ac:dyDescent="0.3">
      <c r="A1227">
        <v>12925</v>
      </c>
      <c r="B1227" t="s">
        <v>515</v>
      </c>
      <c r="C1227" t="s">
        <v>327</v>
      </c>
      <c r="D1227" t="s">
        <v>328</v>
      </c>
      <c r="E1227">
        <v>1</v>
      </c>
      <c r="F1227">
        <v>22.74</v>
      </c>
      <c r="G1227">
        <v>0</v>
      </c>
      <c r="H1227">
        <v>0</v>
      </c>
      <c r="I1227">
        <v>77.260000000000005</v>
      </c>
      <c r="J1227" s="1">
        <v>45928.060096631947</v>
      </c>
      <c r="K1227" t="s">
        <v>516</v>
      </c>
      <c r="L1227">
        <f>COUNTIF($A$2:A1227,A1227)</f>
        <v>39</v>
      </c>
    </row>
    <row r="1228" spans="1:12" x14ac:dyDescent="0.3">
      <c r="A1228">
        <v>12925</v>
      </c>
      <c r="B1228" t="s">
        <v>515</v>
      </c>
      <c r="C1228" t="s">
        <v>522</v>
      </c>
      <c r="D1228" t="s">
        <v>523</v>
      </c>
      <c r="E1228">
        <v>0</v>
      </c>
      <c r="F1228">
        <v>14.79</v>
      </c>
      <c r="G1228">
        <v>82.74</v>
      </c>
      <c r="H1228">
        <v>2.4700000000000002</v>
      </c>
      <c r="I1228">
        <v>0</v>
      </c>
      <c r="J1228" s="1">
        <v>45928.060291284724</v>
      </c>
      <c r="K1228" t="s">
        <v>516</v>
      </c>
      <c r="L1228">
        <f>COUNTIF($A$2:A1228,A1228)</f>
        <v>40</v>
      </c>
    </row>
    <row r="1229" spans="1:12" x14ac:dyDescent="0.3">
      <c r="A1229">
        <v>12925</v>
      </c>
      <c r="B1229" t="s">
        <v>515</v>
      </c>
      <c r="C1229" t="s">
        <v>520</v>
      </c>
      <c r="D1229" t="s">
        <v>521</v>
      </c>
      <c r="E1229">
        <v>30</v>
      </c>
      <c r="F1229">
        <v>14.52</v>
      </c>
      <c r="G1229">
        <v>82.19</v>
      </c>
      <c r="H1229">
        <v>3.29</v>
      </c>
      <c r="I1229">
        <v>0</v>
      </c>
      <c r="J1229" s="1">
        <v>45928.060257511577</v>
      </c>
      <c r="K1229" t="s">
        <v>516</v>
      </c>
      <c r="L1229">
        <f>COUNTIF($A$2:A1229,A1229)</f>
        <v>41</v>
      </c>
    </row>
    <row r="1230" spans="1:12" x14ac:dyDescent="0.3">
      <c r="A1230">
        <v>12925</v>
      </c>
      <c r="B1230" t="s">
        <v>515</v>
      </c>
      <c r="C1230" t="s">
        <v>538</v>
      </c>
      <c r="D1230" t="s">
        <v>539</v>
      </c>
      <c r="E1230">
        <v>38</v>
      </c>
      <c r="F1230">
        <v>10.96</v>
      </c>
      <c r="G1230">
        <v>79.45</v>
      </c>
      <c r="H1230">
        <v>9.59</v>
      </c>
      <c r="I1230">
        <v>0</v>
      </c>
      <c r="J1230" s="1">
        <v>45928.06135408565</v>
      </c>
      <c r="K1230" t="s">
        <v>516</v>
      </c>
      <c r="L1230">
        <f>COUNTIF($A$2:A1230,A1230)</f>
        <v>42</v>
      </c>
    </row>
    <row r="1231" spans="1:12" x14ac:dyDescent="0.3">
      <c r="A1231">
        <v>12925</v>
      </c>
      <c r="B1231" t="s">
        <v>515</v>
      </c>
      <c r="C1231" t="s">
        <v>532</v>
      </c>
      <c r="D1231" t="s">
        <v>533</v>
      </c>
      <c r="E1231">
        <v>35</v>
      </c>
      <c r="F1231">
        <v>2.19</v>
      </c>
      <c r="G1231">
        <v>6.03</v>
      </c>
      <c r="H1231">
        <v>0.55000000000000004</v>
      </c>
      <c r="I1231">
        <v>91.23</v>
      </c>
      <c r="J1231" s="1">
        <v>45928.061228240738</v>
      </c>
      <c r="K1231" t="s">
        <v>516</v>
      </c>
      <c r="L1231">
        <f>COUNTIF($A$2:A1231,A1231)</f>
        <v>43</v>
      </c>
    </row>
    <row r="1232" spans="1:12" x14ac:dyDescent="0.3">
      <c r="A1232">
        <v>12925</v>
      </c>
      <c r="B1232" t="s">
        <v>515</v>
      </c>
      <c r="C1232" t="s">
        <v>346</v>
      </c>
      <c r="D1232" t="s">
        <v>347</v>
      </c>
      <c r="E1232">
        <v>0</v>
      </c>
      <c r="F1232">
        <v>1.64</v>
      </c>
      <c r="G1232">
        <v>0.55000000000000004</v>
      </c>
      <c r="H1232">
        <v>0</v>
      </c>
      <c r="I1232">
        <v>97.81</v>
      </c>
      <c r="J1232" s="1">
        <v>45928.060865763888</v>
      </c>
      <c r="K1232" t="s">
        <v>516</v>
      </c>
      <c r="L1232">
        <f>COUNTIF($A$2:A1232,A1232)</f>
        <v>44</v>
      </c>
    </row>
    <row r="1233" spans="1:12" x14ac:dyDescent="0.3">
      <c r="A1233">
        <v>12926</v>
      </c>
      <c r="B1233" t="s">
        <v>515</v>
      </c>
      <c r="C1233" t="s">
        <v>375</v>
      </c>
      <c r="D1233" t="s">
        <v>376</v>
      </c>
      <c r="E1233">
        <v>9</v>
      </c>
      <c r="F1233">
        <v>94.79</v>
      </c>
      <c r="G1233">
        <v>3.29</v>
      </c>
      <c r="H1233">
        <v>1.92</v>
      </c>
      <c r="I1233">
        <v>0</v>
      </c>
      <c r="J1233" s="1">
        <v>45928.061863541669</v>
      </c>
      <c r="K1233" t="s">
        <v>548</v>
      </c>
      <c r="L1233">
        <f>COUNTIF($A$2:A1233,A1233)</f>
        <v>1</v>
      </c>
    </row>
    <row r="1234" spans="1:12" x14ac:dyDescent="0.3">
      <c r="A1234">
        <v>12926</v>
      </c>
      <c r="B1234" t="s">
        <v>515</v>
      </c>
      <c r="C1234" t="s">
        <v>540</v>
      </c>
      <c r="D1234" t="s">
        <v>541</v>
      </c>
      <c r="E1234">
        <v>11</v>
      </c>
      <c r="F1234">
        <v>94.79</v>
      </c>
      <c r="G1234">
        <v>2.19</v>
      </c>
      <c r="H1234">
        <v>3.01</v>
      </c>
      <c r="I1234">
        <v>0.01</v>
      </c>
      <c r="J1234" s="1">
        <v>45928.062113587963</v>
      </c>
      <c r="K1234" t="s">
        <v>548</v>
      </c>
      <c r="L1234">
        <f>COUNTIF($A$2:A1234,A1234)</f>
        <v>2</v>
      </c>
    </row>
    <row r="1235" spans="1:12" x14ac:dyDescent="0.3">
      <c r="A1235">
        <v>12926</v>
      </c>
      <c r="B1235" t="s">
        <v>515</v>
      </c>
      <c r="C1235" t="s">
        <v>298</v>
      </c>
      <c r="D1235" t="s">
        <v>299</v>
      </c>
      <c r="E1235">
        <v>13</v>
      </c>
      <c r="F1235">
        <v>93.7</v>
      </c>
      <c r="G1235">
        <v>2.74</v>
      </c>
      <c r="H1235">
        <v>3.56</v>
      </c>
      <c r="I1235">
        <v>0</v>
      </c>
      <c r="J1235" s="1">
        <v>45928.062794375001</v>
      </c>
      <c r="K1235" t="s">
        <v>548</v>
      </c>
      <c r="L1235">
        <f>COUNTIF($A$2:A1235,A1235)</f>
        <v>3</v>
      </c>
    </row>
    <row r="1236" spans="1:12" x14ac:dyDescent="0.3">
      <c r="A1236">
        <v>12926</v>
      </c>
      <c r="B1236" t="s">
        <v>515</v>
      </c>
      <c r="C1236" t="s">
        <v>330</v>
      </c>
      <c r="D1236" t="s">
        <v>331</v>
      </c>
      <c r="E1236">
        <v>14</v>
      </c>
      <c r="F1236">
        <v>93.42</v>
      </c>
      <c r="G1236">
        <v>3.29</v>
      </c>
      <c r="H1236">
        <v>3.29</v>
      </c>
      <c r="I1236">
        <v>0</v>
      </c>
      <c r="J1236" s="1">
        <v>45928.063009351848</v>
      </c>
      <c r="K1236" t="s">
        <v>548</v>
      </c>
      <c r="L1236">
        <f>COUNTIF($A$2:A1236,A1236)</f>
        <v>4</v>
      </c>
    </row>
    <row r="1237" spans="1:12" x14ac:dyDescent="0.3">
      <c r="A1237">
        <v>12926</v>
      </c>
      <c r="B1237" t="s">
        <v>515</v>
      </c>
      <c r="C1237" t="s">
        <v>368</v>
      </c>
      <c r="D1237" t="s">
        <v>369</v>
      </c>
      <c r="E1237">
        <v>11</v>
      </c>
      <c r="F1237">
        <v>92.33</v>
      </c>
      <c r="G1237">
        <v>4.38</v>
      </c>
      <c r="H1237">
        <v>3.29</v>
      </c>
      <c r="I1237">
        <v>0</v>
      </c>
      <c r="J1237" s="1">
        <v>45928.062154722225</v>
      </c>
      <c r="K1237" t="s">
        <v>548</v>
      </c>
      <c r="L1237">
        <f>COUNTIF($A$2:A1237,A1237)</f>
        <v>5</v>
      </c>
    </row>
    <row r="1238" spans="1:12" x14ac:dyDescent="0.3">
      <c r="A1238">
        <v>12926</v>
      </c>
      <c r="B1238" t="s">
        <v>515</v>
      </c>
      <c r="C1238" t="s">
        <v>542</v>
      </c>
      <c r="D1238" t="s">
        <v>543</v>
      </c>
      <c r="E1238">
        <v>12</v>
      </c>
      <c r="F1238">
        <v>91.78</v>
      </c>
      <c r="G1238">
        <v>5.75</v>
      </c>
      <c r="H1238">
        <v>2.4700000000000002</v>
      </c>
      <c r="I1238">
        <v>0</v>
      </c>
      <c r="J1238" s="1">
        <v>45928.062096620371</v>
      </c>
      <c r="K1238" t="s">
        <v>548</v>
      </c>
      <c r="L1238">
        <f>COUNTIF($A$2:A1238,A1238)</f>
        <v>6</v>
      </c>
    </row>
    <row r="1239" spans="1:12" x14ac:dyDescent="0.3">
      <c r="A1239">
        <v>12926</v>
      </c>
      <c r="B1239" t="s">
        <v>515</v>
      </c>
      <c r="C1239" t="s">
        <v>526</v>
      </c>
      <c r="D1239" t="s">
        <v>527</v>
      </c>
      <c r="E1239">
        <v>17</v>
      </c>
      <c r="F1239">
        <v>89.04</v>
      </c>
      <c r="G1239">
        <v>7.4</v>
      </c>
      <c r="H1239">
        <v>3.56</v>
      </c>
      <c r="I1239">
        <v>0</v>
      </c>
      <c r="J1239" s="1">
        <v>45928.062836840276</v>
      </c>
      <c r="K1239" t="s">
        <v>548</v>
      </c>
      <c r="L1239">
        <f>COUNTIF($A$2:A1239,A1239)</f>
        <v>7</v>
      </c>
    </row>
    <row r="1240" spans="1:12" x14ac:dyDescent="0.3">
      <c r="A1240">
        <v>12926</v>
      </c>
      <c r="B1240" t="s">
        <v>515</v>
      </c>
      <c r="C1240" t="s">
        <v>296</v>
      </c>
      <c r="D1240" t="s">
        <v>297</v>
      </c>
      <c r="E1240">
        <v>15</v>
      </c>
      <c r="F1240">
        <v>88.77</v>
      </c>
      <c r="G1240">
        <v>7.4</v>
      </c>
      <c r="H1240">
        <v>3.84</v>
      </c>
      <c r="I1240">
        <v>0</v>
      </c>
      <c r="J1240" s="1">
        <v>45928.06288179398</v>
      </c>
      <c r="K1240" t="s">
        <v>548</v>
      </c>
      <c r="L1240">
        <f>COUNTIF($A$2:A1240,A1240)</f>
        <v>8</v>
      </c>
    </row>
    <row r="1241" spans="1:12" x14ac:dyDescent="0.3">
      <c r="A1241">
        <v>12926</v>
      </c>
      <c r="B1241" t="s">
        <v>515</v>
      </c>
      <c r="C1241" t="s">
        <v>294</v>
      </c>
      <c r="D1241" t="s">
        <v>295</v>
      </c>
      <c r="E1241">
        <v>0</v>
      </c>
      <c r="F1241">
        <v>87.67</v>
      </c>
      <c r="G1241">
        <v>8.77</v>
      </c>
      <c r="H1241">
        <v>3.56</v>
      </c>
      <c r="I1241">
        <v>0</v>
      </c>
      <c r="J1241" s="1">
        <v>45928.06303834491</v>
      </c>
      <c r="K1241" t="s">
        <v>548</v>
      </c>
      <c r="L1241">
        <f>COUNTIF($A$2:A1241,A1241)</f>
        <v>9</v>
      </c>
    </row>
    <row r="1242" spans="1:12" x14ac:dyDescent="0.3">
      <c r="A1242">
        <v>12926</v>
      </c>
      <c r="B1242" t="s">
        <v>515</v>
      </c>
      <c r="C1242" t="s">
        <v>292</v>
      </c>
      <c r="D1242" t="s">
        <v>293</v>
      </c>
      <c r="E1242">
        <v>15</v>
      </c>
      <c r="F1242">
        <v>86.58</v>
      </c>
      <c r="G1242">
        <v>9.32</v>
      </c>
      <c r="H1242">
        <v>4.1100000000000003</v>
      </c>
      <c r="I1242">
        <v>0</v>
      </c>
      <c r="J1242" s="1">
        <v>45928.063126932873</v>
      </c>
      <c r="K1242" t="s">
        <v>548</v>
      </c>
      <c r="L1242">
        <f>COUNTIF($A$2:A1242,A1242)</f>
        <v>10</v>
      </c>
    </row>
    <row r="1243" spans="1:12" x14ac:dyDescent="0.3">
      <c r="A1243">
        <v>12926</v>
      </c>
      <c r="B1243" t="s">
        <v>515</v>
      </c>
      <c r="C1243" t="s">
        <v>279</v>
      </c>
      <c r="D1243" t="s">
        <v>280</v>
      </c>
      <c r="E1243">
        <v>18</v>
      </c>
      <c r="F1243">
        <v>84.11</v>
      </c>
      <c r="G1243">
        <v>10.68</v>
      </c>
      <c r="H1243">
        <v>5.21</v>
      </c>
      <c r="I1243">
        <v>0</v>
      </c>
      <c r="J1243" s="1">
        <v>45928.062471215278</v>
      </c>
      <c r="K1243" t="s">
        <v>548</v>
      </c>
      <c r="L1243">
        <f>COUNTIF($A$2:A1243,A1243)</f>
        <v>11</v>
      </c>
    </row>
    <row r="1244" spans="1:12" x14ac:dyDescent="0.3">
      <c r="A1244">
        <v>12926</v>
      </c>
      <c r="B1244" t="s">
        <v>515</v>
      </c>
      <c r="C1244" t="s">
        <v>334</v>
      </c>
      <c r="D1244" t="s">
        <v>335</v>
      </c>
      <c r="E1244">
        <v>18</v>
      </c>
      <c r="F1244">
        <v>83.84</v>
      </c>
      <c r="G1244">
        <v>12.05</v>
      </c>
      <c r="H1244">
        <v>4.1100000000000003</v>
      </c>
      <c r="I1244">
        <v>0</v>
      </c>
      <c r="J1244" s="1">
        <v>45928.062923738427</v>
      </c>
      <c r="K1244" t="s">
        <v>548</v>
      </c>
      <c r="L1244">
        <f>COUNTIF($A$2:A1244,A1244)</f>
        <v>12</v>
      </c>
    </row>
    <row r="1245" spans="1:12" x14ac:dyDescent="0.3">
      <c r="A1245">
        <v>12926</v>
      </c>
      <c r="B1245" t="s">
        <v>515</v>
      </c>
      <c r="C1245" t="s">
        <v>350</v>
      </c>
      <c r="D1245" t="s">
        <v>351</v>
      </c>
      <c r="E1245">
        <v>18</v>
      </c>
      <c r="F1245">
        <v>83.29</v>
      </c>
      <c r="G1245">
        <v>11.23</v>
      </c>
      <c r="H1245">
        <v>5.48</v>
      </c>
      <c r="I1245">
        <v>0</v>
      </c>
      <c r="J1245" s="1">
        <v>45928.062555462966</v>
      </c>
      <c r="K1245" t="s">
        <v>548</v>
      </c>
      <c r="L1245">
        <f>COUNTIF($A$2:A1245,A1245)</f>
        <v>13</v>
      </c>
    </row>
    <row r="1246" spans="1:12" x14ac:dyDescent="0.3">
      <c r="A1246">
        <v>12926</v>
      </c>
      <c r="B1246" t="s">
        <v>515</v>
      </c>
      <c r="C1246" t="s">
        <v>524</v>
      </c>
      <c r="D1246" t="s">
        <v>525</v>
      </c>
      <c r="E1246">
        <v>18</v>
      </c>
      <c r="F1246">
        <v>82.19</v>
      </c>
      <c r="G1246">
        <v>14.25</v>
      </c>
      <c r="H1246">
        <v>3.56</v>
      </c>
      <c r="I1246">
        <v>0</v>
      </c>
      <c r="J1246" s="1">
        <v>45928.063084340276</v>
      </c>
      <c r="K1246" t="s">
        <v>548</v>
      </c>
      <c r="L1246">
        <f>COUNTIF($A$2:A1246,A1246)</f>
        <v>14</v>
      </c>
    </row>
    <row r="1247" spans="1:12" x14ac:dyDescent="0.3">
      <c r="A1247">
        <v>12926</v>
      </c>
      <c r="B1247" t="s">
        <v>515</v>
      </c>
      <c r="C1247" t="s">
        <v>522</v>
      </c>
      <c r="D1247" t="s">
        <v>523</v>
      </c>
      <c r="E1247">
        <v>17</v>
      </c>
      <c r="F1247">
        <v>81.64</v>
      </c>
      <c r="G1247">
        <v>13.7</v>
      </c>
      <c r="H1247">
        <v>4.66</v>
      </c>
      <c r="I1247">
        <v>0</v>
      </c>
      <c r="J1247" s="1">
        <v>45928.063148414352</v>
      </c>
      <c r="K1247" t="s">
        <v>548</v>
      </c>
      <c r="L1247">
        <f>COUNTIF($A$2:A1247,A1247)</f>
        <v>15</v>
      </c>
    </row>
    <row r="1248" spans="1:12" x14ac:dyDescent="0.3">
      <c r="A1248">
        <v>12926</v>
      </c>
      <c r="B1248" t="s">
        <v>515</v>
      </c>
      <c r="C1248" t="s">
        <v>332</v>
      </c>
      <c r="D1248" t="s">
        <v>333</v>
      </c>
      <c r="E1248">
        <v>18</v>
      </c>
      <c r="F1248">
        <v>81.37</v>
      </c>
      <c r="G1248">
        <v>14.52</v>
      </c>
      <c r="H1248">
        <v>4.1100000000000003</v>
      </c>
      <c r="I1248">
        <v>0</v>
      </c>
      <c r="J1248" s="1">
        <v>45928.062964872683</v>
      </c>
      <c r="K1248" t="s">
        <v>548</v>
      </c>
      <c r="L1248">
        <f>COUNTIF($A$2:A1248,A1248)</f>
        <v>16</v>
      </c>
    </row>
    <row r="1249" spans="1:12" x14ac:dyDescent="0.3">
      <c r="A1249">
        <v>12926</v>
      </c>
      <c r="B1249" t="s">
        <v>515</v>
      </c>
      <c r="C1249" t="s">
        <v>352</v>
      </c>
      <c r="D1249" t="s">
        <v>353</v>
      </c>
      <c r="E1249">
        <v>0</v>
      </c>
      <c r="F1249">
        <v>79.45</v>
      </c>
      <c r="G1249">
        <v>15.07</v>
      </c>
      <c r="H1249">
        <v>5.48</v>
      </c>
      <c r="I1249">
        <v>0</v>
      </c>
      <c r="J1249" s="1">
        <v>45928.062504606482</v>
      </c>
      <c r="K1249" t="s">
        <v>548</v>
      </c>
      <c r="L1249">
        <f>COUNTIF($A$2:A1249,A1249)</f>
        <v>17</v>
      </c>
    </row>
    <row r="1250" spans="1:12" x14ac:dyDescent="0.3">
      <c r="A1250">
        <v>12926</v>
      </c>
      <c r="B1250" t="s">
        <v>515</v>
      </c>
      <c r="C1250" t="s">
        <v>348</v>
      </c>
      <c r="D1250" t="s">
        <v>349</v>
      </c>
      <c r="E1250">
        <v>0</v>
      </c>
      <c r="F1250">
        <v>78.63</v>
      </c>
      <c r="G1250">
        <v>15.34</v>
      </c>
      <c r="H1250">
        <v>6.03</v>
      </c>
      <c r="I1250">
        <v>0</v>
      </c>
      <c r="J1250" s="1">
        <v>45928.062587129629</v>
      </c>
      <c r="K1250" t="s">
        <v>548</v>
      </c>
      <c r="L1250">
        <f>COUNTIF($A$2:A1250,A1250)</f>
        <v>18</v>
      </c>
    </row>
    <row r="1251" spans="1:12" x14ac:dyDescent="0.3">
      <c r="A1251">
        <v>12926</v>
      </c>
      <c r="B1251" t="s">
        <v>515</v>
      </c>
      <c r="C1251" t="s">
        <v>344</v>
      </c>
      <c r="D1251" t="s">
        <v>345</v>
      </c>
      <c r="E1251">
        <v>22</v>
      </c>
      <c r="F1251">
        <v>72.05</v>
      </c>
      <c r="G1251">
        <v>21.64</v>
      </c>
      <c r="H1251">
        <v>6.3</v>
      </c>
      <c r="I1251">
        <v>0.01</v>
      </c>
      <c r="J1251" s="1">
        <v>45928.062625335646</v>
      </c>
      <c r="K1251" t="s">
        <v>548</v>
      </c>
      <c r="L1251">
        <f>COUNTIF($A$2:A1251,A1251)</f>
        <v>19</v>
      </c>
    </row>
    <row r="1252" spans="1:12" x14ac:dyDescent="0.3">
      <c r="A1252">
        <v>12926</v>
      </c>
      <c r="B1252" t="s">
        <v>515</v>
      </c>
      <c r="C1252" t="s">
        <v>538</v>
      </c>
      <c r="D1252" t="s">
        <v>539</v>
      </c>
      <c r="E1252">
        <v>20</v>
      </c>
      <c r="F1252">
        <v>71.78</v>
      </c>
      <c r="G1252">
        <v>24.38</v>
      </c>
      <c r="H1252">
        <v>3.84</v>
      </c>
      <c r="I1252">
        <v>0</v>
      </c>
      <c r="J1252" s="1">
        <v>45928.062175601852</v>
      </c>
      <c r="K1252" t="s">
        <v>548</v>
      </c>
      <c r="L1252">
        <f>COUNTIF($A$2:A1252,A1252)</f>
        <v>20</v>
      </c>
    </row>
    <row r="1253" spans="1:12" x14ac:dyDescent="0.3">
      <c r="A1253">
        <v>12926</v>
      </c>
      <c r="B1253" t="s">
        <v>515</v>
      </c>
      <c r="C1253" t="s">
        <v>372</v>
      </c>
      <c r="D1253" t="s">
        <v>373</v>
      </c>
      <c r="E1253">
        <v>17</v>
      </c>
      <c r="F1253">
        <v>71.23</v>
      </c>
      <c r="G1253">
        <v>26.03</v>
      </c>
      <c r="H1253">
        <v>2.74</v>
      </c>
      <c r="I1253">
        <v>0</v>
      </c>
      <c r="J1253" s="1">
        <v>45928.061954201388</v>
      </c>
      <c r="K1253" t="s">
        <v>548</v>
      </c>
      <c r="L1253">
        <f>COUNTIF($A$2:A1253,A1253)</f>
        <v>21</v>
      </c>
    </row>
    <row r="1254" spans="1:12" x14ac:dyDescent="0.3">
      <c r="A1254">
        <v>12926</v>
      </c>
      <c r="B1254" t="s">
        <v>515</v>
      </c>
      <c r="C1254" t="s">
        <v>110</v>
      </c>
      <c r="D1254" t="s">
        <v>111</v>
      </c>
      <c r="E1254">
        <v>21</v>
      </c>
      <c r="F1254">
        <v>66.58</v>
      </c>
      <c r="G1254">
        <v>28.49</v>
      </c>
      <c r="H1254">
        <v>4.93</v>
      </c>
      <c r="I1254">
        <v>0</v>
      </c>
      <c r="J1254" s="1">
        <v>45928.062384780096</v>
      </c>
      <c r="K1254" t="s">
        <v>548</v>
      </c>
      <c r="L1254">
        <f>COUNTIF($A$2:A1254,A1254)</f>
        <v>22</v>
      </c>
    </row>
    <row r="1255" spans="1:12" x14ac:dyDescent="0.3">
      <c r="A1255">
        <v>12926</v>
      </c>
      <c r="B1255" t="s">
        <v>515</v>
      </c>
      <c r="C1255" t="s">
        <v>287</v>
      </c>
      <c r="D1255" t="s">
        <v>288</v>
      </c>
      <c r="E1255">
        <v>16</v>
      </c>
      <c r="F1255">
        <v>63.56</v>
      </c>
      <c r="G1255">
        <v>7.12</v>
      </c>
      <c r="H1255">
        <v>6.03</v>
      </c>
      <c r="I1255">
        <v>23.29</v>
      </c>
      <c r="J1255" s="1">
        <v>45928.063332129626</v>
      </c>
      <c r="K1255" t="s">
        <v>548</v>
      </c>
      <c r="L1255">
        <f>COUNTIF($A$2:A1255,A1255)</f>
        <v>23</v>
      </c>
    </row>
    <row r="1256" spans="1:12" x14ac:dyDescent="0.3">
      <c r="A1256">
        <v>12926</v>
      </c>
      <c r="B1256" t="s">
        <v>515</v>
      </c>
      <c r="C1256" t="s">
        <v>342</v>
      </c>
      <c r="D1256" t="s">
        <v>343</v>
      </c>
      <c r="E1256">
        <v>24</v>
      </c>
      <c r="F1256">
        <v>61.64</v>
      </c>
      <c r="G1256">
        <v>31.51</v>
      </c>
      <c r="H1256">
        <v>6.85</v>
      </c>
      <c r="I1256">
        <v>0</v>
      </c>
      <c r="J1256" s="1">
        <v>45928.062670810184</v>
      </c>
      <c r="K1256" t="s">
        <v>548</v>
      </c>
      <c r="L1256">
        <f>COUNTIF($A$2:A1256,A1256)</f>
        <v>24</v>
      </c>
    </row>
    <row r="1257" spans="1:12" x14ac:dyDescent="0.3">
      <c r="A1257">
        <v>12926</v>
      </c>
      <c r="B1257" t="s">
        <v>515</v>
      </c>
      <c r="C1257" t="s">
        <v>536</v>
      </c>
      <c r="D1257" t="s">
        <v>537</v>
      </c>
      <c r="E1257">
        <v>22</v>
      </c>
      <c r="F1257">
        <v>60.82</v>
      </c>
      <c r="G1257">
        <v>35.340000000000003</v>
      </c>
      <c r="H1257">
        <v>3.56</v>
      </c>
      <c r="I1257">
        <v>0.28000000000000003</v>
      </c>
      <c r="J1257" s="1">
        <v>45928.062197025465</v>
      </c>
      <c r="K1257" t="s">
        <v>548</v>
      </c>
      <c r="L1257">
        <f>COUNTIF($A$2:A1257,A1257)</f>
        <v>25</v>
      </c>
    </row>
    <row r="1258" spans="1:12" x14ac:dyDescent="0.3">
      <c r="A1258">
        <v>12926</v>
      </c>
      <c r="B1258" t="s">
        <v>515</v>
      </c>
      <c r="C1258" t="s">
        <v>546</v>
      </c>
      <c r="D1258" t="s">
        <v>547</v>
      </c>
      <c r="E1258">
        <v>20</v>
      </c>
      <c r="F1258">
        <v>60.27</v>
      </c>
      <c r="G1258">
        <v>36.71</v>
      </c>
      <c r="H1258">
        <v>3.01</v>
      </c>
      <c r="I1258">
        <v>0.01</v>
      </c>
      <c r="J1258" s="1">
        <v>45928.061974594908</v>
      </c>
      <c r="K1258" t="s">
        <v>548</v>
      </c>
      <c r="L1258">
        <f>COUNTIF($A$2:A1258,A1258)</f>
        <v>26</v>
      </c>
    </row>
    <row r="1259" spans="1:12" x14ac:dyDescent="0.3">
      <c r="A1259">
        <v>12926</v>
      </c>
      <c r="B1259" t="s">
        <v>515</v>
      </c>
      <c r="C1259" t="s">
        <v>519</v>
      </c>
      <c r="D1259" t="s">
        <v>519</v>
      </c>
      <c r="E1259">
        <v>24</v>
      </c>
      <c r="F1259">
        <v>58.36</v>
      </c>
      <c r="G1259">
        <v>34.520000000000003</v>
      </c>
      <c r="H1259">
        <v>7.12</v>
      </c>
      <c r="I1259">
        <v>0</v>
      </c>
      <c r="J1259" s="1">
        <v>45928.06321177083</v>
      </c>
      <c r="K1259" t="s">
        <v>548</v>
      </c>
      <c r="L1259">
        <f>COUNTIF($A$2:A1259,A1259)</f>
        <v>27</v>
      </c>
    </row>
    <row r="1260" spans="1:12" x14ac:dyDescent="0.3">
      <c r="A1260">
        <v>12926</v>
      </c>
      <c r="B1260" t="s">
        <v>515</v>
      </c>
      <c r="C1260" t="s">
        <v>336</v>
      </c>
      <c r="D1260" t="s">
        <v>337</v>
      </c>
      <c r="E1260">
        <v>26</v>
      </c>
      <c r="F1260">
        <v>56.71</v>
      </c>
      <c r="G1260">
        <v>36.159999999999997</v>
      </c>
      <c r="H1260">
        <v>7.12</v>
      </c>
      <c r="I1260">
        <v>0.01</v>
      </c>
      <c r="J1260" s="1">
        <v>45928.062748495373</v>
      </c>
      <c r="K1260" t="s">
        <v>548</v>
      </c>
      <c r="L1260">
        <f>COUNTIF($A$2:A1260,A1260)</f>
        <v>28</v>
      </c>
    </row>
    <row r="1261" spans="1:12" x14ac:dyDescent="0.3">
      <c r="A1261">
        <v>12926</v>
      </c>
      <c r="B1261" t="s">
        <v>515</v>
      </c>
      <c r="C1261" t="s">
        <v>370</v>
      </c>
      <c r="D1261" t="s">
        <v>371</v>
      </c>
      <c r="E1261">
        <v>22</v>
      </c>
      <c r="F1261">
        <v>55.89</v>
      </c>
      <c r="G1261">
        <v>39.729999999999997</v>
      </c>
      <c r="H1261">
        <v>4.38</v>
      </c>
      <c r="I1261">
        <v>0</v>
      </c>
      <c r="J1261" s="1">
        <v>45928.062050902779</v>
      </c>
      <c r="K1261" t="s">
        <v>548</v>
      </c>
      <c r="L1261">
        <f>COUNTIF($A$2:A1261,A1261)</f>
        <v>29</v>
      </c>
    </row>
    <row r="1262" spans="1:12" x14ac:dyDescent="0.3">
      <c r="A1262">
        <v>12926</v>
      </c>
      <c r="B1262" t="s">
        <v>515</v>
      </c>
      <c r="C1262" t="s">
        <v>300</v>
      </c>
      <c r="D1262" t="s">
        <v>301</v>
      </c>
      <c r="E1262">
        <v>29</v>
      </c>
      <c r="F1262">
        <v>53.7</v>
      </c>
      <c r="G1262">
        <v>36.71</v>
      </c>
      <c r="H1262">
        <v>9.59</v>
      </c>
      <c r="I1262">
        <v>0</v>
      </c>
      <c r="J1262" s="1">
        <v>45928.062714282409</v>
      </c>
      <c r="K1262" t="s">
        <v>548</v>
      </c>
      <c r="L1262">
        <f>COUNTIF($A$2:A1262,A1262)</f>
        <v>30</v>
      </c>
    </row>
    <row r="1263" spans="1:12" x14ac:dyDescent="0.3">
      <c r="A1263">
        <v>12926</v>
      </c>
      <c r="B1263" t="s">
        <v>515</v>
      </c>
      <c r="C1263" t="s">
        <v>374</v>
      </c>
      <c r="D1263" t="s">
        <v>374</v>
      </c>
      <c r="E1263">
        <v>22</v>
      </c>
      <c r="F1263">
        <v>51.78</v>
      </c>
      <c r="G1263">
        <v>46.3</v>
      </c>
      <c r="H1263">
        <v>1.92</v>
      </c>
      <c r="I1263">
        <v>0</v>
      </c>
      <c r="J1263" s="1">
        <v>45928.061909849537</v>
      </c>
      <c r="K1263" t="s">
        <v>548</v>
      </c>
      <c r="L1263">
        <f>COUNTIF($A$2:A1263,A1263)</f>
        <v>31</v>
      </c>
    </row>
    <row r="1264" spans="1:12" x14ac:dyDescent="0.3">
      <c r="A1264">
        <v>12926</v>
      </c>
      <c r="B1264" t="s">
        <v>515</v>
      </c>
      <c r="C1264" t="s">
        <v>340</v>
      </c>
      <c r="D1264" t="s">
        <v>341</v>
      </c>
      <c r="E1264">
        <v>29</v>
      </c>
      <c r="F1264">
        <v>51.51</v>
      </c>
      <c r="G1264">
        <v>39.450000000000003</v>
      </c>
      <c r="H1264">
        <v>9.0399999999999991</v>
      </c>
      <c r="I1264">
        <v>0</v>
      </c>
      <c r="J1264" s="1">
        <v>45928.0627327662</v>
      </c>
      <c r="K1264" t="s">
        <v>548</v>
      </c>
      <c r="L1264">
        <f>COUNTIF($A$2:A1264,A1264)</f>
        <v>32</v>
      </c>
    </row>
    <row r="1265" spans="1:12" x14ac:dyDescent="0.3">
      <c r="A1265">
        <v>12926</v>
      </c>
      <c r="B1265" t="s">
        <v>515</v>
      </c>
      <c r="C1265" t="s">
        <v>534</v>
      </c>
      <c r="D1265" t="s">
        <v>535</v>
      </c>
      <c r="E1265">
        <v>25</v>
      </c>
      <c r="F1265">
        <v>50.41</v>
      </c>
      <c r="G1265">
        <v>45.48</v>
      </c>
      <c r="H1265">
        <v>4.1100000000000003</v>
      </c>
      <c r="I1265">
        <v>0</v>
      </c>
      <c r="J1265" s="1">
        <v>45928.062239780091</v>
      </c>
      <c r="K1265" t="s">
        <v>548</v>
      </c>
      <c r="L1265">
        <f>COUNTIF($A$2:A1265,A1265)</f>
        <v>33</v>
      </c>
    </row>
    <row r="1266" spans="1:12" x14ac:dyDescent="0.3">
      <c r="A1266">
        <v>12926</v>
      </c>
      <c r="B1266" t="s">
        <v>515</v>
      </c>
      <c r="C1266" t="s">
        <v>520</v>
      </c>
      <c r="D1266" t="s">
        <v>521</v>
      </c>
      <c r="E1266">
        <v>25</v>
      </c>
      <c r="F1266">
        <v>49.59</v>
      </c>
      <c r="G1266">
        <v>44.66</v>
      </c>
      <c r="H1266">
        <v>5.75</v>
      </c>
      <c r="I1266">
        <v>0</v>
      </c>
      <c r="J1266" s="1">
        <v>45928.063168356479</v>
      </c>
      <c r="K1266" t="s">
        <v>548</v>
      </c>
      <c r="L1266">
        <f>COUNTIF($A$2:A1266,A1266)</f>
        <v>34</v>
      </c>
    </row>
    <row r="1267" spans="1:12" x14ac:dyDescent="0.3">
      <c r="A1267">
        <v>12926</v>
      </c>
      <c r="B1267" t="s">
        <v>515</v>
      </c>
      <c r="C1267" t="s">
        <v>517</v>
      </c>
      <c r="D1267" t="s">
        <v>518</v>
      </c>
      <c r="E1267">
        <v>28</v>
      </c>
      <c r="F1267">
        <v>47.95</v>
      </c>
      <c r="G1267">
        <v>43.84</v>
      </c>
      <c r="H1267">
        <v>8.2200000000000006</v>
      </c>
      <c r="I1267">
        <v>0</v>
      </c>
      <c r="J1267" s="1">
        <v>45928.063253298613</v>
      </c>
      <c r="K1267" t="s">
        <v>548</v>
      </c>
      <c r="L1267">
        <f>COUNTIF($A$2:A1267,A1267)</f>
        <v>35</v>
      </c>
    </row>
    <row r="1268" spans="1:12" x14ac:dyDescent="0.3">
      <c r="A1268">
        <v>12926</v>
      </c>
      <c r="B1268" t="s">
        <v>515</v>
      </c>
      <c r="C1268" t="s">
        <v>544</v>
      </c>
      <c r="D1268" t="s">
        <v>545</v>
      </c>
      <c r="E1268">
        <v>0</v>
      </c>
      <c r="F1268">
        <v>46.85</v>
      </c>
      <c r="G1268">
        <v>49.86</v>
      </c>
      <c r="H1268">
        <v>3.29</v>
      </c>
      <c r="I1268">
        <v>0</v>
      </c>
      <c r="J1268" s="1">
        <v>45928.062003831015</v>
      </c>
      <c r="K1268" t="s">
        <v>548</v>
      </c>
      <c r="L1268">
        <f>COUNTIF($A$2:A1268,A1268)</f>
        <v>36</v>
      </c>
    </row>
    <row r="1269" spans="1:12" x14ac:dyDescent="0.3">
      <c r="A1269">
        <v>12926</v>
      </c>
      <c r="B1269" t="s">
        <v>515</v>
      </c>
      <c r="C1269" t="s">
        <v>530</v>
      </c>
      <c r="D1269" t="s">
        <v>531</v>
      </c>
      <c r="E1269">
        <v>28</v>
      </c>
      <c r="F1269">
        <v>41.92</v>
      </c>
      <c r="G1269">
        <v>53.42</v>
      </c>
      <c r="H1269">
        <v>4.66</v>
      </c>
      <c r="I1269">
        <v>0</v>
      </c>
      <c r="J1269" s="1">
        <v>45928.062299837962</v>
      </c>
      <c r="K1269" t="s">
        <v>548</v>
      </c>
      <c r="L1269">
        <f>COUNTIF($A$2:A1269,A1269)</f>
        <v>37</v>
      </c>
    </row>
    <row r="1270" spans="1:12" x14ac:dyDescent="0.3">
      <c r="A1270">
        <v>12926</v>
      </c>
      <c r="B1270" t="s">
        <v>515</v>
      </c>
      <c r="C1270" t="s">
        <v>290</v>
      </c>
      <c r="D1270" t="s">
        <v>291</v>
      </c>
      <c r="E1270">
        <v>29</v>
      </c>
      <c r="F1270">
        <v>40.549999999999997</v>
      </c>
      <c r="G1270">
        <v>51.23</v>
      </c>
      <c r="H1270">
        <v>8.2200000000000006</v>
      </c>
      <c r="I1270">
        <v>0</v>
      </c>
      <c r="J1270" s="1">
        <v>45928.063295856482</v>
      </c>
      <c r="K1270" t="s">
        <v>548</v>
      </c>
      <c r="L1270">
        <f>COUNTIF($A$2:A1270,A1270)</f>
        <v>38</v>
      </c>
    </row>
    <row r="1271" spans="1:12" x14ac:dyDescent="0.3">
      <c r="A1271">
        <v>12926</v>
      </c>
      <c r="B1271" t="s">
        <v>515</v>
      </c>
      <c r="C1271" t="s">
        <v>528</v>
      </c>
      <c r="D1271" t="s">
        <v>529</v>
      </c>
      <c r="E1271">
        <v>34</v>
      </c>
      <c r="F1271">
        <v>23.01</v>
      </c>
      <c r="G1271">
        <v>70.959999999999994</v>
      </c>
      <c r="H1271">
        <v>6.03</v>
      </c>
      <c r="I1271">
        <v>0</v>
      </c>
      <c r="J1271" s="1">
        <v>45928.062342581019</v>
      </c>
      <c r="K1271" t="s">
        <v>548</v>
      </c>
      <c r="L1271">
        <f>COUNTIF($A$2:A1271,A1271)</f>
        <v>39</v>
      </c>
    </row>
    <row r="1272" spans="1:12" x14ac:dyDescent="0.3">
      <c r="A1272">
        <v>12926</v>
      </c>
      <c r="B1272" t="s">
        <v>515</v>
      </c>
      <c r="C1272" t="s">
        <v>327</v>
      </c>
      <c r="D1272" t="s">
        <v>328</v>
      </c>
      <c r="E1272">
        <v>5</v>
      </c>
      <c r="F1272">
        <v>20.55</v>
      </c>
      <c r="G1272">
        <v>0.55000000000000004</v>
      </c>
      <c r="H1272">
        <v>1.1000000000000001</v>
      </c>
      <c r="I1272">
        <v>77.8</v>
      </c>
      <c r="J1272" s="1">
        <v>45928.063315324071</v>
      </c>
      <c r="K1272" t="s">
        <v>548</v>
      </c>
      <c r="L1272">
        <f>COUNTIF($A$2:A1272,A1272)</f>
        <v>40</v>
      </c>
    </row>
    <row r="1273" spans="1:12" x14ac:dyDescent="0.3">
      <c r="A1273">
        <v>12926</v>
      </c>
      <c r="B1273" t="s">
        <v>515</v>
      </c>
      <c r="C1273" t="s">
        <v>281</v>
      </c>
      <c r="D1273" t="s">
        <v>282</v>
      </c>
      <c r="E1273">
        <v>48</v>
      </c>
      <c r="F1273">
        <v>6.85</v>
      </c>
      <c r="G1273">
        <v>84.38</v>
      </c>
      <c r="H1273">
        <v>8.77</v>
      </c>
      <c r="I1273">
        <v>0</v>
      </c>
      <c r="J1273" s="1">
        <v>45928.062427974539</v>
      </c>
      <c r="K1273" t="s">
        <v>548</v>
      </c>
      <c r="L1273">
        <f>COUNTIF($A$2:A1273,A1273)</f>
        <v>41</v>
      </c>
    </row>
    <row r="1274" spans="1:12" x14ac:dyDescent="0.3">
      <c r="A1274">
        <v>12926</v>
      </c>
      <c r="B1274" t="s">
        <v>515</v>
      </c>
      <c r="C1274" t="s">
        <v>532</v>
      </c>
      <c r="D1274" t="s">
        <v>533</v>
      </c>
      <c r="E1274">
        <v>19</v>
      </c>
      <c r="F1274">
        <v>4.1100000000000003</v>
      </c>
      <c r="G1274">
        <v>4.38</v>
      </c>
      <c r="H1274">
        <v>0.27</v>
      </c>
      <c r="I1274">
        <v>91.24</v>
      </c>
      <c r="J1274" s="1">
        <v>45928.062256145837</v>
      </c>
      <c r="K1274" t="s">
        <v>548</v>
      </c>
      <c r="L1274">
        <f>COUNTIF($A$2:A1274,A1274)</f>
        <v>42</v>
      </c>
    </row>
    <row r="1275" spans="1:12" x14ac:dyDescent="0.3">
      <c r="A1275">
        <v>12926</v>
      </c>
      <c r="B1275" t="s">
        <v>515</v>
      </c>
      <c r="C1275" t="s">
        <v>346</v>
      </c>
      <c r="D1275" t="s">
        <v>347</v>
      </c>
      <c r="E1275">
        <v>14</v>
      </c>
      <c r="F1275">
        <v>1.64</v>
      </c>
      <c r="G1275">
        <v>0.55000000000000004</v>
      </c>
      <c r="H1275">
        <v>0</v>
      </c>
      <c r="I1275">
        <v>97.81</v>
      </c>
      <c r="J1275" s="1">
        <v>45928.062606898151</v>
      </c>
      <c r="K1275" t="s">
        <v>548</v>
      </c>
      <c r="L1275">
        <f>COUNTIF($A$2:A1275,A1275)</f>
        <v>43</v>
      </c>
    </row>
    <row r="1276" spans="1:12" x14ac:dyDescent="0.3">
      <c r="A1276">
        <v>12951</v>
      </c>
      <c r="B1276" t="s">
        <v>286</v>
      </c>
      <c r="C1276" t="s">
        <v>287</v>
      </c>
      <c r="D1276" t="s">
        <v>288</v>
      </c>
      <c r="E1276">
        <v>7</v>
      </c>
      <c r="F1276">
        <v>98.63</v>
      </c>
      <c r="G1276">
        <v>0.27</v>
      </c>
      <c r="H1276">
        <v>1.1000000000000001</v>
      </c>
      <c r="I1276">
        <v>0</v>
      </c>
      <c r="J1276" s="1">
        <v>45927.783636458335</v>
      </c>
      <c r="K1276" t="s">
        <v>289</v>
      </c>
      <c r="L1276">
        <f>COUNTIF($A$2:A1276,A1276)</f>
        <v>1</v>
      </c>
    </row>
    <row r="1277" spans="1:12" x14ac:dyDescent="0.3">
      <c r="A1277">
        <v>12951</v>
      </c>
      <c r="B1277" t="s">
        <v>286</v>
      </c>
      <c r="C1277" t="s">
        <v>290</v>
      </c>
      <c r="D1277" t="s">
        <v>291</v>
      </c>
      <c r="E1277">
        <v>15</v>
      </c>
      <c r="F1277">
        <v>93.7</v>
      </c>
      <c r="G1277">
        <v>5.21</v>
      </c>
      <c r="H1277">
        <v>1.1000000000000001</v>
      </c>
      <c r="I1277">
        <v>0</v>
      </c>
      <c r="J1277" s="1">
        <v>45927.78368083333</v>
      </c>
      <c r="K1277" t="s">
        <v>289</v>
      </c>
      <c r="L1277">
        <f>COUNTIF($A$2:A1277,A1277)</f>
        <v>2</v>
      </c>
    </row>
    <row r="1278" spans="1:12" x14ac:dyDescent="0.3">
      <c r="A1278">
        <v>12951</v>
      </c>
      <c r="B1278" t="s">
        <v>286</v>
      </c>
      <c r="C1278" t="s">
        <v>298</v>
      </c>
      <c r="D1278" t="s">
        <v>299</v>
      </c>
      <c r="E1278">
        <v>11</v>
      </c>
      <c r="F1278">
        <v>92.05</v>
      </c>
      <c r="G1278">
        <v>6.3</v>
      </c>
      <c r="H1278">
        <v>1.64</v>
      </c>
      <c r="I1278">
        <v>0.01</v>
      </c>
      <c r="J1278" s="1">
        <v>45927.783833136571</v>
      </c>
      <c r="K1278" t="s">
        <v>289</v>
      </c>
      <c r="L1278">
        <f>COUNTIF($A$2:A1278,A1278)</f>
        <v>3</v>
      </c>
    </row>
    <row r="1279" spans="1:12" x14ac:dyDescent="0.3">
      <c r="A1279">
        <v>12951</v>
      </c>
      <c r="B1279" t="s">
        <v>286</v>
      </c>
      <c r="C1279" t="s">
        <v>296</v>
      </c>
      <c r="D1279" t="s">
        <v>297</v>
      </c>
      <c r="E1279">
        <v>15</v>
      </c>
      <c r="F1279">
        <v>83.56</v>
      </c>
      <c r="G1279">
        <v>14.25</v>
      </c>
      <c r="H1279">
        <v>2.19</v>
      </c>
      <c r="I1279">
        <v>0</v>
      </c>
      <c r="J1279" s="1">
        <v>45927.783811805559</v>
      </c>
      <c r="K1279" t="s">
        <v>289</v>
      </c>
      <c r="L1279">
        <f>COUNTIF($A$2:A1279,A1279)</f>
        <v>4</v>
      </c>
    </row>
    <row r="1280" spans="1:12" x14ac:dyDescent="0.3">
      <c r="A1280">
        <v>12951</v>
      </c>
      <c r="B1280" t="s">
        <v>286</v>
      </c>
      <c r="C1280" t="s">
        <v>110</v>
      </c>
      <c r="D1280" t="s">
        <v>111</v>
      </c>
      <c r="E1280">
        <v>27</v>
      </c>
      <c r="F1280">
        <v>82.47</v>
      </c>
      <c r="G1280">
        <v>11.51</v>
      </c>
      <c r="H1280">
        <v>6.03</v>
      </c>
      <c r="I1280">
        <v>0</v>
      </c>
      <c r="J1280" s="1">
        <v>45927.783920034723</v>
      </c>
      <c r="K1280" t="s">
        <v>289</v>
      </c>
      <c r="L1280">
        <f>COUNTIF($A$2:A1280,A1280)</f>
        <v>5</v>
      </c>
    </row>
    <row r="1281" spans="1:12" x14ac:dyDescent="0.3">
      <c r="A1281">
        <v>12951</v>
      </c>
      <c r="B1281" t="s">
        <v>286</v>
      </c>
      <c r="C1281" t="s">
        <v>292</v>
      </c>
      <c r="D1281" t="s">
        <v>293</v>
      </c>
      <c r="E1281">
        <v>16</v>
      </c>
      <c r="F1281">
        <v>81.92</v>
      </c>
      <c r="G1281">
        <v>16.16</v>
      </c>
      <c r="H1281">
        <v>1.92</v>
      </c>
      <c r="I1281">
        <v>0</v>
      </c>
      <c r="J1281" s="1">
        <v>45927.783725000001</v>
      </c>
      <c r="K1281" t="s">
        <v>289</v>
      </c>
      <c r="L1281">
        <f>COUNTIF($A$2:A1281,A1281)</f>
        <v>6</v>
      </c>
    </row>
    <row r="1282" spans="1:12" x14ac:dyDescent="0.3">
      <c r="A1282">
        <v>12951</v>
      </c>
      <c r="B1282" t="s">
        <v>286</v>
      </c>
      <c r="C1282" t="s">
        <v>300</v>
      </c>
      <c r="D1282" t="s">
        <v>301</v>
      </c>
      <c r="E1282">
        <v>16</v>
      </c>
      <c r="F1282">
        <v>80.27</v>
      </c>
      <c r="G1282">
        <v>17.809999999999999</v>
      </c>
      <c r="H1282">
        <v>1.92</v>
      </c>
      <c r="I1282">
        <v>0</v>
      </c>
      <c r="J1282" s="1">
        <v>45927.783877662034</v>
      </c>
      <c r="K1282" t="s">
        <v>289</v>
      </c>
      <c r="L1282">
        <f>COUNTIF($A$2:A1282,A1282)</f>
        <v>7</v>
      </c>
    </row>
    <row r="1283" spans="1:12" x14ac:dyDescent="0.3">
      <c r="A1283">
        <v>12951</v>
      </c>
      <c r="B1283" t="s">
        <v>286</v>
      </c>
      <c r="C1283" t="s">
        <v>294</v>
      </c>
      <c r="D1283" t="s">
        <v>295</v>
      </c>
      <c r="E1283">
        <v>17</v>
      </c>
      <c r="F1283">
        <v>74.52</v>
      </c>
      <c r="G1283">
        <v>23.84</v>
      </c>
      <c r="H1283">
        <v>1.64</v>
      </c>
      <c r="I1283">
        <v>0</v>
      </c>
      <c r="J1283" s="1">
        <v>45927.783766851855</v>
      </c>
      <c r="K1283" t="s">
        <v>289</v>
      </c>
      <c r="L1283">
        <f>COUNTIF($A$2:A1283,A1283)</f>
        <v>8</v>
      </c>
    </row>
    <row r="1284" spans="1:12" x14ac:dyDescent="0.3">
      <c r="A1284">
        <v>12952</v>
      </c>
      <c r="B1284" t="s">
        <v>286</v>
      </c>
      <c r="C1284" t="s">
        <v>110</v>
      </c>
      <c r="D1284" t="s">
        <v>111</v>
      </c>
      <c r="E1284">
        <v>8</v>
      </c>
      <c r="F1284">
        <v>97.26</v>
      </c>
      <c r="G1284">
        <v>0.55000000000000004</v>
      </c>
      <c r="H1284">
        <v>2.19</v>
      </c>
      <c r="I1284">
        <v>0</v>
      </c>
      <c r="J1284" s="1">
        <v>45927.783990972224</v>
      </c>
      <c r="K1284" t="s">
        <v>302</v>
      </c>
      <c r="L1284">
        <f>COUNTIF($A$2:A1284,A1284)</f>
        <v>1</v>
      </c>
    </row>
    <row r="1285" spans="1:12" x14ac:dyDescent="0.3">
      <c r="A1285">
        <v>12952</v>
      </c>
      <c r="B1285" t="s">
        <v>286</v>
      </c>
      <c r="C1285" t="s">
        <v>287</v>
      </c>
      <c r="D1285" t="s">
        <v>288</v>
      </c>
      <c r="E1285">
        <v>13</v>
      </c>
      <c r="F1285">
        <v>88.22</v>
      </c>
      <c r="G1285">
        <v>7.4</v>
      </c>
      <c r="H1285">
        <v>4.38</v>
      </c>
      <c r="I1285">
        <v>0</v>
      </c>
      <c r="J1285" s="1">
        <v>45927.784227384262</v>
      </c>
      <c r="K1285" t="s">
        <v>302</v>
      </c>
      <c r="L1285">
        <f>COUNTIF($A$2:A1285,A1285)</f>
        <v>2</v>
      </c>
    </row>
    <row r="1286" spans="1:12" x14ac:dyDescent="0.3">
      <c r="A1286">
        <v>12952</v>
      </c>
      <c r="B1286" t="s">
        <v>286</v>
      </c>
      <c r="C1286" t="s">
        <v>294</v>
      </c>
      <c r="D1286" t="s">
        <v>295</v>
      </c>
      <c r="E1286">
        <v>13</v>
      </c>
      <c r="F1286">
        <v>87.12</v>
      </c>
      <c r="G1286">
        <v>9.86</v>
      </c>
      <c r="H1286">
        <v>3.01</v>
      </c>
      <c r="I1286">
        <v>0.01</v>
      </c>
      <c r="J1286" s="1">
        <v>45927.784131793982</v>
      </c>
      <c r="K1286" t="s">
        <v>302</v>
      </c>
      <c r="L1286">
        <f>COUNTIF($A$2:A1286,A1286)</f>
        <v>3</v>
      </c>
    </row>
    <row r="1287" spans="1:12" x14ac:dyDescent="0.3">
      <c r="A1287">
        <v>12952</v>
      </c>
      <c r="B1287" t="s">
        <v>286</v>
      </c>
      <c r="C1287" t="s">
        <v>292</v>
      </c>
      <c r="D1287" t="s">
        <v>293</v>
      </c>
      <c r="E1287">
        <v>15</v>
      </c>
      <c r="F1287">
        <v>85.48</v>
      </c>
      <c r="G1287">
        <v>11.51</v>
      </c>
      <c r="H1287">
        <v>3.01</v>
      </c>
      <c r="I1287">
        <v>0</v>
      </c>
      <c r="J1287" s="1">
        <v>45927.78417204861</v>
      </c>
      <c r="K1287" t="s">
        <v>302</v>
      </c>
      <c r="L1287">
        <f>COUNTIF($A$2:A1287,A1287)</f>
        <v>4</v>
      </c>
    </row>
    <row r="1288" spans="1:12" x14ac:dyDescent="0.3">
      <c r="A1288">
        <v>12952</v>
      </c>
      <c r="B1288" t="s">
        <v>286</v>
      </c>
      <c r="C1288" t="s">
        <v>298</v>
      </c>
      <c r="D1288" t="s">
        <v>299</v>
      </c>
      <c r="E1288">
        <v>15</v>
      </c>
      <c r="F1288">
        <v>76.709999999999994</v>
      </c>
      <c r="G1288">
        <v>20</v>
      </c>
      <c r="H1288">
        <v>3.29</v>
      </c>
      <c r="I1288">
        <v>0</v>
      </c>
      <c r="J1288" s="1">
        <v>45927.78407613426</v>
      </c>
      <c r="K1288" t="s">
        <v>302</v>
      </c>
      <c r="L1288">
        <f>COUNTIF($A$2:A1288,A1288)</f>
        <v>5</v>
      </c>
    </row>
    <row r="1289" spans="1:12" x14ac:dyDescent="0.3">
      <c r="A1289">
        <v>12952</v>
      </c>
      <c r="B1289" t="s">
        <v>286</v>
      </c>
      <c r="C1289" t="s">
        <v>296</v>
      </c>
      <c r="D1289" t="s">
        <v>297</v>
      </c>
      <c r="E1289">
        <v>20</v>
      </c>
      <c r="F1289">
        <v>64.930000000000007</v>
      </c>
      <c r="G1289">
        <v>31.51</v>
      </c>
      <c r="H1289">
        <v>3.56</v>
      </c>
      <c r="I1289">
        <v>0</v>
      </c>
      <c r="J1289" s="1">
        <v>45927.784116539355</v>
      </c>
      <c r="K1289" t="s">
        <v>302</v>
      </c>
      <c r="L1289">
        <f>COUNTIF($A$2:A1289,A1289)</f>
        <v>6</v>
      </c>
    </row>
    <row r="1290" spans="1:12" x14ac:dyDescent="0.3">
      <c r="A1290">
        <v>12952</v>
      </c>
      <c r="B1290" t="s">
        <v>286</v>
      </c>
      <c r="C1290" t="s">
        <v>300</v>
      </c>
      <c r="D1290" t="s">
        <v>301</v>
      </c>
      <c r="E1290">
        <v>20</v>
      </c>
      <c r="F1290">
        <v>57.81</v>
      </c>
      <c r="G1290">
        <v>38.9</v>
      </c>
      <c r="H1290">
        <v>3.29</v>
      </c>
      <c r="I1290">
        <v>0</v>
      </c>
      <c r="J1290" s="1">
        <v>45927.784031909723</v>
      </c>
      <c r="K1290" t="s">
        <v>302</v>
      </c>
      <c r="L1290">
        <f>COUNTIF($A$2:A1290,A1290)</f>
        <v>7</v>
      </c>
    </row>
    <row r="1291" spans="1:12" x14ac:dyDescent="0.3">
      <c r="A1291">
        <v>12952</v>
      </c>
      <c r="B1291" t="s">
        <v>286</v>
      </c>
      <c r="C1291" t="s">
        <v>290</v>
      </c>
      <c r="D1291" t="s">
        <v>291</v>
      </c>
      <c r="E1291">
        <v>28</v>
      </c>
      <c r="F1291">
        <v>24.38</v>
      </c>
      <c r="G1291">
        <v>70.680000000000007</v>
      </c>
      <c r="H1291">
        <v>4.93</v>
      </c>
      <c r="I1291">
        <v>0.01</v>
      </c>
      <c r="J1291" s="1">
        <v>45927.784187256948</v>
      </c>
      <c r="K1291" t="s">
        <v>302</v>
      </c>
      <c r="L1291">
        <f>COUNTIF($A$2:A1291,A1291)</f>
        <v>8</v>
      </c>
    </row>
    <row r="1292" spans="1:12" x14ac:dyDescent="0.3">
      <c r="A1292">
        <v>12953</v>
      </c>
      <c r="B1292" t="s">
        <v>863</v>
      </c>
      <c r="C1292" t="s">
        <v>287</v>
      </c>
      <c r="D1292" t="s">
        <v>288</v>
      </c>
      <c r="E1292">
        <v>1</v>
      </c>
      <c r="F1292">
        <v>100</v>
      </c>
      <c r="G1292">
        <v>0</v>
      </c>
      <c r="H1292">
        <v>0</v>
      </c>
      <c r="I1292">
        <v>0</v>
      </c>
      <c r="J1292" s="1">
        <v>45928.082505706021</v>
      </c>
      <c r="K1292" t="s">
        <v>864</v>
      </c>
      <c r="L1292">
        <f>COUNTIF($A$2:A1292,A1292)</f>
        <v>1</v>
      </c>
    </row>
    <row r="1293" spans="1:12" x14ac:dyDescent="0.3">
      <c r="A1293">
        <v>12953</v>
      </c>
      <c r="B1293" t="s">
        <v>863</v>
      </c>
      <c r="C1293" t="s">
        <v>279</v>
      </c>
      <c r="D1293" t="s">
        <v>280</v>
      </c>
      <c r="E1293">
        <v>8</v>
      </c>
      <c r="F1293">
        <v>96.67</v>
      </c>
      <c r="G1293">
        <v>0</v>
      </c>
      <c r="H1293">
        <v>3.33</v>
      </c>
      <c r="I1293">
        <v>0</v>
      </c>
      <c r="J1293" s="1">
        <v>45928.082807627317</v>
      </c>
      <c r="K1293" t="s">
        <v>864</v>
      </c>
      <c r="L1293">
        <f>COUNTIF($A$2:A1293,A1293)</f>
        <v>2</v>
      </c>
    </row>
    <row r="1294" spans="1:12" x14ac:dyDescent="0.3">
      <c r="A1294">
        <v>12953</v>
      </c>
      <c r="B1294" t="s">
        <v>863</v>
      </c>
      <c r="C1294" t="s">
        <v>292</v>
      </c>
      <c r="D1294" t="s">
        <v>293</v>
      </c>
      <c r="E1294">
        <v>7</v>
      </c>
      <c r="F1294">
        <v>93.33</v>
      </c>
      <c r="G1294">
        <v>6.67</v>
      </c>
      <c r="H1294">
        <v>0</v>
      </c>
      <c r="I1294">
        <v>0</v>
      </c>
      <c r="J1294" s="1">
        <v>45928.082627256947</v>
      </c>
      <c r="K1294" t="s">
        <v>864</v>
      </c>
      <c r="L1294">
        <f>COUNTIF($A$2:A1294,A1294)</f>
        <v>3</v>
      </c>
    </row>
    <row r="1295" spans="1:12" x14ac:dyDescent="0.3">
      <c r="A1295">
        <v>12953</v>
      </c>
      <c r="B1295" t="s">
        <v>863</v>
      </c>
      <c r="C1295" t="s">
        <v>108</v>
      </c>
      <c r="D1295" t="s">
        <v>109</v>
      </c>
      <c r="E1295">
        <v>7</v>
      </c>
      <c r="F1295">
        <v>90</v>
      </c>
      <c r="G1295">
        <v>6.67</v>
      </c>
      <c r="H1295">
        <v>3.33</v>
      </c>
      <c r="I1295">
        <v>0</v>
      </c>
      <c r="J1295" s="1">
        <v>45928.082828564817</v>
      </c>
      <c r="K1295" t="s">
        <v>864</v>
      </c>
      <c r="L1295">
        <f>COUNTIF($A$2:A1295,A1295)</f>
        <v>4</v>
      </c>
    </row>
    <row r="1296" spans="1:12" x14ac:dyDescent="0.3">
      <c r="A1296">
        <v>12953</v>
      </c>
      <c r="B1296" t="s">
        <v>863</v>
      </c>
      <c r="C1296" t="s">
        <v>290</v>
      </c>
      <c r="D1296" t="s">
        <v>291</v>
      </c>
      <c r="E1296">
        <v>9</v>
      </c>
      <c r="F1296">
        <v>86.67</v>
      </c>
      <c r="G1296">
        <v>13.33</v>
      </c>
      <c r="H1296">
        <v>0</v>
      </c>
      <c r="I1296">
        <v>0</v>
      </c>
      <c r="J1296" s="1">
        <v>45928.08254653935</v>
      </c>
      <c r="K1296" t="s">
        <v>864</v>
      </c>
      <c r="L1296">
        <f>COUNTIF($A$2:A1296,A1296)</f>
        <v>5</v>
      </c>
    </row>
    <row r="1297" spans="1:12" x14ac:dyDescent="0.3">
      <c r="A1297">
        <v>12953</v>
      </c>
      <c r="B1297" t="s">
        <v>863</v>
      </c>
      <c r="C1297" t="s">
        <v>294</v>
      </c>
      <c r="D1297" t="s">
        <v>295</v>
      </c>
      <c r="E1297">
        <v>10</v>
      </c>
      <c r="F1297">
        <v>83.33</v>
      </c>
      <c r="G1297">
        <v>16.670000000000002</v>
      </c>
      <c r="H1297">
        <v>0</v>
      </c>
      <c r="I1297">
        <v>0</v>
      </c>
      <c r="J1297" s="1">
        <v>45928.082671064818</v>
      </c>
      <c r="K1297" t="s">
        <v>864</v>
      </c>
      <c r="L1297">
        <f>COUNTIF($A$2:A1297,A1297)</f>
        <v>6</v>
      </c>
    </row>
    <row r="1298" spans="1:12" x14ac:dyDescent="0.3">
      <c r="A1298">
        <v>12953</v>
      </c>
      <c r="B1298" t="s">
        <v>863</v>
      </c>
      <c r="C1298" t="s">
        <v>520</v>
      </c>
      <c r="D1298" t="s">
        <v>521</v>
      </c>
      <c r="E1298">
        <v>11</v>
      </c>
      <c r="F1298">
        <v>80</v>
      </c>
      <c r="G1298">
        <v>20</v>
      </c>
      <c r="H1298">
        <v>0</v>
      </c>
      <c r="I1298">
        <v>0</v>
      </c>
      <c r="J1298" s="1">
        <v>45928.082587407407</v>
      </c>
      <c r="K1298" t="s">
        <v>864</v>
      </c>
      <c r="L1298">
        <f>COUNTIF($A$2:A1298,A1298)</f>
        <v>7</v>
      </c>
    </row>
    <row r="1299" spans="1:12" x14ac:dyDescent="0.3">
      <c r="A1299">
        <v>12953</v>
      </c>
      <c r="B1299" t="s">
        <v>863</v>
      </c>
      <c r="C1299" t="s">
        <v>524</v>
      </c>
      <c r="D1299" t="s">
        <v>525</v>
      </c>
      <c r="E1299">
        <v>0</v>
      </c>
      <c r="F1299">
        <v>80</v>
      </c>
      <c r="G1299">
        <v>20</v>
      </c>
      <c r="H1299">
        <v>0</v>
      </c>
      <c r="I1299">
        <v>0</v>
      </c>
      <c r="J1299" s="1">
        <v>45928.082651701392</v>
      </c>
      <c r="K1299" t="s">
        <v>864</v>
      </c>
      <c r="L1299">
        <f>COUNTIF($A$2:A1299,A1299)</f>
        <v>8</v>
      </c>
    </row>
    <row r="1300" spans="1:12" x14ac:dyDescent="0.3">
      <c r="A1300">
        <v>12953</v>
      </c>
      <c r="B1300" t="s">
        <v>863</v>
      </c>
      <c r="C1300" t="s">
        <v>296</v>
      </c>
      <c r="D1300" t="s">
        <v>297</v>
      </c>
      <c r="E1300">
        <v>10</v>
      </c>
      <c r="F1300">
        <v>80</v>
      </c>
      <c r="G1300">
        <v>20</v>
      </c>
      <c r="H1300">
        <v>0</v>
      </c>
      <c r="I1300">
        <v>0</v>
      </c>
      <c r="J1300" s="1">
        <v>45928.082704525463</v>
      </c>
      <c r="K1300" t="s">
        <v>864</v>
      </c>
      <c r="L1300">
        <f>COUNTIF($A$2:A1300,A1300)</f>
        <v>9</v>
      </c>
    </row>
    <row r="1301" spans="1:12" x14ac:dyDescent="0.3">
      <c r="A1301">
        <v>12953</v>
      </c>
      <c r="B1301" t="s">
        <v>863</v>
      </c>
      <c r="C1301" t="s">
        <v>300</v>
      </c>
      <c r="D1301" t="s">
        <v>301</v>
      </c>
      <c r="E1301">
        <v>9</v>
      </c>
      <c r="F1301">
        <v>73.33</v>
      </c>
      <c r="G1301">
        <v>23.33</v>
      </c>
      <c r="H1301">
        <v>3.33</v>
      </c>
      <c r="I1301">
        <v>0.01</v>
      </c>
      <c r="J1301" s="1">
        <v>45928.082722916668</v>
      </c>
      <c r="K1301" t="s">
        <v>864</v>
      </c>
      <c r="L1301">
        <f>COUNTIF($A$2:A1301,A1301)</f>
        <v>10</v>
      </c>
    </row>
    <row r="1302" spans="1:12" x14ac:dyDescent="0.3">
      <c r="A1302">
        <v>12953</v>
      </c>
      <c r="B1302" t="s">
        <v>863</v>
      </c>
      <c r="C1302" t="s">
        <v>342</v>
      </c>
      <c r="D1302" t="s">
        <v>343</v>
      </c>
      <c r="E1302">
        <v>15</v>
      </c>
      <c r="F1302">
        <v>66.67</v>
      </c>
      <c r="G1302">
        <v>30</v>
      </c>
      <c r="H1302">
        <v>3.33</v>
      </c>
      <c r="I1302">
        <v>0</v>
      </c>
      <c r="J1302" s="1">
        <v>45928.082764652776</v>
      </c>
      <c r="K1302" t="s">
        <v>864</v>
      </c>
      <c r="L1302">
        <f>COUNTIF($A$2:A1302,A1302)</f>
        <v>11</v>
      </c>
    </row>
    <row r="1303" spans="1:12" x14ac:dyDescent="0.3">
      <c r="A1303">
        <v>12953</v>
      </c>
      <c r="B1303" t="s">
        <v>863</v>
      </c>
      <c r="C1303" t="s">
        <v>519</v>
      </c>
      <c r="D1303" t="s">
        <v>519</v>
      </c>
      <c r="E1303">
        <v>14</v>
      </c>
      <c r="F1303">
        <v>63.33</v>
      </c>
      <c r="G1303">
        <v>36.67</v>
      </c>
      <c r="H1303">
        <v>0</v>
      </c>
      <c r="I1303">
        <v>0</v>
      </c>
      <c r="J1303" s="1">
        <v>45928.082566712961</v>
      </c>
      <c r="K1303" t="s">
        <v>864</v>
      </c>
      <c r="L1303">
        <f>COUNTIF($A$2:A1303,A1303)</f>
        <v>12</v>
      </c>
    </row>
    <row r="1304" spans="1:12" x14ac:dyDescent="0.3">
      <c r="A1304">
        <v>12953</v>
      </c>
      <c r="B1304" t="s">
        <v>863</v>
      </c>
      <c r="C1304" t="s">
        <v>332</v>
      </c>
      <c r="D1304" t="s">
        <v>333</v>
      </c>
      <c r="E1304">
        <v>13</v>
      </c>
      <c r="F1304">
        <v>63.33</v>
      </c>
      <c r="G1304">
        <v>36.67</v>
      </c>
      <c r="H1304">
        <v>0</v>
      </c>
      <c r="I1304">
        <v>0</v>
      </c>
      <c r="J1304" s="1">
        <v>45928.082687210648</v>
      </c>
      <c r="K1304" t="s">
        <v>864</v>
      </c>
      <c r="L1304">
        <f>COUNTIF($A$2:A1304,A1304)</f>
        <v>13</v>
      </c>
    </row>
    <row r="1305" spans="1:12" x14ac:dyDescent="0.3">
      <c r="A1305">
        <v>12954</v>
      </c>
      <c r="B1305" t="s">
        <v>863</v>
      </c>
      <c r="C1305" t="s">
        <v>108</v>
      </c>
      <c r="D1305" t="s">
        <v>109</v>
      </c>
      <c r="E1305">
        <v>0</v>
      </c>
      <c r="F1305">
        <v>100</v>
      </c>
      <c r="G1305">
        <v>0</v>
      </c>
      <c r="H1305">
        <v>0</v>
      </c>
      <c r="I1305">
        <v>0</v>
      </c>
      <c r="J1305" s="1">
        <v>45928.082907534721</v>
      </c>
      <c r="K1305" t="s">
        <v>865</v>
      </c>
      <c r="L1305">
        <f>COUNTIF($A$2:A1305,A1305)</f>
        <v>1</v>
      </c>
    </row>
    <row r="1306" spans="1:12" x14ac:dyDescent="0.3">
      <c r="A1306">
        <v>12954</v>
      </c>
      <c r="B1306" t="s">
        <v>863</v>
      </c>
      <c r="C1306" t="s">
        <v>279</v>
      </c>
      <c r="D1306" t="s">
        <v>280</v>
      </c>
      <c r="E1306">
        <v>6</v>
      </c>
      <c r="F1306">
        <v>96.67</v>
      </c>
      <c r="G1306">
        <v>3.33</v>
      </c>
      <c r="H1306">
        <v>0</v>
      </c>
      <c r="I1306">
        <v>0</v>
      </c>
      <c r="J1306" s="1">
        <v>45928.082949849537</v>
      </c>
      <c r="K1306" t="s">
        <v>865</v>
      </c>
      <c r="L1306">
        <f>COUNTIF($A$2:A1306,A1306)</f>
        <v>2</v>
      </c>
    </row>
    <row r="1307" spans="1:12" x14ac:dyDescent="0.3">
      <c r="A1307">
        <v>12954</v>
      </c>
      <c r="B1307" t="s">
        <v>863</v>
      </c>
      <c r="C1307" t="s">
        <v>292</v>
      </c>
      <c r="D1307" t="s">
        <v>293</v>
      </c>
      <c r="E1307">
        <v>14</v>
      </c>
      <c r="F1307">
        <v>90</v>
      </c>
      <c r="G1307">
        <v>3.33</v>
      </c>
      <c r="H1307">
        <v>6.67</v>
      </c>
      <c r="I1307">
        <v>0</v>
      </c>
      <c r="J1307" s="1">
        <v>45928.083191909725</v>
      </c>
      <c r="K1307" t="s">
        <v>865</v>
      </c>
      <c r="L1307">
        <f>COUNTIF($A$2:A1307,A1307)</f>
        <v>3</v>
      </c>
    </row>
    <row r="1308" spans="1:12" x14ac:dyDescent="0.3">
      <c r="A1308">
        <v>12954</v>
      </c>
      <c r="B1308" t="s">
        <v>863</v>
      </c>
      <c r="C1308" t="s">
        <v>524</v>
      </c>
      <c r="D1308" t="s">
        <v>525</v>
      </c>
      <c r="E1308">
        <v>15</v>
      </c>
      <c r="F1308">
        <v>86.67</v>
      </c>
      <c r="G1308">
        <v>6.67</v>
      </c>
      <c r="H1308">
        <v>6.67</v>
      </c>
      <c r="I1308">
        <v>0</v>
      </c>
      <c r="J1308" s="1">
        <v>45928.083172106482</v>
      </c>
      <c r="K1308" t="s">
        <v>865</v>
      </c>
      <c r="L1308">
        <f>COUNTIF($A$2:A1308,A1308)</f>
        <v>4</v>
      </c>
    </row>
    <row r="1309" spans="1:12" x14ac:dyDescent="0.3">
      <c r="A1309">
        <v>12954</v>
      </c>
      <c r="B1309" t="s">
        <v>863</v>
      </c>
      <c r="C1309" t="s">
        <v>520</v>
      </c>
      <c r="D1309" t="s">
        <v>521</v>
      </c>
      <c r="E1309">
        <v>14</v>
      </c>
      <c r="F1309">
        <v>86.67</v>
      </c>
      <c r="G1309">
        <v>6.67</v>
      </c>
      <c r="H1309">
        <v>6.67</v>
      </c>
      <c r="I1309">
        <v>0</v>
      </c>
      <c r="J1309" s="1">
        <v>45928.083242337962</v>
      </c>
      <c r="K1309" t="s">
        <v>865</v>
      </c>
      <c r="L1309">
        <f>COUNTIF($A$2:A1309,A1309)</f>
        <v>5</v>
      </c>
    </row>
    <row r="1310" spans="1:12" x14ac:dyDescent="0.3">
      <c r="A1310">
        <v>12954</v>
      </c>
      <c r="B1310" t="s">
        <v>863</v>
      </c>
      <c r="C1310" t="s">
        <v>287</v>
      </c>
      <c r="D1310" t="s">
        <v>288</v>
      </c>
      <c r="E1310">
        <v>16</v>
      </c>
      <c r="F1310">
        <v>86.67</v>
      </c>
      <c r="G1310">
        <v>6.67</v>
      </c>
      <c r="H1310">
        <v>6.67</v>
      </c>
      <c r="I1310">
        <v>0</v>
      </c>
      <c r="J1310" s="1">
        <v>45928.083348576387</v>
      </c>
      <c r="K1310" t="s">
        <v>865</v>
      </c>
      <c r="L1310">
        <f>COUNTIF($A$2:A1310,A1310)</f>
        <v>6</v>
      </c>
    </row>
    <row r="1311" spans="1:12" x14ac:dyDescent="0.3">
      <c r="A1311">
        <v>12954</v>
      </c>
      <c r="B1311" t="s">
        <v>863</v>
      </c>
      <c r="C1311" t="s">
        <v>294</v>
      </c>
      <c r="D1311" t="s">
        <v>295</v>
      </c>
      <c r="E1311">
        <v>0</v>
      </c>
      <c r="F1311">
        <v>83.33</v>
      </c>
      <c r="G1311">
        <v>10</v>
      </c>
      <c r="H1311">
        <v>6.67</v>
      </c>
      <c r="I1311">
        <v>0</v>
      </c>
      <c r="J1311" s="1">
        <v>45928.083128425926</v>
      </c>
      <c r="K1311" t="s">
        <v>865</v>
      </c>
      <c r="L1311">
        <f>COUNTIF($A$2:A1311,A1311)</f>
        <v>7</v>
      </c>
    </row>
    <row r="1312" spans="1:12" x14ac:dyDescent="0.3">
      <c r="A1312">
        <v>12954</v>
      </c>
      <c r="B1312" t="s">
        <v>863</v>
      </c>
      <c r="C1312" t="s">
        <v>519</v>
      </c>
      <c r="D1312" t="s">
        <v>519</v>
      </c>
      <c r="E1312">
        <v>23</v>
      </c>
      <c r="F1312">
        <v>83.33</v>
      </c>
      <c r="G1312">
        <v>10</v>
      </c>
      <c r="H1312">
        <v>6.67</v>
      </c>
      <c r="I1312">
        <v>0</v>
      </c>
      <c r="J1312" s="1">
        <v>45928.083287627313</v>
      </c>
      <c r="K1312" t="s">
        <v>865</v>
      </c>
      <c r="L1312">
        <f>COUNTIF($A$2:A1312,A1312)</f>
        <v>8</v>
      </c>
    </row>
    <row r="1313" spans="1:12" x14ac:dyDescent="0.3">
      <c r="A1313">
        <v>12954</v>
      </c>
      <c r="B1313" t="s">
        <v>863</v>
      </c>
      <c r="C1313" t="s">
        <v>342</v>
      </c>
      <c r="D1313" t="s">
        <v>343</v>
      </c>
      <c r="E1313">
        <v>13</v>
      </c>
      <c r="F1313">
        <v>76.67</v>
      </c>
      <c r="G1313">
        <v>20</v>
      </c>
      <c r="H1313">
        <v>3.33</v>
      </c>
      <c r="I1313">
        <v>0</v>
      </c>
      <c r="J1313" s="1">
        <v>45928.082991354167</v>
      </c>
      <c r="K1313" t="s">
        <v>865</v>
      </c>
      <c r="L1313">
        <f>COUNTIF($A$2:A1313,A1313)</f>
        <v>9</v>
      </c>
    </row>
    <row r="1314" spans="1:12" x14ac:dyDescent="0.3">
      <c r="A1314">
        <v>12954</v>
      </c>
      <c r="B1314" t="s">
        <v>863</v>
      </c>
      <c r="C1314" t="s">
        <v>296</v>
      </c>
      <c r="D1314" t="s">
        <v>297</v>
      </c>
      <c r="E1314">
        <v>20</v>
      </c>
      <c r="F1314">
        <v>66.67</v>
      </c>
      <c r="G1314">
        <v>26.67</v>
      </c>
      <c r="H1314">
        <v>6.67</v>
      </c>
      <c r="I1314">
        <v>0</v>
      </c>
      <c r="J1314" s="1">
        <v>45928.083077581017</v>
      </c>
      <c r="K1314" t="s">
        <v>865</v>
      </c>
      <c r="L1314">
        <f>COUNTIF($A$2:A1314,A1314)</f>
        <v>10</v>
      </c>
    </row>
    <row r="1315" spans="1:12" x14ac:dyDescent="0.3">
      <c r="A1315">
        <v>12954</v>
      </c>
      <c r="B1315" t="s">
        <v>863</v>
      </c>
      <c r="C1315" t="s">
        <v>332</v>
      </c>
      <c r="D1315" t="s">
        <v>333</v>
      </c>
      <c r="E1315">
        <v>0</v>
      </c>
      <c r="F1315">
        <v>60</v>
      </c>
      <c r="G1315">
        <v>30</v>
      </c>
      <c r="H1315">
        <v>10</v>
      </c>
      <c r="I1315">
        <v>0</v>
      </c>
      <c r="J1315" s="1">
        <v>45928.083102233795</v>
      </c>
      <c r="K1315" t="s">
        <v>865</v>
      </c>
      <c r="L1315">
        <f>COUNTIF($A$2:A1315,A1315)</f>
        <v>11</v>
      </c>
    </row>
    <row r="1316" spans="1:12" x14ac:dyDescent="0.3">
      <c r="A1316">
        <v>12954</v>
      </c>
      <c r="B1316" t="s">
        <v>863</v>
      </c>
      <c r="C1316" t="s">
        <v>300</v>
      </c>
      <c r="D1316" t="s">
        <v>301</v>
      </c>
      <c r="E1316">
        <v>23</v>
      </c>
      <c r="F1316">
        <v>43.33</v>
      </c>
      <c r="G1316">
        <v>50</v>
      </c>
      <c r="H1316">
        <v>6.67</v>
      </c>
      <c r="I1316">
        <v>0</v>
      </c>
      <c r="J1316" s="1">
        <v>45928.083033564813</v>
      </c>
      <c r="K1316" t="s">
        <v>865</v>
      </c>
      <c r="L1316">
        <f>COUNTIF($A$2:A1316,A1316)</f>
        <v>12</v>
      </c>
    </row>
    <row r="1317" spans="1:12" x14ac:dyDescent="0.3">
      <c r="A1317">
        <v>12954</v>
      </c>
      <c r="B1317" t="s">
        <v>863</v>
      </c>
      <c r="C1317" t="s">
        <v>290</v>
      </c>
      <c r="D1317" t="s">
        <v>291</v>
      </c>
      <c r="E1317">
        <v>29</v>
      </c>
      <c r="F1317">
        <v>36.67</v>
      </c>
      <c r="G1317">
        <v>53.33</v>
      </c>
      <c r="H1317">
        <v>10</v>
      </c>
      <c r="I1317">
        <v>0</v>
      </c>
      <c r="J1317" s="1">
        <v>45928.083308472225</v>
      </c>
      <c r="K1317" t="s">
        <v>865</v>
      </c>
      <c r="L1317">
        <f>COUNTIF($A$2:A1317,A1317)</f>
        <v>13</v>
      </c>
    </row>
    <row r="1318" spans="1:12" x14ac:dyDescent="0.3">
      <c r="A1318">
        <v>12957</v>
      </c>
      <c r="B1318" t="s">
        <v>866</v>
      </c>
      <c r="C1318" t="s">
        <v>867</v>
      </c>
      <c r="D1318" t="s">
        <v>868</v>
      </c>
      <c r="E1318">
        <v>7</v>
      </c>
      <c r="F1318">
        <v>96.67</v>
      </c>
      <c r="G1318">
        <v>0</v>
      </c>
      <c r="H1318">
        <v>3.33</v>
      </c>
      <c r="I1318">
        <v>0</v>
      </c>
      <c r="J1318" s="1">
        <v>45928.083466608798</v>
      </c>
      <c r="K1318" t="s">
        <v>869</v>
      </c>
      <c r="L1318">
        <f>COUNTIF($A$2:A1318,A1318)</f>
        <v>1</v>
      </c>
    </row>
    <row r="1319" spans="1:12" x14ac:dyDescent="0.3">
      <c r="A1319">
        <v>12957</v>
      </c>
      <c r="B1319" t="s">
        <v>866</v>
      </c>
      <c r="C1319" t="s">
        <v>872</v>
      </c>
      <c r="D1319" t="s">
        <v>873</v>
      </c>
      <c r="E1319">
        <v>0</v>
      </c>
      <c r="F1319">
        <v>96.67</v>
      </c>
      <c r="G1319">
        <v>0</v>
      </c>
      <c r="H1319">
        <v>3.33</v>
      </c>
      <c r="I1319">
        <v>0</v>
      </c>
      <c r="J1319" s="1">
        <v>45928.083507337964</v>
      </c>
      <c r="K1319" t="s">
        <v>869</v>
      </c>
      <c r="L1319">
        <f>COUNTIF($A$2:A1319,A1319)</f>
        <v>2</v>
      </c>
    </row>
    <row r="1320" spans="1:12" x14ac:dyDescent="0.3">
      <c r="A1320">
        <v>12957</v>
      </c>
      <c r="B1320" t="s">
        <v>866</v>
      </c>
      <c r="C1320" t="s">
        <v>874</v>
      </c>
      <c r="D1320" t="s">
        <v>875</v>
      </c>
      <c r="E1320">
        <v>8</v>
      </c>
      <c r="F1320">
        <v>96.67</v>
      </c>
      <c r="G1320">
        <v>0</v>
      </c>
      <c r="H1320">
        <v>3.33</v>
      </c>
      <c r="I1320">
        <v>0</v>
      </c>
      <c r="J1320" s="1">
        <v>45928.08354832176</v>
      </c>
      <c r="K1320" t="s">
        <v>869</v>
      </c>
      <c r="L1320">
        <f>COUNTIF($A$2:A1320,A1320)</f>
        <v>3</v>
      </c>
    </row>
    <row r="1321" spans="1:12" x14ac:dyDescent="0.3">
      <c r="A1321">
        <v>12957</v>
      </c>
      <c r="B1321" t="s">
        <v>866</v>
      </c>
      <c r="C1321" t="s">
        <v>876</v>
      </c>
      <c r="D1321" t="s">
        <v>877</v>
      </c>
      <c r="E1321">
        <v>6</v>
      </c>
      <c r="F1321">
        <v>96.67</v>
      </c>
      <c r="G1321">
        <v>0</v>
      </c>
      <c r="H1321">
        <v>3.33</v>
      </c>
      <c r="I1321">
        <v>0</v>
      </c>
      <c r="J1321" s="1">
        <v>45928.08359115741</v>
      </c>
      <c r="K1321" t="s">
        <v>869</v>
      </c>
      <c r="L1321">
        <f>COUNTIF($A$2:A1321,A1321)</f>
        <v>4</v>
      </c>
    </row>
    <row r="1322" spans="1:12" x14ac:dyDescent="0.3">
      <c r="A1322">
        <v>12957</v>
      </c>
      <c r="B1322" t="s">
        <v>866</v>
      </c>
      <c r="C1322" t="s">
        <v>878</v>
      </c>
      <c r="D1322" t="s">
        <v>879</v>
      </c>
      <c r="E1322">
        <v>6</v>
      </c>
      <c r="F1322">
        <v>96.67</v>
      </c>
      <c r="G1322">
        <v>0</v>
      </c>
      <c r="H1322">
        <v>3.33</v>
      </c>
      <c r="I1322">
        <v>0</v>
      </c>
      <c r="J1322" s="1">
        <v>45928.083635312498</v>
      </c>
      <c r="K1322" t="s">
        <v>869</v>
      </c>
      <c r="L1322">
        <f>COUNTIF($A$2:A1322,A1322)</f>
        <v>5</v>
      </c>
    </row>
    <row r="1323" spans="1:12" x14ac:dyDescent="0.3">
      <c r="A1323">
        <v>12957</v>
      </c>
      <c r="B1323" t="s">
        <v>866</v>
      </c>
      <c r="C1323" t="s">
        <v>880</v>
      </c>
      <c r="D1323" t="s">
        <v>881</v>
      </c>
      <c r="E1323">
        <v>7</v>
      </c>
      <c r="F1323">
        <v>96.67</v>
      </c>
      <c r="G1323">
        <v>0</v>
      </c>
      <c r="H1323">
        <v>3.33</v>
      </c>
      <c r="I1323">
        <v>0</v>
      </c>
      <c r="J1323" s="1">
        <v>45928.083675381946</v>
      </c>
      <c r="K1323" t="s">
        <v>869</v>
      </c>
      <c r="L1323">
        <f>COUNTIF($A$2:A1323,A1323)</f>
        <v>6</v>
      </c>
    </row>
    <row r="1324" spans="1:12" x14ac:dyDescent="0.3">
      <c r="A1324">
        <v>12957</v>
      </c>
      <c r="B1324" t="s">
        <v>866</v>
      </c>
      <c r="C1324" t="s">
        <v>882</v>
      </c>
      <c r="D1324" t="s">
        <v>883</v>
      </c>
      <c r="E1324">
        <v>14</v>
      </c>
      <c r="F1324">
        <v>96.67</v>
      </c>
      <c r="G1324">
        <v>0</v>
      </c>
      <c r="H1324">
        <v>3.33</v>
      </c>
      <c r="I1324">
        <v>0</v>
      </c>
      <c r="J1324" s="1">
        <v>45928.083716469904</v>
      </c>
      <c r="K1324" t="s">
        <v>869</v>
      </c>
      <c r="L1324">
        <f>COUNTIF($A$2:A1324,A1324)</f>
        <v>7</v>
      </c>
    </row>
    <row r="1325" spans="1:12" x14ac:dyDescent="0.3">
      <c r="A1325">
        <v>12957</v>
      </c>
      <c r="B1325" t="s">
        <v>866</v>
      </c>
      <c r="C1325" t="s">
        <v>884</v>
      </c>
      <c r="D1325" t="s">
        <v>885</v>
      </c>
      <c r="E1325">
        <v>15</v>
      </c>
      <c r="F1325">
        <v>96.67</v>
      </c>
      <c r="G1325">
        <v>0</v>
      </c>
      <c r="H1325">
        <v>3.33</v>
      </c>
      <c r="I1325">
        <v>0</v>
      </c>
      <c r="J1325" s="1">
        <v>45928.083759745372</v>
      </c>
      <c r="K1325" t="s">
        <v>869</v>
      </c>
      <c r="L1325">
        <f>COUNTIF($A$2:A1325,A1325)</f>
        <v>8</v>
      </c>
    </row>
    <row r="1326" spans="1:12" x14ac:dyDescent="0.3">
      <c r="A1326">
        <v>12957</v>
      </c>
      <c r="B1326" t="s">
        <v>866</v>
      </c>
      <c r="C1326" t="s">
        <v>110</v>
      </c>
      <c r="D1326" t="s">
        <v>111</v>
      </c>
      <c r="E1326">
        <v>0</v>
      </c>
      <c r="F1326">
        <v>96.67</v>
      </c>
      <c r="G1326">
        <v>0</v>
      </c>
      <c r="H1326">
        <v>3.33</v>
      </c>
      <c r="I1326">
        <v>0</v>
      </c>
      <c r="J1326" s="1">
        <v>45928.083785000003</v>
      </c>
      <c r="K1326" t="s">
        <v>869</v>
      </c>
      <c r="L1326">
        <f>COUNTIF($A$2:A1326,A1326)</f>
        <v>9</v>
      </c>
    </row>
    <row r="1327" spans="1:12" x14ac:dyDescent="0.3">
      <c r="A1327">
        <v>12957</v>
      </c>
      <c r="B1327" t="s">
        <v>866</v>
      </c>
      <c r="C1327" t="s">
        <v>870</v>
      </c>
      <c r="D1327" t="s">
        <v>871</v>
      </c>
      <c r="E1327">
        <v>8</v>
      </c>
      <c r="F1327">
        <v>93.33</v>
      </c>
      <c r="G1327">
        <v>3.33</v>
      </c>
      <c r="H1327">
        <v>3.33</v>
      </c>
      <c r="I1327">
        <v>0.01</v>
      </c>
      <c r="J1327" s="1">
        <v>45928.083483171293</v>
      </c>
      <c r="K1327" t="s">
        <v>869</v>
      </c>
      <c r="L1327">
        <f>COUNTIF($A$2:A1327,A1327)</f>
        <v>10</v>
      </c>
    </row>
    <row r="1328" spans="1:12" x14ac:dyDescent="0.3">
      <c r="A1328">
        <v>12958</v>
      </c>
      <c r="B1328" t="s">
        <v>866</v>
      </c>
      <c r="C1328" t="s">
        <v>110</v>
      </c>
      <c r="D1328" t="s">
        <v>111</v>
      </c>
      <c r="E1328">
        <v>0</v>
      </c>
      <c r="F1328">
        <v>100</v>
      </c>
      <c r="G1328">
        <v>0</v>
      </c>
      <c r="H1328">
        <v>0</v>
      </c>
      <c r="I1328">
        <v>0</v>
      </c>
      <c r="J1328" s="1">
        <v>45928.083860104169</v>
      </c>
      <c r="K1328" t="s">
        <v>886</v>
      </c>
      <c r="L1328">
        <f>COUNTIF($A$2:A1328,A1328)</f>
        <v>1</v>
      </c>
    </row>
    <row r="1329" spans="1:12" x14ac:dyDescent="0.3">
      <c r="A1329">
        <v>12958</v>
      </c>
      <c r="B1329" t="s">
        <v>866</v>
      </c>
      <c r="C1329" t="s">
        <v>884</v>
      </c>
      <c r="D1329" t="s">
        <v>885</v>
      </c>
      <c r="E1329">
        <v>4</v>
      </c>
      <c r="F1329">
        <v>100</v>
      </c>
      <c r="G1329">
        <v>0</v>
      </c>
      <c r="H1329">
        <v>0</v>
      </c>
      <c r="I1329">
        <v>0</v>
      </c>
      <c r="J1329" s="1">
        <v>45928.083876921293</v>
      </c>
      <c r="K1329" t="s">
        <v>886</v>
      </c>
      <c r="L1329">
        <f>COUNTIF($A$2:A1329,A1329)</f>
        <v>2</v>
      </c>
    </row>
    <row r="1330" spans="1:12" x14ac:dyDescent="0.3">
      <c r="A1330">
        <v>12958</v>
      </c>
      <c r="B1330" t="s">
        <v>866</v>
      </c>
      <c r="C1330" t="s">
        <v>867</v>
      </c>
      <c r="D1330" t="s">
        <v>868</v>
      </c>
      <c r="E1330">
        <v>0</v>
      </c>
      <c r="F1330">
        <v>100</v>
      </c>
      <c r="G1330">
        <v>0</v>
      </c>
      <c r="H1330">
        <v>0</v>
      </c>
      <c r="I1330">
        <v>0</v>
      </c>
      <c r="J1330" s="1">
        <v>45928.084093124999</v>
      </c>
      <c r="K1330" t="s">
        <v>886</v>
      </c>
      <c r="L1330">
        <f>COUNTIF($A$2:A1330,A1330)</f>
        <v>3</v>
      </c>
    </row>
    <row r="1331" spans="1:12" x14ac:dyDescent="0.3">
      <c r="A1331">
        <v>12958</v>
      </c>
      <c r="B1331" t="s">
        <v>866</v>
      </c>
      <c r="C1331" t="s">
        <v>882</v>
      </c>
      <c r="D1331" t="s">
        <v>883</v>
      </c>
      <c r="E1331">
        <v>7</v>
      </c>
      <c r="F1331">
        <v>93.33</v>
      </c>
      <c r="G1331">
        <v>6.67</v>
      </c>
      <c r="H1331">
        <v>0</v>
      </c>
      <c r="I1331">
        <v>0</v>
      </c>
      <c r="J1331" s="1">
        <v>45928.083923206017</v>
      </c>
      <c r="K1331" t="s">
        <v>886</v>
      </c>
      <c r="L1331">
        <f>COUNTIF($A$2:A1331,A1331)</f>
        <v>4</v>
      </c>
    </row>
    <row r="1332" spans="1:12" x14ac:dyDescent="0.3">
      <c r="A1332">
        <v>12958</v>
      </c>
      <c r="B1332" t="s">
        <v>866</v>
      </c>
      <c r="C1332" t="s">
        <v>872</v>
      </c>
      <c r="D1332" t="s">
        <v>873</v>
      </c>
      <c r="E1332">
        <v>4</v>
      </c>
      <c r="F1332">
        <v>90</v>
      </c>
      <c r="G1332">
        <v>10</v>
      </c>
      <c r="H1332">
        <v>0</v>
      </c>
      <c r="I1332">
        <v>0</v>
      </c>
      <c r="J1332" s="1">
        <v>45928.084027442128</v>
      </c>
      <c r="K1332" t="s">
        <v>886</v>
      </c>
      <c r="L1332">
        <f>COUNTIF($A$2:A1332,A1332)</f>
        <v>5</v>
      </c>
    </row>
    <row r="1333" spans="1:12" x14ac:dyDescent="0.3">
      <c r="A1333">
        <v>12958</v>
      </c>
      <c r="B1333" t="s">
        <v>866</v>
      </c>
      <c r="C1333" t="s">
        <v>870</v>
      </c>
      <c r="D1333" t="s">
        <v>871</v>
      </c>
      <c r="E1333">
        <v>6</v>
      </c>
      <c r="F1333">
        <v>86.67</v>
      </c>
      <c r="G1333">
        <v>13.33</v>
      </c>
      <c r="H1333">
        <v>0</v>
      </c>
      <c r="I1333">
        <v>0</v>
      </c>
      <c r="J1333" s="1">
        <v>45928.084073923608</v>
      </c>
      <c r="K1333" t="s">
        <v>886</v>
      </c>
      <c r="L1333">
        <f>COUNTIF($A$2:A1333,A1333)</f>
        <v>6</v>
      </c>
    </row>
    <row r="1334" spans="1:12" x14ac:dyDescent="0.3">
      <c r="A1334">
        <v>12958</v>
      </c>
      <c r="B1334" t="s">
        <v>866</v>
      </c>
      <c r="C1334" t="s">
        <v>874</v>
      </c>
      <c r="D1334" t="s">
        <v>875</v>
      </c>
      <c r="E1334">
        <v>10</v>
      </c>
      <c r="F1334">
        <v>73.33</v>
      </c>
      <c r="G1334">
        <v>26.67</v>
      </c>
      <c r="H1334">
        <v>0</v>
      </c>
      <c r="I1334">
        <v>0</v>
      </c>
      <c r="J1334" s="1">
        <v>45928.084006226854</v>
      </c>
      <c r="K1334" t="s">
        <v>886</v>
      </c>
      <c r="L1334">
        <f>COUNTIF($A$2:A1334,A1334)</f>
        <v>7</v>
      </c>
    </row>
    <row r="1335" spans="1:12" x14ac:dyDescent="0.3">
      <c r="A1335">
        <v>12958</v>
      </c>
      <c r="B1335" t="s">
        <v>866</v>
      </c>
      <c r="C1335" t="s">
        <v>878</v>
      </c>
      <c r="D1335" t="s">
        <v>879</v>
      </c>
      <c r="E1335">
        <v>16</v>
      </c>
      <c r="F1335">
        <v>63.33</v>
      </c>
      <c r="G1335">
        <v>36.67</v>
      </c>
      <c r="H1335">
        <v>0</v>
      </c>
      <c r="I1335">
        <v>0</v>
      </c>
      <c r="J1335" s="1">
        <v>45928.083967997685</v>
      </c>
      <c r="K1335" t="s">
        <v>886</v>
      </c>
      <c r="L1335">
        <f>COUNTIF($A$2:A1335,A1335)</f>
        <v>8</v>
      </c>
    </row>
    <row r="1336" spans="1:12" x14ac:dyDescent="0.3">
      <c r="A1336">
        <v>12958</v>
      </c>
      <c r="B1336" t="s">
        <v>866</v>
      </c>
      <c r="C1336" t="s">
        <v>876</v>
      </c>
      <c r="D1336" t="s">
        <v>877</v>
      </c>
      <c r="E1336">
        <v>16</v>
      </c>
      <c r="F1336">
        <v>53.33</v>
      </c>
      <c r="G1336">
        <v>46.67</v>
      </c>
      <c r="H1336">
        <v>0</v>
      </c>
      <c r="I1336">
        <v>0</v>
      </c>
      <c r="J1336" s="1">
        <v>45928.083989050923</v>
      </c>
      <c r="K1336" t="s">
        <v>886</v>
      </c>
      <c r="L1336">
        <f>COUNTIF($A$2:A1336,A1336)</f>
        <v>9</v>
      </c>
    </row>
    <row r="1337" spans="1:12" x14ac:dyDescent="0.3">
      <c r="A1337">
        <v>12958</v>
      </c>
      <c r="B1337" t="s">
        <v>866</v>
      </c>
      <c r="C1337" t="s">
        <v>880</v>
      </c>
      <c r="D1337" t="s">
        <v>881</v>
      </c>
      <c r="E1337">
        <v>0</v>
      </c>
      <c r="F1337">
        <v>46.67</v>
      </c>
      <c r="G1337">
        <v>53.33</v>
      </c>
      <c r="H1337">
        <v>0</v>
      </c>
      <c r="I1337">
        <v>0</v>
      </c>
      <c r="J1337" s="1">
        <v>45928.083949780092</v>
      </c>
      <c r="K1337" t="s">
        <v>886</v>
      </c>
      <c r="L1337">
        <f>COUNTIF($A$2:A1337,A1337)</f>
        <v>10</v>
      </c>
    </row>
    <row r="1338" spans="1:12" x14ac:dyDescent="0.3">
      <c r="A1338">
        <v>15959</v>
      </c>
      <c r="B1338" t="s">
        <v>989</v>
      </c>
      <c r="C1338" t="s">
        <v>114</v>
      </c>
      <c r="D1338" t="s">
        <v>115</v>
      </c>
      <c r="E1338">
        <v>0</v>
      </c>
      <c r="F1338">
        <v>97.32</v>
      </c>
      <c r="G1338">
        <v>2.68</v>
      </c>
      <c r="H1338">
        <v>0</v>
      </c>
      <c r="I1338">
        <v>0</v>
      </c>
      <c r="J1338" s="1">
        <v>45928.089882939814</v>
      </c>
      <c r="K1338" t="s">
        <v>990</v>
      </c>
      <c r="L1338">
        <f>COUNTIF($A$2:A1338,A1338)</f>
        <v>1</v>
      </c>
    </row>
    <row r="1339" spans="1:12" x14ac:dyDescent="0.3">
      <c r="A1339">
        <v>15959</v>
      </c>
      <c r="B1339" t="s">
        <v>989</v>
      </c>
      <c r="C1339" t="s">
        <v>306</v>
      </c>
      <c r="D1339" t="s">
        <v>307</v>
      </c>
      <c r="E1339">
        <v>8</v>
      </c>
      <c r="F1339">
        <v>95.02</v>
      </c>
      <c r="G1339">
        <v>3.07</v>
      </c>
      <c r="H1339">
        <v>1.92</v>
      </c>
      <c r="I1339">
        <v>0</v>
      </c>
      <c r="J1339" s="1">
        <v>45928.090303263889</v>
      </c>
      <c r="K1339" t="s">
        <v>990</v>
      </c>
      <c r="L1339">
        <f>COUNTIF($A$2:A1339,A1339)</f>
        <v>2</v>
      </c>
    </row>
    <row r="1340" spans="1:12" x14ac:dyDescent="0.3">
      <c r="A1340">
        <v>15959</v>
      </c>
      <c r="B1340" t="s">
        <v>989</v>
      </c>
      <c r="C1340" t="s">
        <v>991</v>
      </c>
      <c r="D1340" t="s">
        <v>992</v>
      </c>
      <c r="E1340">
        <v>8</v>
      </c>
      <c r="F1340">
        <v>90.8</v>
      </c>
      <c r="G1340">
        <v>8.81</v>
      </c>
      <c r="H1340">
        <v>0.38</v>
      </c>
      <c r="I1340">
        <v>0.01</v>
      </c>
      <c r="J1340" s="1">
        <v>45928.089901307867</v>
      </c>
      <c r="K1340" t="s">
        <v>990</v>
      </c>
      <c r="L1340">
        <f>COUNTIF($A$2:A1340,A1340)</f>
        <v>3</v>
      </c>
    </row>
    <row r="1341" spans="1:12" x14ac:dyDescent="0.3">
      <c r="A1341">
        <v>15959</v>
      </c>
      <c r="B1341" t="s">
        <v>989</v>
      </c>
      <c r="C1341" t="s">
        <v>625</v>
      </c>
      <c r="D1341" t="s">
        <v>626</v>
      </c>
      <c r="E1341">
        <v>9</v>
      </c>
      <c r="F1341">
        <v>90.04</v>
      </c>
      <c r="G1341">
        <v>8.0500000000000007</v>
      </c>
      <c r="H1341">
        <v>1.92</v>
      </c>
      <c r="I1341">
        <v>0</v>
      </c>
      <c r="J1341" s="1">
        <v>45928.090260289355</v>
      </c>
      <c r="K1341" t="s">
        <v>990</v>
      </c>
      <c r="L1341">
        <f>COUNTIF($A$2:A1341,A1341)</f>
        <v>4</v>
      </c>
    </row>
    <row r="1342" spans="1:12" x14ac:dyDescent="0.3">
      <c r="A1342">
        <v>15959</v>
      </c>
      <c r="B1342" t="s">
        <v>989</v>
      </c>
      <c r="C1342" t="s">
        <v>1005</v>
      </c>
      <c r="D1342" t="s">
        <v>1006</v>
      </c>
      <c r="E1342">
        <v>8</v>
      </c>
      <c r="F1342">
        <v>88.12</v>
      </c>
      <c r="G1342">
        <v>10.73</v>
      </c>
      <c r="H1342">
        <v>1.1499999999999999</v>
      </c>
      <c r="I1342">
        <v>0</v>
      </c>
      <c r="J1342" s="1">
        <v>45928.09015398148</v>
      </c>
      <c r="K1342" t="s">
        <v>990</v>
      </c>
      <c r="L1342">
        <f>COUNTIF($A$2:A1342,A1342)</f>
        <v>5</v>
      </c>
    </row>
    <row r="1343" spans="1:12" x14ac:dyDescent="0.3">
      <c r="A1343">
        <v>15959</v>
      </c>
      <c r="B1343" t="s">
        <v>989</v>
      </c>
      <c r="C1343" t="s">
        <v>1011</v>
      </c>
      <c r="D1343" t="s">
        <v>1012</v>
      </c>
      <c r="E1343">
        <v>10</v>
      </c>
      <c r="F1343">
        <v>86.21</v>
      </c>
      <c r="G1343">
        <v>11.49</v>
      </c>
      <c r="H1343">
        <v>2.2999999999999998</v>
      </c>
      <c r="I1343">
        <v>0</v>
      </c>
      <c r="J1343" s="1">
        <v>45928.090344201388</v>
      </c>
      <c r="K1343" t="s">
        <v>990</v>
      </c>
      <c r="L1343">
        <f>COUNTIF($A$2:A1343,A1343)</f>
        <v>6</v>
      </c>
    </row>
    <row r="1344" spans="1:12" x14ac:dyDescent="0.3">
      <c r="A1344">
        <v>15959</v>
      </c>
      <c r="B1344" t="s">
        <v>989</v>
      </c>
      <c r="C1344" t="s">
        <v>1003</v>
      </c>
      <c r="D1344" t="s">
        <v>1004</v>
      </c>
      <c r="E1344">
        <v>9</v>
      </c>
      <c r="F1344">
        <v>85.82</v>
      </c>
      <c r="G1344">
        <v>13.03</v>
      </c>
      <c r="H1344">
        <v>1.1499999999999999</v>
      </c>
      <c r="I1344">
        <v>0</v>
      </c>
      <c r="J1344" s="1">
        <v>45928.090107303244</v>
      </c>
      <c r="K1344" t="s">
        <v>990</v>
      </c>
      <c r="L1344">
        <f>COUNTIF($A$2:A1344,A1344)</f>
        <v>7</v>
      </c>
    </row>
    <row r="1345" spans="1:12" x14ac:dyDescent="0.3">
      <c r="A1345">
        <v>15959</v>
      </c>
      <c r="B1345" t="s">
        <v>989</v>
      </c>
      <c r="C1345" t="s">
        <v>631</v>
      </c>
      <c r="D1345" t="s">
        <v>632</v>
      </c>
      <c r="E1345">
        <v>13</v>
      </c>
      <c r="F1345">
        <v>82.76</v>
      </c>
      <c r="G1345">
        <v>13.03</v>
      </c>
      <c r="H1345">
        <v>4.21</v>
      </c>
      <c r="I1345">
        <v>0</v>
      </c>
      <c r="J1345" s="1">
        <v>45928.090652997686</v>
      </c>
      <c r="K1345" t="s">
        <v>990</v>
      </c>
      <c r="L1345">
        <f>COUNTIF($A$2:A1345,A1345)</f>
        <v>8</v>
      </c>
    </row>
    <row r="1346" spans="1:12" x14ac:dyDescent="0.3">
      <c r="A1346">
        <v>15959</v>
      </c>
      <c r="B1346" t="s">
        <v>989</v>
      </c>
      <c r="C1346" t="s">
        <v>633</v>
      </c>
      <c r="D1346" t="s">
        <v>634</v>
      </c>
      <c r="E1346">
        <v>12</v>
      </c>
      <c r="F1346">
        <v>82.76</v>
      </c>
      <c r="G1346">
        <v>13.41</v>
      </c>
      <c r="H1346">
        <v>3.45</v>
      </c>
      <c r="I1346">
        <v>0.38</v>
      </c>
      <c r="J1346" s="1">
        <v>45928.090670972226</v>
      </c>
      <c r="K1346" t="s">
        <v>990</v>
      </c>
      <c r="L1346">
        <f>COUNTIF($A$2:A1346,A1346)</f>
        <v>9</v>
      </c>
    </row>
    <row r="1347" spans="1:12" x14ac:dyDescent="0.3">
      <c r="A1347">
        <v>15959</v>
      </c>
      <c r="B1347" t="s">
        <v>989</v>
      </c>
      <c r="C1347" t="s">
        <v>1013</v>
      </c>
      <c r="D1347" t="s">
        <v>1014</v>
      </c>
      <c r="E1347">
        <v>11</v>
      </c>
      <c r="F1347">
        <v>80.08</v>
      </c>
      <c r="G1347">
        <v>17.62</v>
      </c>
      <c r="H1347">
        <v>2.2999999999999998</v>
      </c>
      <c r="I1347">
        <v>0</v>
      </c>
      <c r="J1347" s="1">
        <v>45928.090388321762</v>
      </c>
      <c r="K1347" t="s">
        <v>990</v>
      </c>
      <c r="L1347">
        <f>COUNTIF($A$2:A1347,A1347)</f>
        <v>10</v>
      </c>
    </row>
    <row r="1348" spans="1:12" x14ac:dyDescent="0.3">
      <c r="A1348">
        <v>15959</v>
      </c>
      <c r="B1348" t="s">
        <v>989</v>
      </c>
      <c r="C1348" t="s">
        <v>997</v>
      </c>
      <c r="D1348" t="s">
        <v>998</v>
      </c>
      <c r="E1348">
        <v>10</v>
      </c>
      <c r="F1348">
        <v>79.69</v>
      </c>
      <c r="G1348">
        <v>19.920000000000002</v>
      </c>
      <c r="H1348">
        <v>0.38</v>
      </c>
      <c r="I1348">
        <v>0.01</v>
      </c>
      <c r="J1348" s="1">
        <v>45928.089999699077</v>
      </c>
      <c r="K1348" t="s">
        <v>990</v>
      </c>
      <c r="L1348">
        <f>COUNTIF($A$2:A1348,A1348)</f>
        <v>11</v>
      </c>
    </row>
    <row r="1349" spans="1:12" x14ac:dyDescent="0.3">
      <c r="A1349">
        <v>15959</v>
      </c>
      <c r="B1349" t="s">
        <v>989</v>
      </c>
      <c r="C1349" t="s">
        <v>1007</v>
      </c>
      <c r="D1349" t="s">
        <v>1008</v>
      </c>
      <c r="E1349">
        <v>12</v>
      </c>
      <c r="F1349">
        <v>78.16</v>
      </c>
      <c r="G1349">
        <v>20.69</v>
      </c>
      <c r="H1349">
        <v>1.1499999999999999</v>
      </c>
      <c r="I1349">
        <v>0</v>
      </c>
      <c r="J1349" s="1">
        <v>45928.090195439814</v>
      </c>
      <c r="K1349" t="s">
        <v>990</v>
      </c>
      <c r="L1349">
        <f>COUNTIF($A$2:A1349,A1349)</f>
        <v>12</v>
      </c>
    </row>
    <row r="1350" spans="1:12" x14ac:dyDescent="0.3">
      <c r="A1350">
        <v>15959</v>
      </c>
      <c r="B1350" t="s">
        <v>989</v>
      </c>
      <c r="C1350" t="s">
        <v>1009</v>
      </c>
      <c r="D1350" t="s">
        <v>1010</v>
      </c>
      <c r="E1350">
        <v>13</v>
      </c>
      <c r="F1350">
        <v>77.39</v>
      </c>
      <c r="G1350">
        <v>21.07</v>
      </c>
      <c r="H1350">
        <v>1.53</v>
      </c>
      <c r="I1350">
        <v>0.01</v>
      </c>
      <c r="J1350" s="1">
        <v>45928.090217164354</v>
      </c>
      <c r="K1350" t="s">
        <v>990</v>
      </c>
      <c r="L1350">
        <f>COUNTIF($A$2:A1350,A1350)</f>
        <v>13</v>
      </c>
    </row>
    <row r="1351" spans="1:12" x14ac:dyDescent="0.3">
      <c r="A1351">
        <v>15959</v>
      </c>
      <c r="B1351" t="s">
        <v>989</v>
      </c>
      <c r="C1351" t="s">
        <v>1019</v>
      </c>
      <c r="D1351" t="s">
        <v>1020</v>
      </c>
      <c r="E1351">
        <v>13</v>
      </c>
      <c r="F1351">
        <v>77.39</v>
      </c>
      <c r="G1351">
        <v>18.77</v>
      </c>
      <c r="H1351">
        <v>3.83</v>
      </c>
      <c r="I1351">
        <v>0.01</v>
      </c>
      <c r="J1351" s="1">
        <v>45928.090607997685</v>
      </c>
      <c r="K1351" t="s">
        <v>990</v>
      </c>
      <c r="L1351">
        <f>COUNTIF($A$2:A1351,A1351)</f>
        <v>14</v>
      </c>
    </row>
    <row r="1352" spans="1:12" x14ac:dyDescent="0.3">
      <c r="A1352">
        <v>15959</v>
      </c>
      <c r="B1352" t="s">
        <v>989</v>
      </c>
      <c r="C1352" t="s">
        <v>1044</v>
      </c>
      <c r="D1352" t="s">
        <v>1045</v>
      </c>
      <c r="E1352">
        <v>21</v>
      </c>
      <c r="F1352">
        <v>76.63</v>
      </c>
      <c r="G1352">
        <v>13.41</v>
      </c>
      <c r="H1352">
        <v>9.9600000000000009</v>
      </c>
      <c r="I1352">
        <v>0</v>
      </c>
      <c r="J1352" s="1">
        <v>45928.091394143521</v>
      </c>
      <c r="K1352" t="s">
        <v>990</v>
      </c>
      <c r="L1352">
        <f>COUNTIF($A$2:A1352,A1352)</f>
        <v>15</v>
      </c>
    </row>
    <row r="1353" spans="1:12" x14ac:dyDescent="0.3">
      <c r="A1353">
        <v>15959</v>
      </c>
      <c r="B1353" t="s">
        <v>989</v>
      </c>
      <c r="C1353" t="s">
        <v>1021</v>
      </c>
      <c r="D1353" t="s">
        <v>1022</v>
      </c>
      <c r="E1353">
        <v>18</v>
      </c>
      <c r="F1353">
        <v>74.33</v>
      </c>
      <c r="G1353">
        <v>21.46</v>
      </c>
      <c r="H1353">
        <v>3.83</v>
      </c>
      <c r="I1353">
        <v>0.38</v>
      </c>
      <c r="J1353" s="1">
        <v>45928.090693217593</v>
      </c>
      <c r="K1353" t="s">
        <v>990</v>
      </c>
      <c r="L1353">
        <f>COUNTIF($A$2:A1353,A1353)</f>
        <v>16</v>
      </c>
    </row>
    <row r="1354" spans="1:12" x14ac:dyDescent="0.3">
      <c r="A1354">
        <v>15959</v>
      </c>
      <c r="B1354" t="s">
        <v>989</v>
      </c>
      <c r="C1354" t="s">
        <v>637</v>
      </c>
      <c r="D1354" t="s">
        <v>638</v>
      </c>
      <c r="E1354">
        <v>17</v>
      </c>
      <c r="F1354">
        <v>72.8</v>
      </c>
      <c r="G1354">
        <v>21.46</v>
      </c>
      <c r="H1354">
        <v>5.75</v>
      </c>
      <c r="I1354">
        <v>0</v>
      </c>
      <c r="J1354" s="1">
        <v>45928.090848229163</v>
      </c>
      <c r="K1354" t="s">
        <v>990</v>
      </c>
      <c r="L1354">
        <f>COUNTIF($A$2:A1354,A1354)</f>
        <v>17</v>
      </c>
    </row>
    <row r="1355" spans="1:12" x14ac:dyDescent="0.3">
      <c r="A1355">
        <v>15959</v>
      </c>
      <c r="B1355" t="s">
        <v>989</v>
      </c>
      <c r="C1355" t="s">
        <v>993</v>
      </c>
      <c r="D1355" t="s">
        <v>994</v>
      </c>
      <c r="E1355">
        <v>13</v>
      </c>
      <c r="F1355">
        <v>71.650000000000006</v>
      </c>
      <c r="G1355">
        <v>27.97</v>
      </c>
      <c r="H1355">
        <v>0.38</v>
      </c>
      <c r="I1355">
        <v>0</v>
      </c>
      <c r="J1355" s="1">
        <v>45928.089946736109</v>
      </c>
      <c r="K1355" t="s">
        <v>990</v>
      </c>
      <c r="L1355">
        <f>COUNTIF($A$2:A1355,A1355)</f>
        <v>18</v>
      </c>
    </row>
    <row r="1356" spans="1:12" x14ac:dyDescent="0.3">
      <c r="A1356">
        <v>15959</v>
      </c>
      <c r="B1356" t="s">
        <v>989</v>
      </c>
      <c r="C1356" t="s">
        <v>837</v>
      </c>
      <c r="D1356" t="s">
        <v>838</v>
      </c>
      <c r="E1356">
        <v>17</v>
      </c>
      <c r="F1356">
        <v>71.260000000000005</v>
      </c>
      <c r="G1356">
        <v>16.09</v>
      </c>
      <c r="H1356">
        <v>12.64</v>
      </c>
      <c r="I1356">
        <v>0.01</v>
      </c>
      <c r="J1356" s="1">
        <v>45928.091717280091</v>
      </c>
      <c r="K1356" t="s">
        <v>990</v>
      </c>
      <c r="L1356">
        <f>COUNTIF($A$2:A1356,A1356)</f>
        <v>19</v>
      </c>
    </row>
    <row r="1357" spans="1:12" x14ac:dyDescent="0.3">
      <c r="A1357">
        <v>15959</v>
      </c>
      <c r="B1357" t="s">
        <v>989</v>
      </c>
      <c r="C1357" t="s">
        <v>312</v>
      </c>
      <c r="D1357" t="s">
        <v>313</v>
      </c>
      <c r="E1357">
        <v>17</v>
      </c>
      <c r="F1357">
        <v>68.97</v>
      </c>
      <c r="G1357">
        <v>26.05</v>
      </c>
      <c r="H1357">
        <v>4.9800000000000004</v>
      </c>
      <c r="I1357">
        <v>0</v>
      </c>
      <c r="J1357" s="1">
        <v>45928.090502812498</v>
      </c>
      <c r="K1357" t="s">
        <v>990</v>
      </c>
      <c r="L1357">
        <f>COUNTIF($A$2:A1357,A1357)</f>
        <v>20</v>
      </c>
    </row>
    <row r="1358" spans="1:12" x14ac:dyDescent="0.3">
      <c r="A1358">
        <v>15959</v>
      </c>
      <c r="B1358" t="s">
        <v>989</v>
      </c>
      <c r="C1358" t="s">
        <v>627</v>
      </c>
      <c r="D1358" t="s">
        <v>628</v>
      </c>
      <c r="E1358">
        <v>13</v>
      </c>
      <c r="F1358">
        <v>68.2</v>
      </c>
      <c r="G1358">
        <v>26.82</v>
      </c>
      <c r="H1358">
        <v>4.9800000000000004</v>
      </c>
      <c r="I1358">
        <v>0</v>
      </c>
      <c r="J1358" s="1">
        <v>45928.090546886575</v>
      </c>
      <c r="K1358" t="s">
        <v>990</v>
      </c>
      <c r="L1358">
        <f>COUNTIF($A$2:A1358,A1358)</f>
        <v>21</v>
      </c>
    </row>
    <row r="1359" spans="1:12" x14ac:dyDescent="0.3">
      <c r="A1359">
        <v>15959</v>
      </c>
      <c r="B1359" t="s">
        <v>989</v>
      </c>
      <c r="C1359" t="s">
        <v>1027</v>
      </c>
      <c r="D1359" t="s">
        <v>1028</v>
      </c>
      <c r="E1359">
        <v>20</v>
      </c>
      <c r="F1359">
        <v>65.52</v>
      </c>
      <c r="G1359">
        <v>26.05</v>
      </c>
      <c r="H1359">
        <v>6.13</v>
      </c>
      <c r="I1359">
        <v>2.2999999999999998</v>
      </c>
      <c r="J1359" s="1">
        <v>45928.090869652777</v>
      </c>
      <c r="K1359" t="s">
        <v>990</v>
      </c>
      <c r="L1359">
        <f>COUNTIF($A$2:A1359,A1359)</f>
        <v>22</v>
      </c>
    </row>
    <row r="1360" spans="1:12" x14ac:dyDescent="0.3">
      <c r="A1360">
        <v>15959</v>
      </c>
      <c r="B1360" t="s">
        <v>989</v>
      </c>
      <c r="C1360" t="s">
        <v>995</v>
      </c>
      <c r="D1360" t="s">
        <v>996</v>
      </c>
      <c r="E1360">
        <v>0</v>
      </c>
      <c r="F1360">
        <v>65.13</v>
      </c>
      <c r="G1360">
        <v>34.479999999999997</v>
      </c>
      <c r="H1360">
        <v>0.38</v>
      </c>
      <c r="I1360">
        <v>0</v>
      </c>
      <c r="J1360" s="1">
        <v>45928.089982743055</v>
      </c>
      <c r="K1360" t="s">
        <v>990</v>
      </c>
      <c r="L1360">
        <f>COUNTIF($A$2:A1360,A1360)</f>
        <v>23</v>
      </c>
    </row>
    <row r="1361" spans="1:12" x14ac:dyDescent="0.3">
      <c r="A1361">
        <v>15959</v>
      </c>
      <c r="B1361" t="s">
        <v>989</v>
      </c>
      <c r="C1361" t="s">
        <v>629</v>
      </c>
      <c r="D1361" t="s">
        <v>630</v>
      </c>
      <c r="E1361">
        <v>19</v>
      </c>
      <c r="F1361">
        <v>65.13</v>
      </c>
      <c r="G1361">
        <v>29.5</v>
      </c>
      <c r="H1361">
        <v>5.36</v>
      </c>
      <c r="I1361">
        <v>0.01</v>
      </c>
      <c r="J1361" s="1">
        <v>45928.090588067127</v>
      </c>
      <c r="K1361" t="s">
        <v>990</v>
      </c>
      <c r="L1361">
        <f>COUNTIF($A$2:A1361,A1361)</f>
        <v>24</v>
      </c>
    </row>
    <row r="1362" spans="1:12" x14ac:dyDescent="0.3">
      <c r="A1362">
        <v>15959</v>
      </c>
      <c r="B1362" t="s">
        <v>989</v>
      </c>
      <c r="C1362" t="s">
        <v>643</v>
      </c>
      <c r="D1362" t="s">
        <v>644</v>
      </c>
      <c r="E1362">
        <v>23</v>
      </c>
      <c r="F1362">
        <v>63.6</v>
      </c>
      <c r="G1362">
        <v>28.35</v>
      </c>
      <c r="H1362">
        <v>8.0500000000000007</v>
      </c>
      <c r="I1362">
        <v>0</v>
      </c>
      <c r="J1362" s="1">
        <v>45928.091034849538</v>
      </c>
      <c r="K1362" t="s">
        <v>990</v>
      </c>
      <c r="L1362">
        <f>COUNTIF($A$2:A1362,A1362)</f>
        <v>25</v>
      </c>
    </row>
    <row r="1363" spans="1:12" x14ac:dyDescent="0.3">
      <c r="A1363">
        <v>15959</v>
      </c>
      <c r="B1363" t="s">
        <v>989</v>
      </c>
      <c r="C1363" t="s">
        <v>999</v>
      </c>
      <c r="D1363" t="s">
        <v>1000</v>
      </c>
      <c r="E1363">
        <v>14</v>
      </c>
      <c r="F1363">
        <v>62.45</v>
      </c>
      <c r="G1363">
        <v>37.159999999999997</v>
      </c>
      <c r="H1363">
        <v>0.38</v>
      </c>
      <c r="I1363">
        <v>0.01</v>
      </c>
      <c r="J1363" s="1">
        <v>45928.090023668985</v>
      </c>
      <c r="K1363" t="s">
        <v>990</v>
      </c>
      <c r="L1363">
        <f>COUNTIF($A$2:A1363,A1363)</f>
        <v>26</v>
      </c>
    </row>
    <row r="1364" spans="1:12" x14ac:dyDescent="0.3">
      <c r="A1364">
        <v>15959</v>
      </c>
      <c r="B1364" t="s">
        <v>989</v>
      </c>
      <c r="C1364" t="s">
        <v>1029</v>
      </c>
      <c r="D1364" t="s">
        <v>1030</v>
      </c>
      <c r="E1364">
        <v>23</v>
      </c>
      <c r="F1364">
        <v>59.39</v>
      </c>
      <c r="G1364">
        <v>30.27</v>
      </c>
      <c r="H1364">
        <v>8.0500000000000007</v>
      </c>
      <c r="I1364">
        <v>2.29</v>
      </c>
      <c r="J1364" s="1">
        <v>45928.090889803243</v>
      </c>
      <c r="K1364" t="s">
        <v>990</v>
      </c>
      <c r="L1364">
        <f>COUNTIF($A$2:A1364,A1364)</f>
        <v>27</v>
      </c>
    </row>
    <row r="1365" spans="1:12" x14ac:dyDescent="0.3">
      <c r="A1365">
        <v>15959</v>
      </c>
      <c r="B1365" t="s">
        <v>989</v>
      </c>
      <c r="C1365" t="s">
        <v>1017</v>
      </c>
      <c r="D1365" t="s">
        <v>1018</v>
      </c>
      <c r="E1365">
        <v>21</v>
      </c>
      <c r="F1365">
        <v>58.62</v>
      </c>
      <c r="G1365">
        <v>35.630000000000003</v>
      </c>
      <c r="H1365">
        <v>5.75</v>
      </c>
      <c r="I1365">
        <v>0</v>
      </c>
      <c r="J1365" s="1">
        <v>45928.090567812498</v>
      </c>
      <c r="K1365" t="s">
        <v>990</v>
      </c>
      <c r="L1365">
        <f>COUNTIF($A$2:A1365,A1365)</f>
        <v>28</v>
      </c>
    </row>
    <row r="1366" spans="1:12" x14ac:dyDescent="0.3">
      <c r="A1366">
        <v>15959</v>
      </c>
      <c r="B1366" t="s">
        <v>989</v>
      </c>
      <c r="C1366" t="s">
        <v>639</v>
      </c>
      <c r="D1366" t="s">
        <v>640</v>
      </c>
      <c r="E1366">
        <v>24</v>
      </c>
      <c r="F1366">
        <v>55.17</v>
      </c>
      <c r="G1366">
        <v>34.479999999999997</v>
      </c>
      <c r="H1366">
        <v>8.0500000000000007</v>
      </c>
      <c r="I1366">
        <v>2.2999999999999998</v>
      </c>
      <c r="J1366" s="1">
        <v>45928.090907546299</v>
      </c>
      <c r="K1366" t="s">
        <v>990</v>
      </c>
      <c r="L1366">
        <f>COUNTIF($A$2:A1366,A1366)</f>
        <v>29</v>
      </c>
    </row>
    <row r="1367" spans="1:12" x14ac:dyDescent="0.3">
      <c r="A1367">
        <v>15959</v>
      </c>
      <c r="B1367" t="s">
        <v>989</v>
      </c>
      <c r="C1367" t="s">
        <v>641</v>
      </c>
      <c r="D1367" t="s">
        <v>642</v>
      </c>
      <c r="E1367">
        <v>26</v>
      </c>
      <c r="F1367">
        <v>55.17</v>
      </c>
      <c r="G1367">
        <v>34.1</v>
      </c>
      <c r="H1367">
        <v>8.43</v>
      </c>
      <c r="I1367">
        <v>2.2999999999999998</v>
      </c>
      <c r="J1367" s="1">
        <v>45928.090990891207</v>
      </c>
      <c r="K1367" t="s">
        <v>990</v>
      </c>
      <c r="L1367">
        <f>COUNTIF($A$2:A1367,A1367)</f>
        <v>30</v>
      </c>
    </row>
    <row r="1368" spans="1:12" x14ac:dyDescent="0.3">
      <c r="A1368">
        <v>15959</v>
      </c>
      <c r="B1368" t="s">
        <v>989</v>
      </c>
      <c r="C1368" t="s">
        <v>1001</v>
      </c>
      <c r="D1368" t="s">
        <v>1002</v>
      </c>
      <c r="E1368">
        <v>0</v>
      </c>
      <c r="F1368">
        <v>48.66</v>
      </c>
      <c r="G1368">
        <v>50.19</v>
      </c>
      <c r="H1368">
        <v>1.1499999999999999</v>
      </c>
      <c r="I1368">
        <v>0</v>
      </c>
      <c r="J1368" s="1">
        <v>45928.090063460651</v>
      </c>
      <c r="K1368" t="s">
        <v>990</v>
      </c>
      <c r="L1368">
        <f>COUNTIF($A$2:A1368,A1368)</f>
        <v>31</v>
      </c>
    </row>
    <row r="1369" spans="1:12" x14ac:dyDescent="0.3">
      <c r="A1369">
        <v>15959</v>
      </c>
      <c r="B1369" t="s">
        <v>989</v>
      </c>
      <c r="C1369" t="s">
        <v>1031</v>
      </c>
      <c r="D1369" t="s">
        <v>1032</v>
      </c>
      <c r="E1369">
        <v>27</v>
      </c>
      <c r="F1369">
        <v>48.28</v>
      </c>
      <c r="G1369">
        <v>41.38</v>
      </c>
      <c r="H1369">
        <v>8.0500000000000007</v>
      </c>
      <c r="I1369">
        <v>2.29</v>
      </c>
      <c r="J1369" s="1">
        <v>45928.090925543984</v>
      </c>
      <c r="K1369" t="s">
        <v>990</v>
      </c>
      <c r="L1369">
        <f>COUNTIF($A$2:A1369,A1369)</f>
        <v>32</v>
      </c>
    </row>
    <row r="1370" spans="1:12" x14ac:dyDescent="0.3">
      <c r="A1370">
        <v>15959</v>
      </c>
      <c r="B1370" t="s">
        <v>989</v>
      </c>
      <c r="C1370" t="s">
        <v>1033</v>
      </c>
      <c r="D1370" t="s">
        <v>1033</v>
      </c>
      <c r="E1370">
        <v>28</v>
      </c>
      <c r="F1370">
        <v>44.44</v>
      </c>
      <c r="G1370">
        <v>44.83</v>
      </c>
      <c r="H1370">
        <v>8.43</v>
      </c>
      <c r="I1370">
        <v>2.2999999999999998</v>
      </c>
      <c r="J1370" s="1">
        <v>45928.090948229168</v>
      </c>
      <c r="K1370" t="s">
        <v>990</v>
      </c>
      <c r="L1370">
        <f>COUNTIF($A$2:A1370,A1370)</f>
        <v>33</v>
      </c>
    </row>
    <row r="1371" spans="1:12" x14ac:dyDescent="0.3">
      <c r="A1371">
        <v>15959</v>
      </c>
      <c r="B1371" t="s">
        <v>989</v>
      </c>
      <c r="C1371" t="s">
        <v>1034</v>
      </c>
      <c r="D1371" t="s">
        <v>1035</v>
      </c>
      <c r="E1371">
        <v>30</v>
      </c>
      <c r="F1371">
        <v>41.38</v>
      </c>
      <c r="G1371">
        <v>47.89</v>
      </c>
      <c r="H1371">
        <v>8.43</v>
      </c>
      <c r="I1371">
        <v>2.2999999999999998</v>
      </c>
      <c r="J1371" s="1">
        <v>45928.090969930556</v>
      </c>
      <c r="K1371" t="s">
        <v>990</v>
      </c>
      <c r="L1371">
        <f>COUNTIF($A$2:A1371,A1371)</f>
        <v>34</v>
      </c>
    </row>
    <row r="1372" spans="1:12" x14ac:dyDescent="0.3">
      <c r="A1372">
        <v>15959</v>
      </c>
      <c r="B1372" t="s">
        <v>989</v>
      </c>
      <c r="C1372" t="s">
        <v>645</v>
      </c>
      <c r="D1372" t="s">
        <v>646</v>
      </c>
      <c r="E1372">
        <v>32</v>
      </c>
      <c r="F1372">
        <v>41</v>
      </c>
      <c r="G1372">
        <v>47.51</v>
      </c>
      <c r="H1372">
        <v>11.49</v>
      </c>
      <c r="I1372">
        <v>0</v>
      </c>
      <c r="J1372" s="1">
        <v>45928.091077337966</v>
      </c>
      <c r="K1372" t="s">
        <v>990</v>
      </c>
      <c r="L1372">
        <f>COUNTIF($A$2:A1372,A1372)</f>
        <v>35</v>
      </c>
    </row>
    <row r="1373" spans="1:12" x14ac:dyDescent="0.3">
      <c r="A1373">
        <v>15959</v>
      </c>
      <c r="B1373" t="s">
        <v>989</v>
      </c>
      <c r="C1373" t="s">
        <v>1038</v>
      </c>
      <c r="D1373" t="s">
        <v>1039</v>
      </c>
      <c r="E1373">
        <v>36</v>
      </c>
      <c r="F1373">
        <v>41</v>
      </c>
      <c r="G1373">
        <v>42.53</v>
      </c>
      <c r="H1373">
        <v>16.48</v>
      </c>
      <c r="I1373">
        <v>0</v>
      </c>
      <c r="J1373" s="1">
        <v>45928.091161481483</v>
      </c>
      <c r="K1373" t="s">
        <v>990</v>
      </c>
      <c r="L1373">
        <f>COUNTIF($A$2:A1373,A1373)</f>
        <v>36</v>
      </c>
    </row>
    <row r="1374" spans="1:12" x14ac:dyDescent="0.3">
      <c r="A1374">
        <v>15959</v>
      </c>
      <c r="B1374" t="s">
        <v>989</v>
      </c>
      <c r="C1374" t="s">
        <v>842</v>
      </c>
      <c r="D1374" t="s">
        <v>843</v>
      </c>
      <c r="E1374">
        <v>39</v>
      </c>
      <c r="F1374">
        <v>39.46</v>
      </c>
      <c r="G1374">
        <v>43.68</v>
      </c>
      <c r="H1374">
        <v>16.86</v>
      </c>
      <c r="I1374">
        <v>0</v>
      </c>
      <c r="J1374" s="1">
        <v>45928.091418518517</v>
      </c>
      <c r="K1374" t="s">
        <v>990</v>
      </c>
      <c r="L1374">
        <f>COUNTIF($A$2:A1374,A1374)</f>
        <v>37</v>
      </c>
    </row>
    <row r="1375" spans="1:12" x14ac:dyDescent="0.3">
      <c r="A1375">
        <v>15959</v>
      </c>
      <c r="B1375" t="s">
        <v>989</v>
      </c>
      <c r="C1375" t="s">
        <v>850</v>
      </c>
      <c r="D1375" t="s">
        <v>851</v>
      </c>
      <c r="E1375">
        <v>35</v>
      </c>
      <c r="F1375">
        <v>38.31</v>
      </c>
      <c r="G1375">
        <v>47.89</v>
      </c>
      <c r="H1375">
        <v>13.79</v>
      </c>
      <c r="I1375">
        <v>0.01</v>
      </c>
      <c r="J1375" s="1">
        <v>45928.091098599536</v>
      </c>
      <c r="K1375" t="s">
        <v>990</v>
      </c>
      <c r="L1375">
        <f>COUNTIF($A$2:A1375,A1375)</f>
        <v>38</v>
      </c>
    </row>
    <row r="1376" spans="1:12" x14ac:dyDescent="0.3">
      <c r="A1376">
        <v>15959</v>
      </c>
      <c r="B1376" t="s">
        <v>989</v>
      </c>
      <c r="C1376" t="s">
        <v>1036</v>
      </c>
      <c r="D1376" t="s">
        <v>1037</v>
      </c>
      <c r="E1376">
        <v>37</v>
      </c>
      <c r="F1376">
        <v>36.78</v>
      </c>
      <c r="G1376">
        <v>47.51</v>
      </c>
      <c r="H1376">
        <v>15.71</v>
      </c>
      <c r="I1376">
        <v>0</v>
      </c>
      <c r="J1376" s="1">
        <v>45928.091119189812</v>
      </c>
      <c r="K1376" t="s">
        <v>990</v>
      </c>
      <c r="L1376">
        <f>COUNTIF($A$2:A1376,A1376)</f>
        <v>39</v>
      </c>
    </row>
    <row r="1377" spans="1:12" x14ac:dyDescent="0.3">
      <c r="A1377">
        <v>15959</v>
      </c>
      <c r="B1377" t="s">
        <v>989</v>
      </c>
      <c r="C1377" t="s">
        <v>310</v>
      </c>
      <c r="D1377" t="s">
        <v>311</v>
      </c>
      <c r="E1377">
        <v>0</v>
      </c>
      <c r="F1377">
        <v>32.57</v>
      </c>
      <c r="G1377">
        <v>62.45</v>
      </c>
      <c r="H1377">
        <v>4.9800000000000004</v>
      </c>
      <c r="I1377">
        <v>0</v>
      </c>
      <c r="J1377" s="1">
        <v>45928.09044054398</v>
      </c>
      <c r="K1377" t="s">
        <v>990</v>
      </c>
      <c r="L1377">
        <f>COUNTIF($A$2:A1377,A1377)</f>
        <v>40</v>
      </c>
    </row>
    <row r="1378" spans="1:12" x14ac:dyDescent="0.3">
      <c r="A1378">
        <v>15959</v>
      </c>
      <c r="B1378" t="s">
        <v>989</v>
      </c>
      <c r="C1378" t="s">
        <v>1048</v>
      </c>
      <c r="D1378" t="s">
        <v>1049</v>
      </c>
      <c r="E1378">
        <v>42</v>
      </c>
      <c r="F1378">
        <v>21.46</v>
      </c>
      <c r="G1378">
        <v>63.22</v>
      </c>
      <c r="H1378">
        <v>15.33</v>
      </c>
      <c r="I1378">
        <v>0</v>
      </c>
      <c r="J1378" s="1">
        <v>45928.091484548611</v>
      </c>
      <c r="K1378" t="s">
        <v>990</v>
      </c>
      <c r="L1378">
        <f>COUNTIF($A$2:A1378,A1378)</f>
        <v>41</v>
      </c>
    </row>
    <row r="1379" spans="1:12" x14ac:dyDescent="0.3">
      <c r="A1379">
        <v>15959</v>
      </c>
      <c r="B1379" t="s">
        <v>989</v>
      </c>
      <c r="C1379" t="s">
        <v>848</v>
      </c>
      <c r="D1379" t="s">
        <v>849</v>
      </c>
      <c r="E1379">
        <v>47</v>
      </c>
      <c r="F1379">
        <v>20.69</v>
      </c>
      <c r="G1379">
        <v>57.85</v>
      </c>
      <c r="H1379">
        <v>21.46</v>
      </c>
      <c r="I1379">
        <v>0</v>
      </c>
      <c r="J1379" s="1">
        <v>45928.091183530094</v>
      </c>
      <c r="K1379" t="s">
        <v>990</v>
      </c>
      <c r="L1379">
        <f>COUNTIF($A$2:A1379,A1379)</f>
        <v>42</v>
      </c>
    </row>
    <row r="1380" spans="1:12" x14ac:dyDescent="0.3">
      <c r="A1380">
        <v>15959</v>
      </c>
      <c r="B1380" t="s">
        <v>989</v>
      </c>
      <c r="C1380" t="s">
        <v>1040</v>
      </c>
      <c r="D1380" t="s">
        <v>1041</v>
      </c>
      <c r="E1380">
        <v>47</v>
      </c>
      <c r="F1380">
        <v>20.69</v>
      </c>
      <c r="G1380">
        <v>60.15</v>
      </c>
      <c r="H1380">
        <v>19.16</v>
      </c>
      <c r="I1380">
        <v>0</v>
      </c>
      <c r="J1380" s="1">
        <v>45928.091325034722</v>
      </c>
      <c r="K1380" t="s">
        <v>990</v>
      </c>
      <c r="L1380">
        <f>COUNTIF($A$2:A1380,A1380)</f>
        <v>43</v>
      </c>
    </row>
    <row r="1381" spans="1:12" x14ac:dyDescent="0.3">
      <c r="A1381">
        <v>15959</v>
      </c>
      <c r="B1381" t="s">
        <v>989</v>
      </c>
      <c r="C1381" t="s">
        <v>1042</v>
      </c>
      <c r="D1381" t="s">
        <v>1043</v>
      </c>
      <c r="E1381">
        <v>48</v>
      </c>
      <c r="F1381">
        <v>19.920000000000002</v>
      </c>
      <c r="G1381">
        <v>60.54</v>
      </c>
      <c r="H1381">
        <v>19.54</v>
      </c>
      <c r="I1381">
        <v>0</v>
      </c>
      <c r="J1381" s="1">
        <v>45928.0913462963</v>
      </c>
      <c r="K1381" t="s">
        <v>990</v>
      </c>
      <c r="L1381">
        <f>COUNTIF($A$2:A1381,A1381)</f>
        <v>44</v>
      </c>
    </row>
    <row r="1382" spans="1:12" x14ac:dyDescent="0.3">
      <c r="A1382">
        <v>15959</v>
      </c>
      <c r="B1382" t="s">
        <v>989</v>
      </c>
      <c r="C1382" t="s">
        <v>844</v>
      </c>
      <c r="D1382" t="s">
        <v>845</v>
      </c>
      <c r="E1382">
        <v>49</v>
      </c>
      <c r="F1382">
        <v>17.62</v>
      </c>
      <c r="G1382">
        <v>62.07</v>
      </c>
      <c r="H1382">
        <v>20.309999999999999</v>
      </c>
      <c r="I1382">
        <v>0</v>
      </c>
      <c r="J1382" s="1">
        <v>45928.091277083331</v>
      </c>
      <c r="K1382" t="s">
        <v>990</v>
      </c>
      <c r="L1382">
        <f>COUNTIF($A$2:A1382,A1382)</f>
        <v>45</v>
      </c>
    </row>
    <row r="1383" spans="1:12" x14ac:dyDescent="0.3">
      <c r="A1383">
        <v>15959</v>
      </c>
      <c r="B1383" t="s">
        <v>989</v>
      </c>
      <c r="C1383" t="s">
        <v>846</v>
      </c>
      <c r="D1383" t="s">
        <v>847</v>
      </c>
      <c r="E1383">
        <v>48</v>
      </c>
      <c r="F1383">
        <v>16.09</v>
      </c>
      <c r="G1383">
        <v>62.84</v>
      </c>
      <c r="H1383">
        <v>21.07</v>
      </c>
      <c r="I1383">
        <v>0</v>
      </c>
      <c r="J1383" s="1">
        <v>45928.09123327546</v>
      </c>
      <c r="K1383" t="s">
        <v>990</v>
      </c>
      <c r="L1383">
        <f>COUNTIF($A$2:A1383,A1383)</f>
        <v>46</v>
      </c>
    </row>
    <row r="1384" spans="1:12" x14ac:dyDescent="0.3">
      <c r="A1384">
        <v>15959</v>
      </c>
      <c r="B1384" t="s">
        <v>989</v>
      </c>
      <c r="C1384" t="s">
        <v>1015</v>
      </c>
      <c r="D1384" t="s">
        <v>1016</v>
      </c>
      <c r="E1384">
        <v>34</v>
      </c>
      <c r="F1384">
        <v>14.18</v>
      </c>
      <c r="G1384">
        <v>78.16</v>
      </c>
      <c r="H1384">
        <v>7.66</v>
      </c>
      <c r="I1384">
        <v>0</v>
      </c>
      <c r="J1384" s="1">
        <v>45928.090483796295</v>
      </c>
      <c r="K1384" t="s">
        <v>990</v>
      </c>
      <c r="L1384">
        <f>COUNTIF($A$2:A1384,A1384)</f>
        <v>47</v>
      </c>
    </row>
    <row r="1385" spans="1:12" x14ac:dyDescent="0.3">
      <c r="A1385">
        <v>15959</v>
      </c>
      <c r="B1385" t="s">
        <v>989</v>
      </c>
      <c r="C1385" t="s">
        <v>840</v>
      </c>
      <c r="D1385" t="s">
        <v>841</v>
      </c>
      <c r="E1385">
        <v>53</v>
      </c>
      <c r="F1385">
        <v>13.79</v>
      </c>
      <c r="G1385">
        <v>65.52</v>
      </c>
      <c r="H1385">
        <v>20.69</v>
      </c>
      <c r="I1385">
        <v>0</v>
      </c>
      <c r="J1385" s="1">
        <v>45928.091698472221</v>
      </c>
      <c r="K1385" t="s">
        <v>990</v>
      </c>
      <c r="L1385">
        <f>COUNTIF($A$2:A1385,A1385)</f>
        <v>48</v>
      </c>
    </row>
    <row r="1386" spans="1:12" x14ac:dyDescent="0.3">
      <c r="A1386">
        <v>15959</v>
      </c>
      <c r="B1386" t="s">
        <v>989</v>
      </c>
      <c r="C1386" t="s">
        <v>1046</v>
      </c>
      <c r="D1386" t="s">
        <v>1047</v>
      </c>
      <c r="E1386">
        <v>46</v>
      </c>
      <c r="F1386">
        <v>11.49</v>
      </c>
      <c r="G1386">
        <v>70.88</v>
      </c>
      <c r="H1386">
        <v>17.62</v>
      </c>
      <c r="I1386">
        <v>0.01</v>
      </c>
      <c r="J1386" s="1">
        <v>45928.091438495372</v>
      </c>
      <c r="K1386" t="s">
        <v>990</v>
      </c>
      <c r="L1386">
        <f>COUNTIF($A$2:A1386,A1386)</f>
        <v>49</v>
      </c>
    </row>
    <row r="1387" spans="1:12" x14ac:dyDescent="0.3">
      <c r="A1387">
        <v>15959</v>
      </c>
      <c r="B1387" t="s">
        <v>989</v>
      </c>
      <c r="C1387" t="s">
        <v>635</v>
      </c>
      <c r="D1387" t="s">
        <v>636</v>
      </c>
      <c r="E1387">
        <v>35</v>
      </c>
      <c r="F1387">
        <v>10.73</v>
      </c>
      <c r="G1387">
        <v>80.84</v>
      </c>
      <c r="H1387">
        <v>8.43</v>
      </c>
      <c r="I1387">
        <v>0</v>
      </c>
      <c r="J1387" s="1">
        <v>45928.090805891203</v>
      </c>
      <c r="K1387" t="s">
        <v>990</v>
      </c>
      <c r="L1387">
        <f>COUNTIF($A$2:A1387,A1387)</f>
        <v>50</v>
      </c>
    </row>
    <row r="1388" spans="1:12" x14ac:dyDescent="0.3">
      <c r="A1388">
        <v>15959</v>
      </c>
      <c r="B1388" t="s">
        <v>989</v>
      </c>
      <c r="C1388" t="s">
        <v>1050</v>
      </c>
      <c r="D1388" t="s">
        <v>1051</v>
      </c>
      <c r="E1388">
        <v>51</v>
      </c>
      <c r="F1388">
        <v>9.1999999999999993</v>
      </c>
      <c r="G1388">
        <v>72.03</v>
      </c>
      <c r="H1388">
        <v>18.77</v>
      </c>
      <c r="I1388">
        <v>0</v>
      </c>
      <c r="J1388" s="1">
        <v>45928.091531828701</v>
      </c>
      <c r="K1388" t="s">
        <v>990</v>
      </c>
      <c r="L1388">
        <f>COUNTIF($A$2:A1388,A1388)</f>
        <v>51</v>
      </c>
    </row>
    <row r="1389" spans="1:12" x14ac:dyDescent="0.3">
      <c r="A1389">
        <v>15959</v>
      </c>
      <c r="B1389" t="s">
        <v>989</v>
      </c>
      <c r="C1389" t="s">
        <v>1056</v>
      </c>
      <c r="D1389" t="s">
        <v>1057</v>
      </c>
      <c r="E1389">
        <v>56</v>
      </c>
      <c r="F1389">
        <v>7.28</v>
      </c>
      <c r="G1389">
        <v>68.97</v>
      </c>
      <c r="H1389">
        <v>23.75</v>
      </c>
      <c r="I1389">
        <v>0</v>
      </c>
      <c r="J1389" s="1">
        <v>45928.091649618058</v>
      </c>
      <c r="K1389" t="s">
        <v>990</v>
      </c>
      <c r="L1389">
        <f>COUNTIF($A$2:A1389,A1389)</f>
        <v>52</v>
      </c>
    </row>
    <row r="1390" spans="1:12" x14ac:dyDescent="0.3">
      <c r="A1390">
        <v>15959</v>
      </c>
      <c r="B1390" t="s">
        <v>989</v>
      </c>
      <c r="C1390" t="s">
        <v>1025</v>
      </c>
      <c r="D1390" t="s">
        <v>1026</v>
      </c>
      <c r="E1390">
        <v>37</v>
      </c>
      <c r="F1390">
        <v>6.9</v>
      </c>
      <c r="G1390">
        <v>85.06</v>
      </c>
      <c r="H1390">
        <v>8.0500000000000007</v>
      </c>
      <c r="I1390">
        <v>0</v>
      </c>
      <c r="J1390" s="1">
        <v>45928.09076240741</v>
      </c>
      <c r="K1390" t="s">
        <v>990</v>
      </c>
      <c r="L1390">
        <f>COUNTIF($A$2:A1390,A1390)</f>
        <v>53</v>
      </c>
    </row>
    <row r="1391" spans="1:12" x14ac:dyDescent="0.3">
      <c r="A1391">
        <v>15959</v>
      </c>
      <c r="B1391" t="s">
        <v>989</v>
      </c>
      <c r="C1391" t="s">
        <v>1052</v>
      </c>
      <c r="D1391" t="s">
        <v>1053</v>
      </c>
      <c r="E1391">
        <v>54</v>
      </c>
      <c r="F1391">
        <v>6.9</v>
      </c>
      <c r="G1391">
        <v>71.650000000000006</v>
      </c>
      <c r="H1391">
        <v>21.46</v>
      </c>
      <c r="I1391">
        <v>0</v>
      </c>
      <c r="J1391" s="1">
        <v>45928.091579108797</v>
      </c>
      <c r="K1391" t="s">
        <v>990</v>
      </c>
      <c r="L1391">
        <f>COUNTIF($A$2:A1391,A1391)</f>
        <v>54</v>
      </c>
    </row>
    <row r="1392" spans="1:12" x14ac:dyDescent="0.3">
      <c r="A1392">
        <v>15959</v>
      </c>
      <c r="B1392" t="s">
        <v>989</v>
      </c>
      <c r="C1392" t="s">
        <v>1054</v>
      </c>
      <c r="D1392" t="s">
        <v>1055</v>
      </c>
      <c r="E1392">
        <v>56</v>
      </c>
      <c r="F1392">
        <v>6.51</v>
      </c>
      <c r="G1392">
        <v>70.5</v>
      </c>
      <c r="H1392">
        <v>22.99</v>
      </c>
      <c r="I1392">
        <v>0</v>
      </c>
      <c r="J1392" s="1">
        <v>45928.091624849534</v>
      </c>
      <c r="K1392" t="s">
        <v>990</v>
      </c>
      <c r="L1392">
        <f>COUNTIF($A$2:A1392,A1392)</f>
        <v>55</v>
      </c>
    </row>
    <row r="1393" spans="1:12" x14ac:dyDescent="0.3">
      <c r="A1393">
        <v>15959</v>
      </c>
      <c r="B1393" t="s">
        <v>989</v>
      </c>
      <c r="C1393" t="s">
        <v>1023</v>
      </c>
      <c r="D1393" t="s">
        <v>1024</v>
      </c>
      <c r="E1393">
        <v>10</v>
      </c>
      <c r="F1393">
        <v>1.53</v>
      </c>
      <c r="G1393">
        <v>0.38</v>
      </c>
      <c r="H1393">
        <v>0</v>
      </c>
      <c r="I1393">
        <v>98.09</v>
      </c>
      <c r="J1393" s="1">
        <v>45928.090716921295</v>
      </c>
      <c r="K1393" t="s">
        <v>990</v>
      </c>
      <c r="L1393">
        <f>COUNTIF($A$2:A1393,A1393)</f>
        <v>56</v>
      </c>
    </row>
    <row r="1394" spans="1:12" x14ac:dyDescent="0.3">
      <c r="A1394">
        <v>15959</v>
      </c>
      <c r="B1394" t="s">
        <v>989</v>
      </c>
      <c r="C1394" t="s">
        <v>308</v>
      </c>
      <c r="D1394" t="s">
        <v>309</v>
      </c>
      <c r="E1394">
        <v>17</v>
      </c>
      <c r="F1394">
        <v>0.77</v>
      </c>
      <c r="G1394">
        <v>1.1499999999999999</v>
      </c>
      <c r="H1394">
        <v>0</v>
      </c>
      <c r="I1394">
        <v>98.08</v>
      </c>
      <c r="J1394" s="1">
        <v>45928.090408738426</v>
      </c>
      <c r="K1394" t="s">
        <v>990</v>
      </c>
      <c r="L1394">
        <f>COUNTIF($A$2:A1394,A1394)</f>
        <v>57</v>
      </c>
    </row>
    <row r="1395" spans="1:12" x14ac:dyDescent="0.3">
      <c r="A1395">
        <v>15960</v>
      </c>
      <c r="B1395" t="s">
        <v>989</v>
      </c>
      <c r="C1395" t="s">
        <v>837</v>
      </c>
      <c r="D1395" t="s">
        <v>838</v>
      </c>
      <c r="E1395">
        <v>0</v>
      </c>
      <c r="F1395">
        <v>96.54</v>
      </c>
      <c r="G1395">
        <v>2.69</v>
      </c>
      <c r="H1395">
        <v>0.77</v>
      </c>
      <c r="I1395">
        <v>0</v>
      </c>
      <c r="J1395" s="1">
        <v>45928.091790081016</v>
      </c>
      <c r="K1395" t="s">
        <v>1058</v>
      </c>
      <c r="L1395">
        <f>COUNTIF($A$2:A1395,A1395)</f>
        <v>1</v>
      </c>
    </row>
    <row r="1396" spans="1:12" x14ac:dyDescent="0.3">
      <c r="A1396">
        <v>15960</v>
      </c>
      <c r="B1396" t="s">
        <v>989</v>
      </c>
      <c r="C1396" t="s">
        <v>1044</v>
      </c>
      <c r="D1396" t="s">
        <v>1045</v>
      </c>
      <c r="E1396">
        <v>8</v>
      </c>
      <c r="F1396">
        <v>91.15</v>
      </c>
      <c r="G1396">
        <v>6.54</v>
      </c>
      <c r="H1396">
        <v>2.31</v>
      </c>
      <c r="I1396">
        <v>0</v>
      </c>
      <c r="J1396" s="1">
        <v>45928.092139328706</v>
      </c>
      <c r="K1396" t="s">
        <v>1058</v>
      </c>
      <c r="L1396">
        <f>COUNTIF($A$2:A1396,A1396)</f>
        <v>2</v>
      </c>
    </row>
    <row r="1397" spans="1:12" x14ac:dyDescent="0.3">
      <c r="A1397">
        <v>15960</v>
      </c>
      <c r="B1397" t="s">
        <v>989</v>
      </c>
      <c r="C1397" t="s">
        <v>1042</v>
      </c>
      <c r="D1397" t="s">
        <v>1043</v>
      </c>
      <c r="E1397">
        <v>11</v>
      </c>
      <c r="F1397">
        <v>85</v>
      </c>
      <c r="G1397">
        <v>11.92</v>
      </c>
      <c r="H1397">
        <v>3.08</v>
      </c>
      <c r="I1397">
        <v>0</v>
      </c>
      <c r="J1397" s="1">
        <v>45928.0921590625</v>
      </c>
      <c r="K1397" t="s">
        <v>1058</v>
      </c>
      <c r="L1397">
        <f>COUNTIF($A$2:A1397,A1397)</f>
        <v>3</v>
      </c>
    </row>
    <row r="1398" spans="1:12" x14ac:dyDescent="0.3">
      <c r="A1398">
        <v>15960</v>
      </c>
      <c r="B1398" t="s">
        <v>989</v>
      </c>
      <c r="C1398" t="s">
        <v>1040</v>
      </c>
      <c r="D1398" t="s">
        <v>1041</v>
      </c>
      <c r="E1398">
        <v>13</v>
      </c>
      <c r="F1398">
        <v>80.38</v>
      </c>
      <c r="G1398">
        <v>16.149999999999999</v>
      </c>
      <c r="H1398">
        <v>3.46</v>
      </c>
      <c r="I1398">
        <v>0.01</v>
      </c>
      <c r="J1398" s="1">
        <v>45928.092176469909</v>
      </c>
      <c r="K1398" t="s">
        <v>1058</v>
      </c>
      <c r="L1398">
        <f>COUNTIF($A$2:A1398,A1398)</f>
        <v>4</v>
      </c>
    </row>
    <row r="1399" spans="1:12" x14ac:dyDescent="0.3">
      <c r="A1399">
        <v>15960</v>
      </c>
      <c r="B1399" t="s">
        <v>989</v>
      </c>
      <c r="C1399" t="s">
        <v>114</v>
      </c>
      <c r="D1399" t="s">
        <v>115</v>
      </c>
      <c r="E1399">
        <v>5</v>
      </c>
      <c r="F1399">
        <v>79.62</v>
      </c>
      <c r="G1399">
        <v>8.4600000000000009</v>
      </c>
      <c r="H1399">
        <v>11.92</v>
      </c>
      <c r="I1399">
        <v>0</v>
      </c>
      <c r="J1399" s="1">
        <v>45928.093550439815</v>
      </c>
      <c r="K1399" t="s">
        <v>1058</v>
      </c>
      <c r="L1399">
        <f>COUNTIF($A$2:A1399,A1399)</f>
        <v>5</v>
      </c>
    </row>
    <row r="1400" spans="1:12" x14ac:dyDescent="0.3">
      <c r="A1400">
        <v>15960</v>
      </c>
      <c r="B1400" t="s">
        <v>989</v>
      </c>
      <c r="C1400" t="s">
        <v>1003</v>
      </c>
      <c r="D1400" t="s">
        <v>1004</v>
      </c>
      <c r="E1400">
        <v>33</v>
      </c>
      <c r="F1400">
        <v>68.459999999999994</v>
      </c>
      <c r="G1400">
        <v>8.4600000000000009</v>
      </c>
      <c r="H1400">
        <v>23.08</v>
      </c>
      <c r="I1400">
        <v>0</v>
      </c>
      <c r="J1400" s="1">
        <v>45928.093312060184</v>
      </c>
      <c r="K1400" t="s">
        <v>1058</v>
      </c>
      <c r="L1400">
        <f>COUNTIF($A$2:A1400,A1400)</f>
        <v>6</v>
      </c>
    </row>
    <row r="1401" spans="1:12" x14ac:dyDescent="0.3">
      <c r="A1401">
        <v>15960</v>
      </c>
      <c r="B1401" t="s">
        <v>989</v>
      </c>
      <c r="C1401" t="s">
        <v>306</v>
      </c>
      <c r="D1401" t="s">
        <v>307</v>
      </c>
      <c r="E1401">
        <v>36</v>
      </c>
      <c r="F1401">
        <v>66.92</v>
      </c>
      <c r="G1401">
        <v>8.85</v>
      </c>
      <c r="H1401">
        <v>24.23</v>
      </c>
      <c r="I1401">
        <v>0</v>
      </c>
      <c r="J1401" s="1">
        <v>45928.093125196756</v>
      </c>
      <c r="K1401" t="s">
        <v>1058</v>
      </c>
      <c r="L1401">
        <f>COUNTIF($A$2:A1401,A1401)</f>
        <v>7</v>
      </c>
    </row>
    <row r="1402" spans="1:12" x14ac:dyDescent="0.3">
      <c r="A1402">
        <v>15960</v>
      </c>
      <c r="B1402" t="s">
        <v>989</v>
      </c>
      <c r="C1402" t="s">
        <v>312</v>
      </c>
      <c r="D1402" t="s">
        <v>313</v>
      </c>
      <c r="E1402">
        <v>28</v>
      </c>
      <c r="F1402">
        <v>66.540000000000006</v>
      </c>
      <c r="G1402">
        <v>18.46</v>
      </c>
      <c r="H1402">
        <v>15</v>
      </c>
      <c r="I1402">
        <v>0</v>
      </c>
      <c r="J1402" s="1">
        <v>45928.092946099539</v>
      </c>
      <c r="K1402" t="s">
        <v>1058</v>
      </c>
      <c r="L1402">
        <f>COUNTIF($A$2:A1402,A1402)</f>
        <v>8</v>
      </c>
    </row>
    <row r="1403" spans="1:12" x14ac:dyDescent="0.3">
      <c r="A1403">
        <v>15960</v>
      </c>
      <c r="B1403" t="s">
        <v>989</v>
      </c>
      <c r="C1403" t="s">
        <v>1001</v>
      </c>
      <c r="D1403" t="s">
        <v>1002</v>
      </c>
      <c r="E1403">
        <v>38</v>
      </c>
      <c r="F1403">
        <v>66.150000000000006</v>
      </c>
      <c r="G1403">
        <v>8.85</v>
      </c>
      <c r="H1403">
        <v>25</v>
      </c>
      <c r="I1403">
        <v>0</v>
      </c>
      <c r="J1403" s="1">
        <v>45928.09335703704</v>
      </c>
      <c r="K1403" t="s">
        <v>1058</v>
      </c>
      <c r="L1403">
        <f>COUNTIF($A$2:A1403,A1403)</f>
        <v>9</v>
      </c>
    </row>
    <row r="1404" spans="1:12" x14ac:dyDescent="0.3">
      <c r="A1404">
        <v>15960</v>
      </c>
      <c r="B1404" t="s">
        <v>989</v>
      </c>
      <c r="C1404" t="s">
        <v>840</v>
      </c>
      <c r="D1404" t="s">
        <v>841</v>
      </c>
      <c r="E1404">
        <v>15</v>
      </c>
      <c r="F1404">
        <v>65.77</v>
      </c>
      <c r="G1404">
        <v>30.38</v>
      </c>
      <c r="H1404">
        <v>3.85</v>
      </c>
      <c r="I1404">
        <v>0</v>
      </c>
      <c r="J1404" s="1">
        <v>45928.091838796296</v>
      </c>
      <c r="K1404" t="s">
        <v>1058</v>
      </c>
      <c r="L1404">
        <f>COUNTIF($A$2:A1404,A1404)</f>
        <v>10</v>
      </c>
    </row>
    <row r="1405" spans="1:12" x14ac:dyDescent="0.3">
      <c r="A1405">
        <v>15960</v>
      </c>
      <c r="B1405" t="s">
        <v>989</v>
      </c>
      <c r="C1405" t="s">
        <v>641</v>
      </c>
      <c r="D1405" t="s">
        <v>642</v>
      </c>
      <c r="E1405">
        <v>0</v>
      </c>
      <c r="F1405">
        <v>65.77</v>
      </c>
      <c r="G1405">
        <v>25.77</v>
      </c>
      <c r="H1405">
        <v>7.31</v>
      </c>
      <c r="I1405">
        <v>1.1499999999999999</v>
      </c>
      <c r="J1405" s="1">
        <v>45928.092527569446</v>
      </c>
      <c r="K1405" t="s">
        <v>1058</v>
      </c>
      <c r="L1405">
        <f>COUNTIF($A$2:A1405,A1405)</f>
        <v>11</v>
      </c>
    </row>
    <row r="1406" spans="1:12" x14ac:dyDescent="0.3">
      <c r="A1406">
        <v>15960</v>
      </c>
      <c r="B1406" t="s">
        <v>989</v>
      </c>
      <c r="C1406" t="s">
        <v>997</v>
      </c>
      <c r="D1406" t="s">
        <v>998</v>
      </c>
      <c r="E1406">
        <v>0</v>
      </c>
      <c r="F1406">
        <v>65.77</v>
      </c>
      <c r="G1406">
        <v>10.38</v>
      </c>
      <c r="H1406">
        <v>23.85</v>
      </c>
      <c r="I1406">
        <v>0</v>
      </c>
      <c r="J1406" s="1">
        <v>45928.09340597222</v>
      </c>
      <c r="K1406" t="s">
        <v>1058</v>
      </c>
      <c r="L1406">
        <f>COUNTIF($A$2:A1406,A1406)</f>
        <v>12</v>
      </c>
    </row>
    <row r="1407" spans="1:12" x14ac:dyDescent="0.3">
      <c r="A1407">
        <v>15960</v>
      </c>
      <c r="B1407" t="s">
        <v>989</v>
      </c>
      <c r="C1407" t="s">
        <v>995</v>
      </c>
      <c r="D1407" t="s">
        <v>996</v>
      </c>
      <c r="E1407">
        <v>36</v>
      </c>
      <c r="F1407">
        <v>65.38</v>
      </c>
      <c r="G1407">
        <v>12.69</v>
      </c>
      <c r="H1407">
        <v>21.92</v>
      </c>
      <c r="I1407">
        <v>0.01</v>
      </c>
      <c r="J1407" s="1">
        <v>45928.093423321756</v>
      </c>
      <c r="K1407" t="s">
        <v>1058</v>
      </c>
      <c r="L1407">
        <f>COUNTIF($A$2:A1407,A1407)</f>
        <v>13</v>
      </c>
    </row>
    <row r="1408" spans="1:12" x14ac:dyDescent="0.3">
      <c r="A1408">
        <v>15960</v>
      </c>
      <c r="B1408" t="s">
        <v>989</v>
      </c>
      <c r="C1408" t="s">
        <v>625</v>
      </c>
      <c r="D1408" t="s">
        <v>626</v>
      </c>
      <c r="E1408">
        <v>37</v>
      </c>
      <c r="F1408">
        <v>64.62</v>
      </c>
      <c r="G1408">
        <v>10.77</v>
      </c>
      <c r="H1408">
        <v>24.62</v>
      </c>
      <c r="I1408">
        <v>0</v>
      </c>
      <c r="J1408" s="1">
        <v>45928.093165231483</v>
      </c>
      <c r="K1408" t="s">
        <v>1058</v>
      </c>
      <c r="L1408">
        <f>COUNTIF($A$2:A1408,A1408)</f>
        <v>14</v>
      </c>
    </row>
    <row r="1409" spans="1:12" x14ac:dyDescent="0.3">
      <c r="A1409">
        <v>15960</v>
      </c>
      <c r="B1409" t="s">
        <v>989</v>
      </c>
      <c r="C1409" t="s">
        <v>1009</v>
      </c>
      <c r="D1409" t="s">
        <v>1010</v>
      </c>
      <c r="E1409">
        <v>37</v>
      </c>
      <c r="F1409">
        <v>64.23</v>
      </c>
      <c r="G1409">
        <v>11.15</v>
      </c>
      <c r="H1409">
        <v>24.62</v>
      </c>
      <c r="I1409">
        <v>0</v>
      </c>
      <c r="J1409" s="1">
        <v>45928.093209930557</v>
      </c>
      <c r="K1409" t="s">
        <v>1058</v>
      </c>
      <c r="L1409">
        <f>COUNTIF($A$2:A1409,A1409)</f>
        <v>15</v>
      </c>
    </row>
    <row r="1410" spans="1:12" x14ac:dyDescent="0.3">
      <c r="A1410">
        <v>15960</v>
      </c>
      <c r="B1410" t="s">
        <v>989</v>
      </c>
      <c r="C1410" t="s">
        <v>993</v>
      </c>
      <c r="D1410" t="s">
        <v>994</v>
      </c>
      <c r="E1410">
        <v>38</v>
      </c>
      <c r="F1410">
        <v>63.85</v>
      </c>
      <c r="G1410">
        <v>13.08</v>
      </c>
      <c r="H1410">
        <v>23.08</v>
      </c>
      <c r="I1410">
        <v>0</v>
      </c>
      <c r="J1410" s="1">
        <v>45928.093463576392</v>
      </c>
      <c r="K1410" t="s">
        <v>1058</v>
      </c>
      <c r="L1410">
        <f>COUNTIF($A$2:A1410,A1410)</f>
        <v>16</v>
      </c>
    </row>
    <row r="1411" spans="1:12" x14ac:dyDescent="0.3">
      <c r="A1411">
        <v>15960</v>
      </c>
      <c r="B1411" t="s">
        <v>989</v>
      </c>
      <c r="C1411" t="s">
        <v>1007</v>
      </c>
      <c r="D1411" t="s">
        <v>1008</v>
      </c>
      <c r="E1411">
        <v>40</v>
      </c>
      <c r="F1411">
        <v>61.15</v>
      </c>
      <c r="G1411">
        <v>13.85</v>
      </c>
      <c r="H1411">
        <v>25</v>
      </c>
      <c r="I1411">
        <v>0</v>
      </c>
      <c r="J1411" s="1">
        <v>45928.09322732639</v>
      </c>
      <c r="K1411" t="s">
        <v>1058</v>
      </c>
      <c r="L1411">
        <f>COUNTIF($A$2:A1411,A1411)</f>
        <v>17</v>
      </c>
    </row>
    <row r="1412" spans="1:12" x14ac:dyDescent="0.3">
      <c r="A1412">
        <v>15960</v>
      </c>
      <c r="B1412" t="s">
        <v>989</v>
      </c>
      <c r="C1412" t="s">
        <v>637</v>
      </c>
      <c r="D1412" t="s">
        <v>638</v>
      </c>
      <c r="E1412">
        <v>28</v>
      </c>
      <c r="F1412">
        <v>59.62</v>
      </c>
      <c r="G1412">
        <v>25.38</v>
      </c>
      <c r="H1412">
        <v>15</v>
      </c>
      <c r="I1412">
        <v>0</v>
      </c>
      <c r="J1412" s="1">
        <v>45928.092672314815</v>
      </c>
      <c r="K1412" t="s">
        <v>1058</v>
      </c>
      <c r="L1412">
        <f>COUNTIF($A$2:A1412,A1412)</f>
        <v>18</v>
      </c>
    </row>
    <row r="1413" spans="1:12" x14ac:dyDescent="0.3">
      <c r="A1413">
        <v>15960</v>
      </c>
      <c r="B1413" t="s">
        <v>989</v>
      </c>
      <c r="C1413" t="s">
        <v>1005</v>
      </c>
      <c r="D1413" t="s">
        <v>1006</v>
      </c>
      <c r="E1413">
        <v>41</v>
      </c>
      <c r="F1413">
        <v>58.85</v>
      </c>
      <c r="G1413">
        <v>16.54</v>
      </c>
      <c r="H1413">
        <v>24.62</v>
      </c>
      <c r="I1413">
        <v>0</v>
      </c>
      <c r="J1413" s="1">
        <v>45928.093268877317</v>
      </c>
      <c r="K1413" t="s">
        <v>1058</v>
      </c>
      <c r="L1413">
        <f>COUNTIF($A$2:A1413,A1413)</f>
        <v>19</v>
      </c>
    </row>
    <row r="1414" spans="1:12" x14ac:dyDescent="0.3">
      <c r="A1414">
        <v>15960</v>
      </c>
      <c r="B1414" t="s">
        <v>989</v>
      </c>
      <c r="C1414" t="s">
        <v>1034</v>
      </c>
      <c r="D1414" t="s">
        <v>1035</v>
      </c>
      <c r="E1414">
        <v>23</v>
      </c>
      <c r="F1414">
        <v>58.08</v>
      </c>
      <c r="G1414">
        <v>33.08</v>
      </c>
      <c r="H1414">
        <v>7.69</v>
      </c>
      <c r="I1414">
        <v>1.1499999999999999</v>
      </c>
      <c r="J1414" s="1">
        <v>45928.09254391204</v>
      </c>
      <c r="K1414" t="s">
        <v>1058</v>
      </c>
      <c r="L1414">
        <f>COUNTIF($A$2:A1414,A1414)</f>
        <v>20</v>
      </c>
    </row>
    <row r="1415" spans="1:12" x14ac:dyDescent="0.3">
      <c r="A1415">
        <v>15960</v>
      </c>
      <c r="B1415" t="s">
        <v>989</v>
      </c>
      <c r="C1415" t="s">
        <v>1056</v>
      </c>
      <c r="D1415" t="s">
        <v>1057</v>
      </c>
      <c r="E1415">
        <v>18</v>
      </c>
      <c r="F1415">
        <v>57.31</v>
      </c>
      <c r="G1415">
        <v>37.69</v>
      </c>
      <c r="H1415">
        <v>5</v>
      </c>
      <c r="I1415">
        <v>0</v>
      </c>
      <c r="J1415" s="1">
        <v>45928.091858113425</v>
      </c>
      <c r="K1415" t="s">
        <v>1058</v>
      </c>
      <c r="L1415">
        <f>COUNTIF($A$2:A1415,A1415)</f>
        <v>21</v>
      </c>
    </row>
    <row r="1416" spans="1:12" x14ac:dyDescent="0.3">
      <c r="A1416">
        <v>15960</v>
      </c>
      <c r="B1416" t="s">
        <v>989</v>
      </c>
      <c r="C1416" t="s">
        <v>1038</v>
      </c>
      <c r="D1416" t="s">
        <v>1039</v>
      </c>
      <c r="E1416">
        <v>19</v>
      </c>
      <c r="F1416">
        <v>56.92</v>
      </c>
      <c r="G1416">
        <v>37.31</v>
      </c>
      <c r="H1416">
        <v>5.77</v>
      </c>
      <c r="I1416">
        <v>0</v>
      </c>
      <c r="J1416" s="1">
        <v>45928.092332152781</v>
      </c>
      <c r="K1416" t="s">
        <v>1058</v>
      </c>
      <c r="L1416">
        <f>COUNTIF($A$2:A1416,A1416)</f>
        <v>22</v>
      </c>
    </row>
    <row r="1417" spans="1:12" x14ac:dyDescent="0.3">
      <c r="A1417">
        <v>15960</v>
      </c>
      <c r="B1417" t="s">
        <v>989</v>
      </c>
      <c r="C1417" t="s">
        <v>1015</v>
      </c>
      <c r="D1417" t="s">
        <v>1016</v>
      </c>
      <c r="E1417">
        <v>36</v>
      </c>
      <c r="F1417">
        <v>55</v>
      </c>
      <c r="G1417">
        <v>26.54</v>
      </c>
      <c r="H1417">
        <v>18.46</v>
      </c>
      <c r="I1417">
        <v>0</v>
      </c>
      <c r="J1417" s="1">
        <v>45928.092965231481</v>
      </c>
      <c r="K1417" t="s">
        <v>1058</v>
      </c>
      <c r="L1417">
        <f>COUNTIF($A$2:A1417,A1417)</f>
        <v>23</v>
      </c>
    </row>
    <row r="1418" spans="1:12" x14ac:dyDescent="0.3">
      <c r="A1418">
        <v>15960</v>
      </c>
      <c r="B1418" t="s">
        <v>989</v>
      </c>
      <c r="C1418" t="s">
        <v>310</v>
      </c>
      <c r="D1418" t="s">
        <v>311</v>
      </c>
      <c r="E1418">
        <v>37</v>
      </c>
      <c r="F1418">
        <v>54.62</v>
      </c>
      <c r="G1418">
        <v>26.54</v>
      </c>
      <c r="H1418">
        <v>18.850000000000001</v>
      </c>
      <c r="I1418">
        <v>0</v>
      </c>
      <c r="J1418" s="1">
        <v>45928.093006782408</v>
      </c>
      <c r="K1418" t="s">
        <v>1058</v>
      </c>
      <c r="L1418">
        <f>COUNTIF($A$2:A1418,A1418)</f>
        <v>24</v>
      </c>
    </row>
    <row r="1419" spans="1:12" x14ac:dyDescent="0.3">
      <c r="A1419">
        <v>15960</v>
      </c>
      <c r="B1419" t="s">
        <v>989</v>
      </c>
      <c r="C1419" t="s">
        <v>1036</v>
      </c>
      <c r="D1419" t="s">
        <v>1037</v>
      </c>
      <c r="E1419">
        <v>21</v>
      </c>
      <c r="F1419">
        <v>53.85</v>
      </c>
      <c r="G1419">
        <v>40</v>
      </c>
      <c r="H1419">
        <v>6.15</v>
      </c>
      <c r="I1419">
        <v>0</v>
      </c>
      <c r="J1419" s="1">
        <v>45928.092376666667</v>
      </c>
      <c r="K1419" t="s">
        <v>1058</v>
      </c>
      <c r="L1419">
        <f>COUNTIF($A$2:A1419,A1419)</f>
        <v>25</v>
      </c>
    </row>
    <row r="1420" spans="1:12" x14ac:dyDescent="0.3">
      <c r="A1420">
        <v>15960</v>
      </c>
      <c r="B1420" t="s">
        <v>989</v>
      </c>
      <c r="C1420" t="s">
        <v>635</v>
      </c>
      <c r="D1420" t="s">
        <v>636</v>
      </c>
      <c r="E1420">
        <v>32</v>
      </c>
      <c r="F1420">
        <v>53.08</v>
      </c>
      <c r="G1420">
        <v>30</v>
      </c>
      <c r="H1420">
        <v>16.920000000000002</v>
      </c>
      <c r="I1420">
        <v>0</v>
      </c>
      <c r="J1420" s="1">
        <v>45928.092690219906</v>
      </c>
      <c r="K1420" t="s">
        <v>1058</v>
      </c>
      <c r="L1420">
        <f>COUNTIF($A$2:A1420,A1420)</f>
        <v>26</v>
      </c>
    </row>
    <row r="1421" spans="1:12" x14ac:dyDescent="0.3">
      <c r="A1421">
        <v>15960</v>
      </c>
      <c r="B1421" t="s">
        <v>989</v>
      </c>
      <c r="C1421" t="s">
        <v>1052</v>
      </c>
      <c r="D1421" t="s">
        <v>1053</v>
      </c>
      <c r="E1421">
        <v>20</v>
      </c>
      <c r="F1421">
        <v>50</v>
      </c>
      <c r="G1421">
        <v>43.08</v>
      </c>
      <c r="H1421">
        <v>6.92</v>
      </c>
      <c r="I1421">
        <v>0</v>
      </c>
      <c r="J1421" s="1">
        <v>45928.09195115741</v>
      </c>
      <c r="K1421" t="s">
        <v>1058</v>
      </c>
      <c r="L1421">
        <f>COUNTIF($A$2:A1421,A1421)</f>
        <v>27</v>
      </c>
    </row>
    <row r="1422" spans="1:12" x14ac:dyDescent="0.3">
      <c r="A1422">
        <v>15960</v>
      </c>
      <c r="B1422" t="s">
        <v>989</v>
      </c>
      <c r="C1422" t="s">
        <v>844</v>
      </c>
      <c r="D1422" t="s">
        <v>845</v>
      </c>
      <c r="E1422">
        <v>20</v>
      </c>
      <c r="F1422">
        <v>50</v>
      </c>
      <c r="G1422">
        <v>45.77</v>
      </c>
      <c r="H1422">
        <v>4.2300000000000004</v>
      </c>
      <c r="I1422">
        <v>0</v>
      </c>
      <c r="J1422" s="1">
        <v>45928.092221597224</v>
      </c>
      <c r="K1422" t="s">
        <v>1058</v>
      </c>
      <c r="L1422">
        <f>COUNTIF($A$2:A1422,A1422)</f>
        <v>28</v>
      </c>
    </row>
    <row r="1423" spans="1:12" x14ac:dyDescent="0.3">
      <c r="A1423">
        <v>15960</v>
      </c>
      <c r="B1423" t="s">
        <v>989</v>
      </c>
      <c r="C1423" t="s">
        <v>848</v>
      </c>
      <c r="D1423" t="s">
        <v>849</v>
      </c>
      <c r="E1423">
        <v>23</v>
      </c>
      <c r="F1423">
        <v>50</v>
      </c>
      <c r="G1423">
        <v>44.62</v>
      </c>
      <c r="H1423">
        <v>5.38</v>
      </c>
      <c r="I1423">
        <v>0</v>
      </c>
      <c r="J1423" s="1">
        <v>45928.092291909721</v>
      </c>
      <c r="K1423" t="s">
        <v>1058</v>
      </c>
      <c r="L1423">
        <f>COUNTIF($A$2:A1423,A1423)</f>
        <v>29</v>
      </c>
    </row>
    <row r="1424" spans="1:12" x14ac:dyDescent="0.3">
      <c r="A1424">
        <v>15960</v>
      </c>
      <c r="B1424" t="s">
        <v>989</v>
      </c>
      <c r="C1424" t="s">
        <v>999</v>
      </c>
      <c r="D1424" t="s">
        <v>1000</v>
      </c>
      <c r="E1424">
        <v>45</v>
      </c>
      <c r="F1424">
        <v>50</v>
      </c>
      <c r="G1424">
        <v>23.85</v>
      </c>
      <c r="H1424">
        <v>26.15</v>
      </c>
      <c r="I1424">
        <v>0</v>
      </c>
      <c r="J1424" s="1">
        <v>45928.09337952546</v>
      </c>
      <c r="K1424" t="s">
        <v>1058</v>
      </c>
      <c r="L1424">
        <f>COUNTIF($A$2:A1424,A1424)</f>
        <v>30</v>
      </c>
    </row>
    <row r="1425" spans="1:12" x14ac:dyDescent="0.3">
      <c r="A1425">
        <v>15960</v>
      </c>
      <c r="B1425" t="s">
        <v>989</v>
      </c>
      <c r="C1425" t="s">
        <v>991</v>
      </c>
      <c r="D1425" t="s">
        <v>992</v>
      </c>
      <c r="E1425">
        <v>38</v>
      </c>
      <c r="F1425">
        <v>49.62</v>
      </c>
      <c r="G1425">
        <v>32.31</v>
      </c>
      <c r="H1425">
        <v>18.079999999999998</v>
      </c>
      <c r="I1425">
        <v>0</v>
      </c>
      <c r="J1425" s="1">
        <v>45928.093508391205</v>
      </c>
      <c r="K1425" t="s">
        <v>1058</v>
      </c>
      <c r="L1425">
        <f>COUNTIF($A$2:A1425,A1425)</f>
        <v>31</v>
      </c>
    </row>
    <row r="1426" spans="1:12" x14ac:dyDescent="0.3">
      <c r="A1426">
        <v>15960</v>
      </c>
      <c r="B1426" t="s">
        <v>989</v>
      </c>
      <c r="C1426" t="s">
        <v>1025</v>
      </c>
      <c r="D1426" t="s">
        <v>1026</v>
      </c>
      <c r="E1426">
        <v>35</v>
      </c>
      <c r="F1426">
        <v>49.23</v>
      </c>
      <c r="G1426">
        <v>33.08</v>
      </c>
      <c r="H1426">
        <v>17.690000000000001</v>
      </c>
      <c r="I1426">
        <v>0</v>
      </c>
      <c r="J1426" s="1">
        <v>45928.092729988428</v>
      </c>
      <c r="K1426" t="s">
        <v>1058</v>
      </c>
      <c r="L1426">
        <f>COUNTIF($A$2:A1426,A1426)</f>
        <v>32</v>
      </c>
    </row>
    <row r="1427" spans="1:12" x14ac:dyDescent="0.3">
      <c r="A1427">
        <v>15960</v>
      </c>
      <c r="B1427" t="s">
        <v>989</v>
      </c>
      <c r="C1427" t="s">
        <v>1033</v>
      </c>
      <c r="D1427" t="s">
        <v>1033</v>
      </c>
      <c r="E1427">
        <v>26</v>
      </c>
      <c r="F1427">
        <v>48.08</v>
      </c>
      <c r="G1427">
        <v>40.770000000000003</v>
      </c>
      <c r="H1427">
        <v>10</v>
      </c>
      <c r="I1427">
        <v>1.1499999999999999</v>
      </c>
      <c r="J1427" s="1">
        <v>45928.092561041667</v>
      </c>
      <c r="K1427" t="s">
        <v>1058</v>
      </c>
      <c r="L1427">
        <f>COUNTIF($A$2:A1427,A1427)</f>
        <v>33</v>
      </c>
    </row>
    <row r="1428" spans="1:12" x14ac:dyDescent="0.3">
      <c r="A1428">
        <v>15960</v>
      </c>
      <c r="B1428" t="s">
        <v>989</v>
      </c>
      <c r="C1428" t="s">
        <v>850</v>
      </c>
      <c r="D1428" t="s">
        <v>851</v>
      </c>
      <c r="E1428">
        <v>25</v>
      </c>
      <c r="F1428">
        <v>45.77</v>
      </c>
      <c r="G1428">
        <v>46.54</v>
      </c>
      <c r="H1428">
        <v>7.69</v>
      </c>
      <c r="I1428">
        <v>0</v>
      </c>
      <c r="J1428" s="1">
        <v>45928.092420393521</v>
      </c>
      <c r="K1428" t="s">
        <v>1058</v>
      </c>
      <c r="L1428">
        <f>COUNTIF($A$2:A1428,A1428)</f>
        <v>34</v>
      </c>
    </row>
    <row r="1429" spans="1:12" x14ac:dyDescent="0.3">
      <c r="A1429">
        <v>15960</v>
      </c>
      <c r="B1429" t="s">
        <v>989</v>
      </c>
      <c r="C1429" t="s">
        <v>1054</v>
      </c>
      <c r="D1429" t="s">
        <v>1055</v>
      </c>
      <c r="E1429">
        <v>23</v>
      </c>
      <c r="F1429">
        <v>44.62</v>
      </c>
      <c r="G1429">
        <v>48.85</v>
      </c>
      <c r="H1429">
        <v>6.54</v>
      </c>
      <c r="I1429">
        <v>0</v>
      </c>
      <c r="J1429" s="1">
        <v>45928.09190673611</v>
      </c>
      <c r="K1429" t="s">
        <v>1058</v>
      </c>
      <c r="L1429">
        <f>COUNTIF($A$2:A1429,A1429)</f>
        <v>35</v>
      </c>
    </row>
    <row r="1430" spans="1:12" x14ac:dyDescent="0.3">
      <c r="A1430">
        <v>15960</v>
      </c>
      <c r="B1430" t="s">
        <v>989</v>
      </c>
      <c r="C1430" t="s">
        <v>633</v>
      </c>
      <c r="D1430" t="s">
        <v>634</v>
      </c>
      <c r="E1430">
        <v>37</v>
      </c>
      <c r="F1430">
        <v>44.62</v>
      </c>
      <c r="G1430">
        <v>36.15</v>
      </c>
      <c r="H1430">
        <v>18.46</v>
      </c>
      <c r="I1430">
        <v>0.77</v>
      </c>
      <c r="J1430" s="1">
        <v>45928.092784837965</v>
      </c>
      <c r="K1430" t="s">
        <v>1058</v>
      </c>
      <c r="L1430">
        <f>COUNTIF($A$2:A1430,A1430)</f>
        <v>36</v>
      </c>
    </row>
    <row r="1431" spans="1:12" x14ac:dyDescent="0.3">
      <c r="A1431">
        <v>15960</v>
      </c>
      <c r="B1431" t="s">
        <v>989</v>
      </c>
      <c r="C1431" t="s">
        <v>1050</v>
      </c>
      <c r="D1431" t="s">
        <v>1051</v>
      </c>
      <c r="E1431">
        <v>29</v>
      </c>
      <c r="F1431">
        <v>41.15</v>
      </c>
      <c r="G1431">
        <v>49.23</v>
      </c>
      <c r="H1431">
        <v>9.6199999999999992</v>
      </c>
      <c r="I1431">
        <v>0</v>
      </c>
      <c r="J1431" s="1">
        <v>45928.091992384259</v>
      </c>
      <c r="K1431" t="s">
        <v>1058</v>
      </c>
      <c r="L1431">
        <f>COUNTIF($A$2:A1431,A1431)</f>
        <v>37</v>
      </c>
    </row>
    <row r="1432" spans="1:12" x14ac:dyDescent="0.3">
      <c r="A1432">
        <v>15960</v>
      </c>
      <c r="B1432" t="s">
        <v>989</v>
      </c>
      <c r="C1432" t="s">
        <v>1021</v>
      </c>
      <c r="D1432" t="s">
        <v>1022</v>
      </c>
      <c r="E1432">
        <v>39</v>
      </c>
      <c r="F1432">
        <v>40</v>
      </c>
      <c r="G1432">
        <v>40.770000000000003</v>
      </c>
      <c r="H1432">
        <v>18.850000000000001</v>
      </c>
      <c r="I1432">
        <v>0.38</v>
      </c>
      <c r="J1432" s="1">
        <v>45928.092764328707</v>
      </c>
      <c r="K1432" t="s">
        <v>1058</v>
      </c>
      <c r="L1432">
        <f>COUNTIF($A$2:A1432,A1432)</f>
        <v>38</v>
      </c>
    </row>
    <row r="1433" spans="1:12" x14ac:dyDescent="0.3">
      <c r="A1433">
        <v>15960</v>
      </c>
      <c r="B1433" t="s">
        <v>989</v>
      </c>
      <c r="C1433" t="s">
        <v>846</v>
      </c>
      <c r="D1433" t="s">
        <v>847</v>
      </c>
      <c r="E1433">
        <v>0</v>
      </c>
      <c r="F1433">
        <v>38.08</v>
      </c>
      <c r="G1433">
        <v>56.92</v>
      </c>
      <c r="H1433">
        <v>5</v>
      </c>
      <c r="I1433">
        <v>0</v>
      </c>
      <c r="J1433" s="1">
        <v>45928.092250937501</v>
      </c>
      <c r="K1433" t="s">
        <v>1058</v>
      </c>
      <c r="L1433">
        <f>COUNTIF($A$2:A1433,A1433)</f>
        <v>39</v>
      </c>
    </row>
    <row r="1434" spans="1:12" x14ac:dyDescent="0.3">
      <c r="A1434">
        <v>15960</v>
      </c>
      <c r="B1434" t="s">
        <v>989</v>
      </c>
      <c r="C1434" t="s">
        <v>639</v>
      </c>
      <c r="D1434" t="s">
        <v>640</v>
      </c>
      <c r="E1434">
        <v>31</v>
      </c>
      <c r="F1434">
        <v>36.92</v>
      </c>
      <c r="G1434">
        <v>49.62</v>
      </c>
      <c r="H1434">
        <v>12.31</v>
      </c>
      <c r="I1434">
        <v>1.1499999999999999</v>
      </c>
      <c r="J1434" s="1">
        <v>45928.092597199073</v>
      </c>
      <c r="K1434" t="s">
        <v>1058</v>
      </c>
      <c r="L1434">
        <f>COUNTIF($A$2:A1434,A1434)</f>
        <v>40</v>
      </c>
    </row>
    <row r="1435" spans="1:12" x14ac:dyDescent="0.3">
      <c r="A1435">
        <v>15960</v>
      </c>
      <c r="B1435" t="s">
        <v>989</v>
      </c>
      <c r="C1435" t="s">
        <v>1031</v>
      </c>
      <c r="D1435" t="s">
        <v>1032</v>
      </c>
      <c r="E1435">
        <v>30</v>
      </c>
      <c r="F1435">
        <v>36.54</v>
      </c>
      <c r="G1435">
        <v>50.38</v>
      </c>
      <c r="H1435">
        <v>11.92</v>
      </c>
      <c r="I1435">
        <v>1.1599999999999999</v>
      </c>
      <c r="J1435" s="1">
        <v>45928.092580613426</v>
      </c>
      <c r="K1435" t="s">
        <v>1058</v>
      </c>
      <c r="L1435">
        <f>COUNTIF($A$2:A1435,A1435)</f>
        <v>41</v>
      </c>
    </row>
    <row r="1436" spans="1:12" x14ac:dyDescent="0.3">
      <c r="A1436">
        <v>15960</v>
      </c>
      <c r="B1436" t="s">
        <v>989</v>
      </c>
      <c r="C1436" t="s">
        <v>631</v>
      </c>
      <c r="D1436" t="s">
        <v>632</v>
      </c>
      <c r="E1436">
        <v>43</v>
      </c>
      <c r="F1436">
        <v>36.15</v>
      </c>
      <c r="G1436">
        <v>42.69</v>
      </c>
      <c r="H1436">
        <v>21.15</v>
      </c>
      <c r="I1436">
        <v>0.01</v>
      </c>
      <c r="J1436" s="1">
        <v>45928.092804525462</v>
      </c>
      <c r="K1436" t="s">
        <v>1058</v>
      </c>
      <c r="L1436">
        <f>COUNTIF($A$2:A1436,A1436)</f>
        <v>42</v>
      </c>
    </row>
    <row r="1437" spans="1:12" x14ac:dyDescent="0.3">
      <c r="A1437">
        <v>15960</v>
      </c>
      <c r="B1437" t="s">
        <v>989</v>
      </c>
      <c r="C1437" t="s">
        <v>645</v>
      </c>
      <c r="D1437" t="s">
        <v>646</v>
      </c>
      <c r="E1437">
        <v>0</v>
      </c>
      <c r="F1437">
        <v>35.770000000000003</v>
      </c>
      <c r="G1437">
        <v>50.38</v>
      </c>
      <c r="H1437">
        <v>13.85</v>
      </c>
      <c r="I1437">
        <v>0</v>
      </c>
      <c r="J1437" s="1">
        <v>45928.092452500001</v>
      </c>
      <c r="K1437" t="s">
        <v>1058</v>
      </c>
      <c r="L1437">
        <f>COUNTIF($A$2:A1437,A1437)</f>
        <v>43</v>
      </c>
    </row>
    <row r="1438" spans="1:12" x14ac:dyDescent="0.3">
      <c r="A1438">
        <v>15960</v>
      </c>
      <c r="B1438" t="s">
        <v>989</v>
      </c>
      <c r="C1438" t="s">
        <v>643</v>
      </c>
      <c r="D1438" t="s">
        <v>644</v>
      </c>
      <c r="E1438">
        <v>35</v>
      </c>
      <c r="F1438">
        <v>33.46</v>
      </c>
      <c r="G1438">
        <v>51.92</v>
      </c>
      <c r="H1438">
        <v>14.62</v>
      </c>
      <c r="I1438">
        <v>0</v>
      </c>
      <c r="J1438" s="1">
        <v>45928.092498611113</v>
      </c>
      <c r="K1438" t="s">
        <v>1058</v>
      </c>
      <c r="L1438">
        <f>COUNTIF($A$2:A1438,A1438)</f>
        <v>44</v>
      </c>
    </row>
    <row r="1439" spans="1:12" x14ac:dyDescent="0.3">
      <c r="A1439">
        <v>15960</v>
      </c>
      <c r="B1439" t="s">
        <v>989</v>
      </c>
      <c r="C1439" t="s">
        <v>1013</v>
      </c>
      <c r="D1439" t="s">
        <v>1014</v>
      </c>
      <c r="E1439">
        <v>0</v>
      </c>
      <c r="F1439">
        <v>33.46</v>
      </c>
      <c r="G1439">
        <v>44.62</v>
      </c>
      <c r="H1439">
        <v>21.92</v>
      </c>
      <c r="I1439">
        <v>0</v>
      </c>
      <c r="J1439" s="1">
        <v>45928.09305909722</v>
      </c>
      <c r="K1439" t="s">
        <v>1058</v>
      </c>
      <c r="L1439">
        <f>COUNTIF($A$2:A1439,A1439)</f>
        <v>45</v>
      </c>
    </row>
    <row r="1440" spans="1:12" x14ac:dyDescent="0.3">
      <c r="A1440">
        <v>15960</v>
      </c>
      <c r="B1440" t="s">
        <v>989</v>
      </c>
      <c r="C1440" t="s">
        <v>629</v>
      </c>
      <c r="D1440" t="s">
        <v>630</v>
      </c>
      <c r="E1440">
        <v>46</v>
      </c>
      <c r="F1440">
        <v>28.46</v>
      </c>
      <c r="G1440">
        <v>49.23</v>
      </c>
      <c r="H1440">
        <v>21.92</v>
      </c>
      <c r="I1440">
        <v>0.39</v>
      </c>
      <c r="J1440" s="1">
        <v>45928.092846481479</v>
      </c>
      <c r="K1440" t="s">
        <v>1058</v>
      </c>
      <c r="L1440">
        <f>COUNTIF($A$2:A1440,A1440)</f>
        <v>46</v>
      </c>
    </row>
    <row r="1441" spans="1:12" x14ac:dyDescent="0.3">
      <c r="A1441">
        <v>15960</v>
      </c>
      <c r="B1441" t="s">
        <v>989</v>
      </c>
      <c r="C1441" t="s">
        <v>1011</v>
      </c>
      <c r="D1441" t="s">
        <v>1012</v>
      </c>
      <c r="E1441">
        <v>49</v>
      </c>
      <c r="F1441">
        <v>28.08</v>
      </c>
      <c r="G1441">
        <v>48.46</v>
      </c>
      <c r="H1441">
        <v>23.46</v>
      </c>
      <c r="I1441">
        <v>0</v>
      </c>
      <c r="J1441" s="1">
        <v>45928.093079525461</v>
      </c>
      <c r="K1441" t="s">
        <v>1058</v>
      </c>
      <c r="L1441">
        <f>COUNTIF($A$2:A1441,A1441)</f>
        <v>47</v>
      </c>
    </row>
    <row r="1442" spans="1:12" x14ac:dyDescent="0.3">
      <c r="A1442">
        <v>15960</v>
      </c>
      <c r="B1442" t="s">
        <v>989</v>
      </c>
      <c r="C1442" t="s">
        <v>1029</v>
      </c>
      <c r="D1442" t="s">
        <v>1030</v>
      </c>
      <c r="E1442">
        <v>35</v>
      </c>
      <c r="F1442">
        <v>27.69</v>
      </c>
      <c r="G1442">
        <v>56.92</v>
      </c>
      <c r="H1442">
        <v>14.23</v>
      </c>
      <c r="I1442">
        <v>1.1599999999999999</v>
      </c>
      <c r="J1442" s="1">
        <v>45928.092614699075</v>
      </c>
      <c r="K1442" t="s">
        <v>1058</v>
      </c>
      <c r="L1442">
        <f>COUNTIF($A$2:A1442,A1442)</f>
        <v>48</v>
      </c>
    </row>
    <row r="1443" spans="1:12" x14ac:dyDescent="0.3">
      <c r="A1443">
        <v>15960</v>
      </c>
      <c r="B1443" t="s">
        <v>989</v>
      </c>
      <c r="C1443" t="s">
        <v>1017</v>
      </c>
      <c r="D1443" t="s">
        <v>1018</v>
      </c>
      <c r="E1443">
        <v>46</v>
      </c>
      <c r="F1443">
        <v>27.69</v>
      </c>
      <c r="G1443">
        <v>48.08</v>
      </c>
      <c r="H1443">
        <v>23.85</v>
      </c>
      <c r="I1443">
        <v>0.38</v>
      </c>
      <c r="J1443" s="1">
        <v>45928.09286326389</v>
      </c>
      <c r="K1443" t="s">
        <v>1058</v>
      </c>
      <c r="L1443">
        <f>COUNTIF($A$2:A1443,A1443)</f>
        <v>49</v>
      </c>
    </row>
    <row r="1444" spans="1:12" x14ac:dyDescent="0.3">
      <c r="A1444">
        <v>15960</v>
      </c>
      <c r="B1444" t="s">
        <v>989</v>
      </c>
      <c r="C1444" t="s">
        <v>627</v>
      </c>
      <c r="D1444" t="s">
        <v>628</v>
      </c>
      <c r="E1444">
        <v>48</v>
      </c>
      <c r="F1444">
        <v>24.23</v>
      </c>
      <c r="G1444">
        <v>51.54</v>
      </c>
      <c r="H1444">
        <v>24.23</v>
      </c>
      <c r="I1444">
        <v>0</v>
      </c>
      <c r="J1444" s="1">
        <v>45928.092903159719</v>
      </c>
      <c r="K1444" t="s">
        <v>1058</v>
      </c>
      <c r="L1444">
        <f>COUNTIF($A$2:A1444,A1444)</f>
        <v>50</v>
      </c>
    </row>
    <row r="1445" spans="1:12" x14ac:dyDescent="0.3">
      <c r="A1445">
        <v>15960</v>
      </c>
      <c r="B1445" t="s">
        <v>989</v>
      </c>
      <c r="C1445" t="s">
        <v>1048</v>
      </c>
      <c r="D1445" t="s">
        <v>1049</v>
      </c>
      <c r="E1445">
        <v>44</v>
      </c>
      <c r="F1445">
        <v>19.23</v>
      </c>
      <c r="G1445">
        <v>51.92</v>
      </c>
      <c r="H1445">
        <v>28.85</v>
      </c>
      <c r="I1445">
        <v>0</v>
      </c>
      <c r="J1445" s="1">
        <v>45928.092033263893</v>
      </c>
      <c r="K1445" t="s">
        <v>1058</v>
      </c>
      <c r="L1445">
        <f>COUNTIF($A$2:A1445,A1445)</f>
        <v>51</v>
      </c>
    </row>
    <row r="1446" spans="1:12" x14ac:dyDescent="0.3">
      <c r="A1446">
        <v>15960</v>
      </c>
      <c r="B1446" t="s">
        <v>989</v>
      </c>
      <c r="C1446" t="s">
        <v>1027</v>
      </c>
      <c r="D1446" t="s">
        <v>1028</v>
      </c>
      <c r="E1446">
        <v>41</v>
      </c>
      <c r="F1446">
        <v>17.690000000000001</v>
      </c>
      <c r="G1446">
        <v>63.08</v>
      </c>
      <c r="H1446">
        <v>18.079999999999998</v>
      </c>
      <c r="I1446">
        <v>1.1499999999999999</v>
      </c>
      <c r="J1446" s="1">
        <v>45928.09263136574</v>
      </c>
      <c r="K1446" t="s">
        <v>1058</v>
      </c>
      <c r="L1446">
        <f>COUNTIF($A$2:A1446,A1446)</f>
        <v>52</v>
      </c>
    </row>
    <row r="1447" spans="1:12" x14ac:dyDescent="0.3">
      <c r="A1447">
        <v>15960</v>
      </c>
      <c r="B1447" t="s">
        <v>989</v>
      </c>
      <c r="C1447" t="s">
        <v>842</v>
      </c>
      <c r="D1447" t="s">
        <v>843</v>
      </c>
      <c r="E1447">
        <v>34</v>
      </c>
      <c r="F1447">
        <v>16.149999999999999</v>
      </c>
      <c r="G1447">
        <v>77.69</v>
      </c>
      <c r="H1447">
        <v>6.15</v>
      </c>
      <c r="I1447">
        <v>0.01</v>
      </c>
      <c r="J1447" s="1">
        <v>45928.09209578704</v>
      </c>
      <c r="K1447" t="s">
        <v>1058</v>
      </c>
      <c r="L1447">
        <f>COUNTIF($A$2:A1447,A1447)</f>
        <v>53</v>
      </c>
    </row>
    <row r="1448" spans="1:12" x14ac:dyDescent="0.3">
      <c r="A1448">
        <v>15960</v>
      </c>
      <c r="B1448" t="s">
        <v>989</v>
      </c>
      <c r="C1448" t="s">
        <v>1019</v>
      </c>
      <c r="D1448" t="s">
        <v>1020</v>
      </c>
      <c r="E1448">
        <v>0</v>
      </c>
      <c r="F1448">
        <v>16.149999999999999</v>
      </c>
      <c r="G1448">
        <v>58.85</v>
      </c>
      <c r="H1448">
        <v>24.62</v>
      </c>
      <c r="I1448">
        <v>0.38</v>
      </c>
      <c r="J1448" s="1">
        <v>45928.092830601854</v>
      </c>
      <c r="K1448" t="s">
        <v>1058</v>
      </c>
      <c r="L1448">
        <f>COUNTIF($A$2:A1448,A1448)</f>
        <v>54</v>
      </c>
    </row>
    <row r="1449" spans="1:12" x14ac:dyDescent="0.3">
      <c r="A1449">
        <v>15960</v>
      </c>
      <c r="B1449" t="s">
        <v>989</v>
      </c>
      <c r="C1449" t="s">
        <v>1046</v>
      </c>
      <c r="D1449" t="s">
        <v>1047</v>
      </c>
      <c r="E1449">
        <v>50</v>
      </c>
      <c r="F1449">
        <v>10.38</v>
      </c>
      <c r="G1449">
        <v>53.08</v>
      </c>
      <c r="H1449">
        <v>36.54</v>
      </c>
      <c r="I1449">
        <v>0</v>
      </c>
      <c r="J1449" s="1">
        <v>45928.092078043985</v>
      </c>
      <c r="K1449" t="s">
        <v>1058</v>
      </c>
      <c r="L1449">
        <f>COUNTIF($A$2:A1449,A1449)</f>
        <v>55</v>
      </c>
    </row>
    <row r="1450" spans="1:12" x14ac:dyDescent="0.3">
      <c r="A1450">
        <v>15960</v>
      </c>
      <c r="B1450" t="s">
        <v>989</v>
      </c>
      <c r="C1450" t="s">
        <v>1023</v>
      </c>
      <c r="D1450" t="s">
        <v>1024</v>
      </c>
      <c r="E1450">
        <v>11</v>
      </c>
      <c r="F1450">
        <v>1.1499999999999999</v>
      </c>
      <c r="G1450">
        <v>0.38</v>
      </c>
      <c r="H1450">
        <v>0</v>
      </c>
      <c r="I1450">
        <v>98.47</v>
      </c>
      <c r="J1450" s="1">
        <v>45928.092745983799</v>
      </c>
      <c r="K1450" t="s">
        <v>1058</v>
      </c>
      <c r="L1450">
        <f>COUNTIF($A$2:A1450,A1450)</f>
        <v>56</v>
      </c>
    </row>
    <row r="1451" spans="1:12" x14ac:dyDescent="0.3">
      <c r="A1451">
        <v>15960</v>
      </c>
      <c r="B1451" t="s">
        <v>989</v>
      </c>
      <c r="C1451" t="s">
        <v>308</v>
      </c>
      <c r="D1451" t="s">
        <v>309</v>
      </c>
      <c r="E1451">
        <v>15</v>
      </c>
      <c r="F1451">
        <v>1.1499999999999999</v>
      </c>
      <c r="G1451">
        <v>0.77</v>
      </c>
      <c r="H1451">
        <v>0</v>
      </c>
      <c r="I1451">
        <v>98.08</v>
      </c>
      <c r="J1451" s="1">
        <v>45928.093026932867</v>
      </c>
      <c r="K1451" t="s">
        <v>1058</v>
      </c>
      <c r="L1451">
        <f>COUNTIF($A$2:A1451,A1451)</f>
        <v>57</v>
      </c>
    </row>
    <row r="1452" spans="1:12" x14ac:dyDescent="0.3">
      <c r="A1452">
        <v>16127</v>
      </c>
      <c r="B1452" t="s">
        <v>680</v>
      </c>
      <c r="C1452" t="s">
        <v>40</v>
      </c>
      <c r="D1452" t="s">
        <v>41</v>
      </c>
      <c r="E1452">
        <v>0</v>
      </c>
      <c r="F1452">
        <v>100</v>
      </c>
      <c r="G1452">
        <v>0</v>
      </c>
      <c r="H1452">
        <v>0</v>
      </c>
      <c r="I1452">
        <v>0</v>
      </c>
      <c r="J1452" s="1">
        <v>45928.07171773148</v>
      </c>
      <c r="K1452" t="s">
        <v>681</v>
      </c>
      <c r="L1452">
        <f>COUNTIF($A$2:A1452,A1452)</f>
        <v>1</v>
      </c>
    </row>
    <row r="1453" spans="1:12" x14ac:dyDescent="0.3">
      <c r="A1453">
        <v>16127</v>
      </c>
      <c r="B1453" t="s">
        <v>680</v>
      </c>
      <c r="C1453" t="s">
        <v>43</v>
      </c>
      <c r="D1453" t="s">
        <v>44</v>
      </c>
      <c r="E1453">
        <v>0</v>
      </c>
      <c r="F1453">
        <v>100</v>
      </c>
      <c r="G1453">
        <v>0</v>
      </c>
      <c r="H1453">
        <v>0</v>
      </c>
      <c r="I1453">
        <v>0</v>
      </c>
      <c r="J1453" s="1">
        <v>45928.071748148148</v>
      </c>
      <c r="K1453" t="s">
        <v>681</v>
      </c>
      <c r="L1453">
        <f>COUNTIF($A$2:A1453,A1453)</f>
        <v>2</v>
      </c>
    </row>
    <row r="1454" spans="1:12" x14ac:dyDescent="0.3">
      <c r="A1454">
        <v>16127</v>
      </c>
      <c r="B1454" t="s">
        <v>680</v>
      </c>
      <c r="C1454" t="s">
        <v>45</v>
      </c>
      <c r="D1454" t="s">
        <v>46</v>
      </c>
      <c r="E1454">
        <v>3</v>
      </c>
      <c r="F1454">
        <v>96.67</v>
      </c>
      <c r="G1454">
        <v>3.33</v>
      </c>
      <c r="H1454">
        <v>0</v>
      </c>
      <c r="I1454">
        <v>0</v>
      </c>
      <c r="J1454" s="1">
        <v>45928.071793078707</v>
      </c>
      <c r="K1454" t="s">
        <v>681</v>
      </c>
      <c r="L1454">
        <f>COUNTIF($A$2:A1454,A1454)</f>
        <v>3</v>
      </c>
    </row>
    <row r="1455" spans="1:12" x14ac:dyDescent="0.3">
      <c r="A1455">
        <v>16127</v>
      </c>
      <c r="B1455" t="s">
        <v>680</v>
      </c>
      <c r="C1455" t="s">
        <v>49</v>
      </c>
      <c r="D1455" t="s">
        <v>50</v>
      </c>
      <c r="E1455">
        <v>3</v>
      </c>
      <c r="F1455">
        <v>93.33</v>
      </c>
      <c r="G1455">
        <v>6.67</v>
      </c>
      <c r="H1455">
        <v>0</v>
      </c>
      <c r="I1455">
        <v>0</v>
      </c>
      <c r="J1455" s="1">
        <v>45928.071880810188</v>
      </c>
      <c r="K1455" t="s">
        <v>681</v>
      </c>
      <c r="L1455">
        <f>COUNTIF($A$2:A1455,A1455)</f>
        <v>4</v>
      </c>
    </row>
    <row r="1456" spans="1:12" x14ac:dyDescent="0.3">
      <c r="A1456">
        <v>16127</v>
      </c>
      <c r="B1456" t="s">
        <v>680</v>
      </c>
      <c r="C1456" t="s">
        <v>51</v>
      </c>
      <c r="D1456" t="s">
        <v>52</v>
      </c>
      <c r="E1456">
        <v>4</v>
      </c>
      <c r="F1456">
        <v>93.33</v>
      </c>
      <c r="G1456">
        <v>6.67</v>
      </c>
      <c r="H1456">
        <v>0</v>
      </c>
      <c r="I1456">
        <v>0</v>
      </c>
      <c r="J1456" s="1">
        <v>45928.071925902776</v>
      </c>
      <c r="K1456" t="s">
        <v>681</v>
      </c>
      <c r="L1456">
        <f>COUNTIF($A$2:A1456,A1456)</f>
        <v>5</v>
      </c>
    </row>
    <row r="1457" spans="1:12" x14ac:dyDescent="0.3">
      <c r="A1457">
        <v>16127</v>
      </c>
      <c r="B1457" t="s">
        <v>680</v>
      </c>
      <c r="C1457" t="s">
        <v>682</v>
      </c>
      <c r="D1457" t="s">
        <v>683</v>
      </c>
      <c r="E1457">
        <v>3</v>
      </c>
      <c r="F1457">
        <v>93.33</v>
      </c>
      <c r="G1457">
        <v>6.67</v>
      </c>
      <c r="H1457">
        <v>0</v>
      </c>
      <c r="I1457">
        <v>0</v>
      </c>
      <c r="J1457" s="1">
        <v>45928.071973078702</v>
      </c>
      <c r="K1457" t="s">
        <v>681</v>
      </c>
      <c r="L1457">
        <f>COUNTIF($A$2:A1457,A1457)</f>
        <v>6</v>
      </c>
    </row>
    <row r="1458" spans="1:12" x14ac:dyDescent="0.3">
      <c r="A1458">
        <v>16127</v>
      </c>
      <c r="B1458" t="s">
        <v>680</v>
      </c>
      <c r="C1458" t="s">
        <v>53</v>
      </c>
      <c r="D1458" t="s">
        <v>54</v>
      </c>
      <c r="E1458">
        <v>8</v>
      </c>
      <c r="F1458">
        <v>86.67</v>
      </c>
      <c r="G1458">
        <v>10</v>
      </c>
      <c r="H1458">
        <v>3.33</v>
      </c>
      <c r="I1458">
        <v>0</v>
      </c>
      <c r="J1458" s="1">
        <v>45928.07211228009</v>
      </c>
      <c r="K1458" t="s">
        <v>681</v>
      </c>
      <c r="L1458">
        <f>COUNTIF($A$2:A1458,A1458)</f>
        <v>7</v>
      </c>
    </row>
    <row r="1459" spans="1:12" x14ac:dyDescent="0.3">
      <c r="A1459">
        <v>16127</v>
      </c>
      <c r="B1459" t="s">
        <v>680</v>
      </c>
      <c r="C1459" t="s">
        <v>55</v>
      </c>
      <c r="D1459" t="s">
        <v>56</v>
      </c>
      <c r="E1459">
        <v>16</v>
      </c>
      <c r="F1459">
        <v>80</v>
      </c>
      <c r="G1459">
        <v>16.670000000000002</v>
      </c>
      <c r="H1459">
        <v>3.33</v>
      </c>
      <c r="I1459">
        <v>0</v>
      </c>
      <c r="J1459" s="1">
        <v>45928.072156168979</v>
      </c>
      <c r="K1459" t="s">
        <v>681</v>
      </c>
      <c r="L1459">
        <f>COUNTIF($A$2:A1459,A1459)</f>
        <v>8</v>
      </c>
    </row>
    <row r="1460" spans="1:12" x14ac:dyDescent="0.3">
      <c r="A1460">
        <v>16127</v>
      </c>
      <c r="B1460" t="s">
        <v>680</v>
      </c>
      <c r="C1460" t="s">
        <v>702</v>
      </c>
      <c r="D1460" t="s">
        <v>703</v>
      </c>
      <c r="E1460">
        <v>14</v>
      </c>
      <c r="F1460">
        <v>80</v>
      </c>
      <c r="G1460">
        <v>6.67</v>
      </c>
      <c r="H1460">
        <v>13.33</v>
      </c>
      <c r="I1460">
        <v>0</v>
      </c>
      <c r="J1460" s="1">
        <v>45928.072755532405</v>
      </c>
      <c r="K1460" t="s">
        <v>681</v>
      </c>
      <c r="L1460">
        <f>COUNTIF($A$2:A1460,A1460)</f>
        <v>9</v>
      </c>
    </row>
    <row r="1461" spans="1:12" x14ac:dyDescent="0.3">
      <c r="A1461">
        <v>16127</v>
      </c>
      <c r="B1461" t="s">
        <v>680</v>
      </c>
      <c r="C1461" t="s">
        <v>74</v>
      </c>
      <c r="D1461" t="s">
        <v>75</v>
      </c>
      <c r="E1461">
        <v>13</v>
      </c>
      <c r="F1461">
        <v>73.33</v>
      </c>
      <c r="G1461">
        <v>23.33</v>
      </c>
      <c r="H1461">
        <v>3.33</v>
      </c>
      <c r="I1461">
        <v>0.01</v>
      </c>
      <c r="J1461" s="1">
        <v>45928.072383472223</v>
      </c>
      <c r="K1461" t="s">
        <v>681</v>
      </c>
      <c r="L1461">
        <f>COUNTIF($A$2:A1461,A1461)</f>
        <v>10</v>
      </c>
    </row>
    <row r="1462" spans="1:12" x14ac:dyDescent="0.3">
      <c r="A1462">
        <v>16127</v>
      </c>
      <c r="B1462" t="s">
        <v>680</v>
      </c>
      <c r="C1462" t="s">
        <v>76</v>
      </c>
      <c r="D1462" t="s">
        <v>77</v>
      </c>
      <c r="E1462">
        <v>13</v>
      </c>
      <c r="F1462">
        <v>73.33</v>
      </c>
      <c r="G1462">
        <v>23.33</v>
      </c>
      <c r="H1462">
        <v>3.33</v>
      </c>
      <c r="I1462">
        <v>0.01</v>
      </c>
      <c r="J1462" s="1">
        <v>45928.072404791666</v>
      </c>
      <c r="K1462" t="s">
        <v>681</v>
      </c>
      <c r="L1462">
        <f>COUNTIF($A$2:A1462,A1462)</f>
        <v>11</v>
      </c>
    </row>
    <row r="1463" spans="1:12" x14ac:dyDescent="0.3">
      <c r="A1463">
        <v>16127</v>
      </c>
      <c r="B1463" t="s">
        <v>680</v>
      </c>
      <c r="C1463" t="s">
        <v>684</v>
      </c>
      <c r="D1463" t="s">
        <v>685</v>
      </c>
      <c r="E1463">
        <v>19</v>
      </c>
      <c r="F1463">
        <v>70</v>
      </c>
      <c r="G1463">
        <v>26.67</v>
      </c>
      <c r="H1463">
        <v>3.33</v>
      </c>
      <c r="I1463">
        <v>0</v>
      </c>
      <c r="J1463" s="1">
        <v>45928.072017314815</v>
      </c>
      <c r="K1463" t="s">
        <v>681</v>
      </c>
      <c r="L1463">
        <f>COUNTIF($A$2:A1463,A1463)</f>
        <v>12</v>
      </c>
    </row>
    <row r="1464" spans="1:12" x14ac:dyDescent="0.3">
      <c r="A1464">
        <v>16127</v>
      </c>
      <c r="B1464" t="s">
        <v>680</v>
      </c>
      <c r="C1464" t="s">
        <v>686</v>
      </c>
      <c r="D1464" t="s">
        <v>687</v>
      </c>
      <c r="E1464">
        <v>18</v>
      </c>
      <c r="F1464">
        <v>70</v>
      </c>
      <c r="G1464">
        <v>26.67</v>
      </c>
      <c r="H1464">
        <v>3.33</v>
      </c>
      <c r="I1464">
        <v>0</v>
      </c>
      <c r="J1464" s="1">
        <v>45928.072063321757</v>
      </c>
      <c r="K1464" t="s">
        <v>681</v>
      </c>
      <c r="L1464">
        <f>COUNTIF($A$2:A1464,A1464)</f>
        <v>13</v>
      </c>
    </row>
    <row r="1465" spans="1:12" x14ac:dyDescent="0.3">
      <c r="A1465">
        <v>16127</v>
      </c>
      <c r="B1465" t="s">
        <v>680</v>
      </c>
      <c r="C1465" t="s">
        <v>724</v>
      </c>
      <c r="D1465" t="s">
        <v>725</v>
      </c>
      <c r="E1465">
        <v>22</v>
      </c>
      <c r="F1465">
        <v>70</v>
      </c>
      <c r="G1465">
        <v>13.33</v>
      </c>
      <c r="H1465">
        <v>16.670000000000002</v>
      </c>
      <c r="I1465">
        <v>0</v>
      </c>
      <c r="J1465" s="1">
        <v>45928.073111111109</v>
      </c>
      <c r="K1465" t="s">
        <v>681</v>
      </c>
      <c r="L1465">
        <f>COUNTIF($A$2:A1465,A1465)</f>
        <v>14</v>
      </c>
    </row>
    <row r="1466" spans="1:12" x14ac:dyDescent="0.3">
      <c r="A1466">
        <v>16127</v>
      </c>
      <c r="B1466" t="s">
        <v>680</v>
      </c>
      <c r="C1466" t="s">
        <v>47</v>
      </c>
      <c r="D1466" t="s">
        <v>48</v>
      </c>
      <c r="E1466">
        <v>16</v>
      </c>
      <c r="F1466">
        <v>63.33</v>
      </c>
      <c r="G1466">
        <v>36.67</v>
      </c>
      <c r="H1466">
        <v>0</v>
      </c>
      <c r="I1466">
        <v>0</v>
      </c>
      <c r="J1466" s="1">
        <v>45928.071812037037</v>
      </c>
      <c r="K1466" t="s">
        <v>681</v>
      </c>
      <c r="L1466">
        <f>COUNTIF($A$2:A1466,A1466)</f>
        <v>15</v>
      </c>
    </row>
    <row r="1467" spans="1:12" x14ac:dyDescent="0.3">
      <c r="A1467">
        <v>16127</v>
      </c>
      <c r="B1467" t="s">
        <v>680</v>
      </c>
      <c r="C1467" t="s">
        <v>63</v>
      </c>
      <c r="D1467" t="s">
        <v>64</v>
      </c>
      <c r="E1467">
        <v>15</v>
      </c>
      <c r="F1467">
        <v>60</v>
      </c>
      <c r="G1467">
        <v>36.67</v>
      </c>
      <c r="H1467">
        <v>3.33</v>
      </c>
      <c r="I1467">
        <v>0</v>
      </c>
      <c r="J1467" s="1">
        <v>45928.072362928244</v>
      </c>
      <c r="K1467" t="s">
        <v>681</v>
      </c>
      <c r="L1467">
        <f>COUNTIF($A$2:A1467,A1467)</f>
        <v>16</v>
      </c>
    </row>
    <row r="1468" spans="1:12" x14ac:dyDescent="0.3">
      <c r="A1468">
        <v>16127</v>
      </c>
      <c r="B1468" t="s">
        <v>680</v>
      </c>
      <c r="C1468" t="s">
        <v>694</v>
      </c>
      <c r="D1468" t="s">
        <v>695</v>
      </c>
      <c r="E1468">
        <v>16</v>
      </c>
      <c r="F1468">
        <v>60</v>
      </c>
      <c r="G1468">
        <v>36.67</v>
      </c>
      <c r="H1468">
        <v>3.33</v>
      </c>
      <c r="I1468">
        <v>0</v>
      </c>
      <c r="J1468" s="1">
        <v>45928.072635474535</v>
      </c>
      <c r="K1468" t="s">
        <v>681</v>
      </c>
      <c r="L1468">
        <f>COUNTIF($A$2:A1468,A1468)</f>
        <v>17</v>
      </c>
    </row>
    <row r="1469" spans="1:12" x14ac:dyDescent="0.3">
      <c r="A1469">
        <v>16127</v>
      </c>
      <c r="B1469" t="s">
        <v>680</v>
      </c>
      <c r="C1469" t="s">
        <v>70</v>
      </c>
      <c r="D1469" t="s">
        <v>71</v>
      </c>
      <c r="E1469">
        <v>15</v>
      </c>
      <c r="F1469">
        <v>56.67</v>
      </c>
      <c r="G1469">
        <v>43.33</v>
      </c>
      <c r="H1469">
        <v>0</v>
      </c>
      <c r="I1469">
        <v>0</v>
      </c>
      <c r="J1469" s="1">
        <v>45928.071832858797</v>
      </c>
      <c r="K1469" t="s">
        <v>681</v>
      </c>
      <c r="L1469">
        <f>COUNTIF($A$2:A1469,A1469)</f>
        <v>18</v>
      </c>
    </row>
    <row r="1470" spans="1:12" x14ac:dyDescent="0.3">
      <c r="A1470">
        <v>16127</v>
      </c>
      <c r="B1470" t="s">
        <v>680</v>
      </c>
      <c r="C1470" t="s">
        <v>265</v>
      </c>
      <c r="D1470" t="s">
        <v>266</v>
      </c>
      <c r="E1470">
        <v>30</v>
      </c>
      <c r="F1470">
        <v>53.33</v>
      </c>
      <c r="G1470">
        <v>20</v>
      </c>
      <c r="H1470">
        <v>26.67</v>
      </c>
      <c r="I1470">
        <v>0</v>
      </c>
      <c r="J1470" s="1">
        <v>45928.073065219905</v>
      </c>
      <c r="K1470" t="s">
        <v>681</v>
      </c>
      <c r="L1470">
        <f>COUNTIF($A$2:A1470,A1470)</f>
        <v>19</v>
      </c>
    </row>
    <row r="1471" spans="1:12" x14ac:dyDescent="0.3">
      <c r="A1471">
        <v>16127</v>
      </c>
      <c r="B1471" t="s">
        <v>680</v>
      </c>
      <c r="C1471" t="s">
        <v>57</v>
      </c>
      <c r="D1471" t="s">
        <v>58</v>
      </c>
      <c r="E1471">
        <v>20</v>
      </c>
      <c r="F1471">
        <v>46.67</v>
      </c>
      <c r="G1471">
        <v>50</v>
      </c>
      <c r="H1471">
        <v>3.33</v>
      </c>
      <c r="I1471">
        <v>0</v>
      </c>
      <c r="J1471" s="1">
        <v>45928.072203252312</v>
      </c>
      <c r="K1471" t="s">
        <v>681</v>
      </c>
      <c r="L1471">
        <f>COUNTIF($A$2:A1471,A1471)</f>
        <v>20</v>
      </c>
    </row>
    <row r="1472" spans="1:12" x14ac:dyDescent="0.3">
      <c r="A1472">
        <v>16127</v>
      </c>
      <c r="B1472" t="s">
        <v>680</v>
      </c>
      <c r="C1472" t="s">
        <v>78</v>
      </c>
      <c r="D1472" t="s">
        <v>79</v>
      </c>
      <c r="E1472">
        <v>22</v>
      </c>
      <c r="F1472">
        <v>43.33</v>
      </c>
      <c r="G1472">
        <v>53.33</v>
      </c>
      <c r="H1472">
        <v>3.33</v>
      </c>
      <c r="I1472">
        <v>0.01</v>
      </c>
      <c r="J1472" s="1">
        <v>45928.072426284722</v>
      </c>
      <c r="K1472" t="s">
        <v>681</v>
      </c>
      <c r="L1472">
        <f>COUNTIF($A$2:A1472,A1472)</f>
        <v>21</v>
      </c>
    </row>
    <row r="1473" spans="1:12" x14ac:dyDescent="0.3">
      <c r="A1473">
        <v>16127</v>
      </c>
      <c r="B1473" t="s">
        <v>680</v>
      </c>
      <c r="C1473" t="s">
        <v>722</v>
      </c>
      <c r="D1473" t="s">
        <v>723</v>
      </c>
      <c r="E1473">
        <v>36</v>
      </c>
      <c r="F1473">
        <v>43.33</v>
      </c>
      <c r="G1473">
        <v>26.67</v>
      </c>
      <c r="H1473">
        <v>30</v>
      </c>
      <c r="I1473">
        <v>0</v>
      </c>
      <c r="J1473" s="1">
        <v>45928.073091990744</v>
      </c>
      <c r="K1473" t="s">
        <v>681</v>
      </c>
      <c r="L1473">
        <f>COUNTIF($A$2:A1473,A1473)</f>
        <v>22</v>
      </c>
    </row>
    <row r="1474" spans="1:12" x14ac:dyDescent="0.3">
      <c r="A1474">
        <v>16127</v>
      </c>
      <c r="B1474" t="s">
        <v>680</v>
      </c>
      <c r="C1474" t="s">
        <v>80</v>
      </c>
      <c r="D1474" t="s">
        <v>81</v>
      </c>
      <c r="E1474">
        <v>22</v>
      </c>
      <c r="F1474">
        <v>40</v>
      </c>
      <c r="G1474">
        <v>56.67</v>
      </c>
      <c r="H1474">
        <v>3.33</v>
      </c>
      <c r="I1474">
        <v>0</v>
      </c>
      <c r="J1474" s="1">
        <v>45928.072493888889</v>
      </c>
      <c r="K1474" t="s">
        <v>681</v>
      </c>
      <c r="L1474">
        <f>COUNTIF($A$2:A1474,A1474)</f>
        <v>23</v>
      </c>
    </row>
    <row r="1475" spans="1:12" x14ac:dyDescent="0.3">
      <c r="A1475">
        <v>16127</v>
      </c>
      <c r="B1475" t="s">
        <v>680</v>
      </c>
      <c r="C1475" t="s">
        <v>692</v>
      </c>
      <c r="D1475" t="s">
        <v>693</v>
      </c>
      <c r="E1475">
        <v>24</v>
      </c>
      <c r="F1475">
        <v>36.67</v>
      </c>
      <c r="G1475">
        <v>60</v>
      </c>
      <c r="H1475">
        <v>3.33</v>
      </c>
      <c r="I1475">
        <v>0</v>
      </c>
      <c r="J1475" s="1">
        <v>45928.072588009258</v>
      </c>
      <c r="K1475" t="s">
        <v>681</v>
      </c>
      <c r="L1475">
        <f>COUNTIF($A$2:A1475,A1475)</f>
        <v>24</v>
      </c>
    </row>
    <row r="1476" spans="1:12" x14ac:dyDescent="0.3">
      <c r="A1476">
        <v>16127</v>
      </c>
      <c r="B1476" t="s">
        <v>680</v>
      </c>
      <c r="C1476" t="s">
        <v>61</v>
      </c>
      <c r="D1476" t="s">
        <v>62</v>
      </c>
      <c r="E1476">
        <v>21</v>
      </c>
      <c r="F1476">
        <v>33.33</v>
      </c>
      <c r="G1476">
        <v>63.33</v>
      </c>
      <c r="H1476">
        <v>3.33</v>
      </c>
      <c r="I1476">
        <v>0.01</v>
      </c>
      <c r="J1476" s="1">
        <v>45928.072222789349</v>
      </c>
      <c r="K1476" t="s">
        <v>681</v>
      </c>
      <c r="L1476">
        <f>COUNTIF($A$2:A1476,A1476)</f>
        <v>25</v>
      </c>
    </row>
    <row r="1477" spans="1:12" x14ac:dyDescent="0.3">
      <c r="A1477">
        <v>16127</v>
      </c>
      <c r="B1477" t="s">
        <v>680</v>
      </c>
      <c r="C1477" t="s">
        <v>690</v>
      </c>
      <c r="D1477" t="s">
        <v>691</v>
      </c>
      <c r="E1477">
        <v>27</v>
      </c>
      <c r="F1477">
        <v>33.33</v>
      </c>
      <c r="G1477">
        <v>63.33</v>
      </c>
      <c r="H1477">
        <v>3.33</v>
      </c>
      <c r="I1477">
        <v>0.01</v>
      </c>
      <c r="J1477" s="1">
        <v>45928.072446365739</v>
      </c>
      <c r="K1477" t="s">
        <v>681</v>
      </c>
      <c r="L1477">
        <f>COUNTIF($A$2:A1477,A1477)</f>
        <v>26</v>
      </c>
    </row>
    <row r="1478" spans="1:12" x14ac:dyDescent="0.3">
      <c r="A1478">
        <v>16127</v>
      </c>
      <c r="B1478" t="s">
        <v>680</v>
      </c>
      <c r="C1478" t="s">
        <v>673</v>
      </c>
      <c r="D1478" t="s">
        <v>674</v>
      </c>
      <c r="E1478">
        <v>27</v>
      </c>
      <c r="F1478">
        <v>33.33</v>
      </c>
      <c r="G1478">
        <v>63.33</v>
      </c>
      <c r="H1478">
        <v>3.33</v>
      </c>
      <c r="I1478">
        <v>0.01</v>
      </c>
      <c r="J1478" s="1">
        <v>45928.072516458335</v>
      </c>
      <c r="K1478" t="s">
        <v>681</v>
      </c>
      <c r="L1478">
        <f>COUNTIF($A$2:A1478,A1478)</f>
        <v>27</v>
      </c>
    </row>
    <row r="1479" spans="1:12" x14ac:dyDescent="0.3">
      <c r="A1479">
        <v>16127</v>
      </c>
      <c r="B1479" t="s">
        <v>680</v>
      </c>
      <c r="C1479" t="s">
        <v>675</v>
      </c>
      <c r="D1479" t="s">
        <v>676</v>
      </c>
      <c r="E1479">
        <v>26</v>
      </c>
      <c r="F1479">
        <v>33.33</v>
      </c>
      <c r="G1479">
        <v>63.33</v>
      </c>
      <c r="H1479">
        <v>3.33</v>
      </c>
      <c r="I1479">
        <v>0.01</v>
      </c>
      <c r="J1479" s="1">
        <v>45928.072539224537</v>
      </c>
      <c r="K1479" t="s">
        <v>681</v>
      </c>
      <c r="L1479">
        <f>COUNTIF($A$2:A1479,A1479)</f>
        <v>28</v>
      </c>
    </row>
    <row r="1480" spans="1:12" x14ac:dyDescent="0.3">
      <c r="A1480">
        <v>16127</v>
      </c>
      <c r="B1480" t="s">
        <v>680</v>
      </c>
      <c r="C1480" t="s">
        <v>696</v>
      </c>
      <c r="D1480" t="s">
        <v>697</v>
      </c>
      <c r="E1480">
        <v>0</v>
      </c>
      <c r="F1480">
        <v>26.67</v>
      </c>
      <c r="G1480">
        <v>70</v>
      </c>
      <c r="H1480">
        <v>3.33</v>
      </c>
      <c r="I1480">
        <v>0</v>
      </c>
      <c r="J1480" s="1">
        <v>45928.072661631944</v>
      </c>
      <c r="K1480" t="s">
        <v>681</v>
      </c>
      <c r="L1480">
        <f>COUNTIF($A$2:A1480,A1480)</f>
        <v>29</v>
      </c>
    </row>
    <row r="1481" spans="1:12" x14ac:dyDescent="0.3">
      <c r="A1481">
        <v>16127</v>
      </c>
      <c r="B1481" t="s">
        <v>680</v>
      </c>
      <c r="C1481" t="s">
        <v>698</v>
      </c>
      <c r="D1481" t="s">
        <v>699</v>
      </c>
      <c r="E1481">
        <v>30</v>
      </c>
      <c r="F1481">
        <v>23.33</v>
      </c>
      <c r="G1481">
        <v>73.33</v>
      </c>
      <c r="H1481">
        <v>3.33</v>
      </c>
      <c r="I1481">
        <v>0.01</v>
      </c>
      <c r="J1481" s="1">
        <v>45928.072677175929</v>
      </c>
      <c r="K1481" t="s">
        <v>681</v>
      </c>
      <c r="L1481">
        <f>COUNTIF($A$2:A1481,A1481)</f>
        <v>30</v>
      </c>
    </row>
    <row r="1482" spans="1:12" x14ac:dyDescent="0.3">
      <c r="A1482">
        <v>16127</v>
      </c>
      <c r="B1482" t="s">
        <v>680</v>
      </c>
      <c r="C1482" t="s">
        <v>688</v>
      </c>
      <c r="D1482" t="s">
        <v>689</v>
      </c>
      <c r="E1482">
        <v>27</v>
      </c>
      <c r="F1482">
        <v>20</v>
      </c>
      <c r="G1482">
        <v>76.67</v>
      </c>
      <c r="H1482">
        <v>3.33</v>
      </c>
      <c r="I1482">
        <v>0</v>
      </c>
      <c r="J1482" s="1">
        <v>45928.072315752317</v>
      </c>
      <c r="K1482" t="s">
        <v>681</v>
      </c>
      <c r="L1482">
        <f>COUNTIF($A$2:A1482,A1482)</f>
        <v>31</v>
      </c>
    </row>
    <row r="1483" spans="1:12" x14ac:dyDescent="0.3">
      <c r="A1483">
        <v>16127</v>
      </c>
      <c r="B1483" t="s">
        <v>680</v>
      </c>
      <c r="C1483" t="s">
        <v>240</v>
      </c>
      <c r="D1483" t="s">
        <v>241</v>
      </c>
      <c r="E1483">
        <v>30</v>
      </c>
      <c r="F1483">
        <v>20</v>
      </c>
      <c r="G1483">
        <v>73.33</v>
      </c>
      <c r="H1483">
        <v>6.67</v>
      </c>
      <c r="I1483">
        <v>0</v>
      </c>
      <c r="J1483" s="1">
        <v>45928.072740208336</v>
      </c>
      <c r="K1483" t="s">
        <v>681</v>
      </c>
      <c r="L1483">
        <f>COUNTIF($A$2:A1483,A1483)</f>
        <v>32</v>
      </c>
    </row>
    <row r="1484" spans="1:12" x14ac:dyDescent="0.3">
      <c r="A1484">
        <v>16127</v>
      </c>
      <c r="B1484" t="s">
        <v>680</v>
      </c>
      <c r="C1484" t="s">
        <v>72</v>
      </c>
      <c r="D1484" t="s">
        <v>73</v>
      </c>
      <c r="E1484">
        <v>27</v>
      </c>
      <c r="F1484">
        <v>16.670000000000002</v>
      </c>
      <c r="G1484">
        <v>80</v>
      </c>
      <c r="H1484">
        <v>3.33</v>
      </c>
      <c r="I1484">
        <v>0</v>
      </c>
      <c r="J1484" s="1">
        <v>45928.072269166667</v>
      </c>
      <c r="K1484" t="s">
        <v>681</v>
      </c>
      <c r="L1484">
        <f>COUNTIF($A$2:A1484,A1484)</f>
        <v>33</v>
      </c>
    </row>
    <row r="1485" spans="1:12" x14ac:dyDescent="0.3">
      <c r="A1485">
        <v>16127</v>
      </c>
      <c r="B1485" t="s">
        <v>680</v>
      </c>
      <c r="C1485" t="s">
        <v>714</v>
      </c>
      <c r="D1485" t="s">
        <v>715</v>
      </c>
      <c r="E1485">
        <v>43</v>
      </c>
      <c r="F1485">
        <v>16.670000000000002</v>
      </c>
      <c r="G1485">
        <v>60</v>
      </c>
      <c r="H1485">
        <v>23.33</v>
      </c>
      <c r="I1485">
        <v>0</v>
      </c>
      <c r="J1485" s="1">
        <v>45928.072943287036</v>
      </c>
      <c r="K1485" t="s">
        <v>681</v>
      </c>
      <c r="L1485">
        <f>COUNTIF($A$2:A1485,A1485)</f>
        <v>34</v>
      </c>
    </row>
    <row r="1486" spans="1:12" x14ac:dyDescent="0.3">
      <c r="A1486">
        <v>16127</v>
      </c>
      <c r="B1486" t="s">
        <v>680</v>
      </c>
      <c r="C1486" t="s">
        <v>245</v>
      </c>
      <c r="D1486" t="s">
        <v>246</v>
      </c>
      <c r="E1486">
        <v>59</v>
      </c>
      <c r="F1486">
        <v>13.33</v>
      </c>
      <c r="G1486">
        <v>53.33</v>
      </c>
      <c r="H1486">
        <v>33.33</v>
      </c>
      <c r="I1486">
        <v>0.01</v>
      </c>
      <c r="J1486" s="1">
        <v>45928.072845428243</v>
      </c>
      <c r="K1486" t="s">
        <v>681</v>
      </c>
      <c r="L1486">
        <f>COUNTIF($A$2:A1486,A1486)</f>
        <v>35</v>
      </c>
    </row>
    <row r="1487" spans="1:12" x14ac:dyDescent="0.3">
      <c r="A1487">
        <v>16127</v>
      </c>
      <c r="B1487" t="s">
        <v>680</v>
      </c>
      <c r="C1487" t="s">
        <v>700</v>
      </c>
      <c r="D1487" t="s">
        <v>701</v>
      </c>
      <c r="E1487">
        <v>0</v>
      </c>
      <c r="F1487">
        <v>10</v>
      </c>
      <c r="G1487">
        <v>83.33</v>
      </c>
      <c r="H1487">
        <v>6.67</v>
      </c>
      <c r="I1487">
        <v>0</v>
      </c>
      <c r="J1487" s="1">
        <v>45928.072698356482</v>
      </c>
      <c r="K1487" t="s">
        <v>681</v>
      </c>
      <c r="L1487">
        <f>COUNTIF($A$2:A1487,A1487)</f>
        <v>36</v>
      </c>
    </row>
    <row r="1488" spans="1:12" x14ac:dyDescent="0.3">
      <c r="A1488">
        <v>16127</v>
      </c>
      <c r="B1488" t="s">
        <v>680</v>
      </c>
      <c r="C1488" t="s">
        <v>243</v>
      </c>
      <c r="D1488" t="s">
        <v>244</v>
      </c>
      <c r="E1488">
        <v>0</v>
      </c>
      <c r="F1488">
        <v>10</v>
      </c>
      <c r="G1488">
        <v>66.67</v>
      </c>
      <c r="H1488">
        <v>23.33</v>
      </c>
      <c r="I1488">
        <v>0</v>
      </c>
      <c r="J1488" s="1">
        <v>45928.072798043984</v>
      </c>
      <c r="K1488" t="s">
        <v>681</v>
      </c>
      <c r="L1488">
        <f>COUNTIF($A$2:A1488,A1488)</f>
        <v>37</v>
      </c>
    </row>
    <row r="1489" spans="1:12" x14ac:dyDescent="0.3">
      <c r="A1489">
        <v>16127</v>
      </c>
      <c r="B1489" t="s">
        <v>680</v>
      </c>
      <c r="C1489" t="s">
        <v>261</v>
      </c>
      <c r="D1489" t="s">
        <v>262</v>
      </c>
      <c r="E1489">
        <v>45</v>
      </c>
      <c r="F1489">
        <v>10</v>
      </c>
      <c r="G1489">
        <v>66.67</v>
      </c>
      <c r="H1489">
        <v>23.33</v>
      </c>
      <c r="I1489">
        <v>0</v>
      </c>
      <c r="J1489" s="1">
        <v>45928.072960648147</v>
      </c>
      <c r="K1489" t="s">
        <v>681</v>
      </c>
      <c r="L1489">
        <f>COUNTIF($A$2:A1489,A1489)</f>
        <v>38</v>
      </c>
    </row>
    <row r="1490" spans="1:12" x14ac:dyDescent="0.3">
      <c r="A1490">
        <v>16127</v>
      </c>
      <c r="B1490" t="s">
        <v>680</v>
      </c>
      <c r="C1490" t="s">
        <v>263</v>
      </c>
      <c r="D1490" t="s">
        <v>264</v>
      </c>
      <c r="E1490">
        <v>42</v>
      </c>
      <c r="F1490">
        <v>10</v>
      </c>
      <c r="G1490">
        <v>66.67</v>
      </c>
      <c r="H1490">
        <v>23.33</v>
      </c>
      <c r="I1490">
        <v>0</v>
      </c>
      <c r="J1490" s="1">
        <v>45928.07297681713</v>
      </c>
      <c r="K1490" t="s">
        <v>681</v>
      </c>
      <c r="L1490">
        <f>COUNTIF($A$2:A1490,A1490)</f>
        <v>39</v>
      </c>
    </row>
    <row r="1491" spans="1:12" x14ac:dyDescent="0.3">
      <c r="A1491">
        <v>16127</v>
      </c>
      <c r="B1491" t="s">
        <v>680</v>
      </c>
      <c r="C1491" t="s">
        <v>704</v>
      </c>
      <c r="D1491" t="s">
        <v>705</v>
      </c>
      <c r="E1491">
        <v>53</v>
      </c>
      <c r="F1491">
        <v>6.67</v>
      </c>
      <c r="G1491">
        <v>70</v>
      </c>
      <c r="H1491">
        <v>23.33</v>
      </c>
      <c r="I1491">
        <v>0</v>
      </c>
      <c r="J1491" s="1">
        <v>45928.072772245374</v>
      </c>
      <c r="K1491" t="s">
        <v>681</v>
      </c>
      <c r="L1491">
        <f>COUNTIF($A$2:A1491,A1491)</f>
        <v>40</v>
      </c>
    </row>
    <row r="1492" spans="1:12" x14ac:dyDescent="0.3">
      <c r="A1492">
        <v>16127</v>
      </c>
      <c r="B1492" t="s">
        <v>680</v>
      </c>
      <c r="C1492" t="s">
        <v>706</v>
      </c>
      <c r="D1492" t="s">
        <v>707</v>
      </c>
      <c r="E1492">
        <v>59</v>
      </c>
      <c r="F1492">
        <v>6.67</v>
      </c>
      <c r="G1492">
        <v>60</v>
      </c>
      <c r="H1492">
        <v>33.33</v>
      </c>
      <c r="I1492">
        <v>0</v>
      </c>
      <c r="J1492" s="1">
        <v>45928.07281755787</v>
      </c>
      <c r="K1492" t="s">
        <v>681</v>
      </c>
      <c r="L1492">
        <f>COUNTIF($A$2:A1492,A1492)</f>
        <v>41</v>
      </c>
    </row>
    <row r="1493" spans="1:12" x14ac:dyDescent="0.3">
      <c r="A1493">
        <v>16127</v>
      </c>
      <c r="B1493" t="s">
        <v>680</v>
      </c>
      <c r="C1493" t="s">
        <v>716</v>
      </c>
      <c r="D1493" t="s">
        <v>717</v>
      </c>
      <c r="E1493">
        <v>46</v>
      </c>
      <c r="F1493">
        <v>6.67</v>
      </c>
      <c r="G1493">
        <v>70</v>
      </c>
      <c r="H1493">
        <v>23.33</v>
      </c>
      <c r="I1493">
        <v>0</v>
      </c>
      <c r="J1493" s="1">
        <v>45928.072997256946</v>
      </c>
      <c r="K1493" t="s">
        <v>681</v>
      </c>
      <c r="L1493">
        <f>COUNTIF($A$2:A1493,A1493)</f>
        <v>42</v>
      </c>
    </row>
    <row r="1494" spans="1:12" x14ac:dyDescent="0.3">
      <c r="A1494">
        <v>16127</v>
      </c>
      <c r="B1494" t="s">
        <v>680</v>
      </c>
      <c r="C1494" t="s">
        <v>718</v>
      </c>
      <c r="D1494" t="s">
        <v>719</v>
      </c>
      <c r="E1494">
        <v>0</v>
      </c>
      <c r="F1494">
        <v>6.67</v>
      </c>
      <c r="G1494">
        <v>63.33</v>
      </c>
      <c r="H1494">
        <v>30</v>
      </c>
      <c r="I1494">
        <v>0</v>
      </c>
      <c r="J1494" s="1">
        <v>45928.073024710648</v>
      </c>
      <c r="K1494" t="s">
        <v>681</v>
      </c>
      <c r="L1494">
        <f>COUNTIF($A$2:A1494,A1494)</f>
        <v>43</v>
      </c>
    </row>
    <row r="1495" spans="1:12" x14ac:dyDescent="0.3">
      <c r="A1495">
        <v>16127</v>
      </c>
      <c r="B1495" t="s">
        <v>680</v>
      </c>
      <c r="C1495" t="s">
        <v>720</v>
      </c>
      <c r="D1495" t="s">
        <v>721</v>
      </c>
      <c r="E1495">
        <v>54</v>
      </c>
      <c r="F1495">
        <v>6.67</v>
      </c>
      <c r="G1495">
        <v>63.33</v>
      </c>
      <c r="H1495">
        <v>30</v>
      </c>
      <c r="I1495">
        <v>0</v>
      </c>
      <c r="J1495" s="1">
        <v>45928.073043842589</v>
      </c>
      <c r="K1495" t="s">
        <v>681</v>
      </c>
      <c r="L1495">
        <f>COUNTIF($A$2:A1495,A1495)</f>
        <v>44</v>
      </c>
    </row>
    <row r="1496" spans="1:12" x14ac:dyDescent="0.3">
      <c r="A1496">
        <v>16127</v>
      </c>
      <c r="B1496" t="s">
        <v>680</v>
      </c>
      <c r="C1496" t="s">
        <v>247</v>
      </c>
      <c r="D1496" t="s">
        <v>248</v>
      </c>
      <c r="E1496">
        <v>69</v>
      </c>
      <c r="F1496">
        <v>0</v>
      </c>
      <c r="G1496">
        <v>50</v>
      </c>
      <c r="H1496">
        <v>50</v>
      </c>
      <c r="I1496">
        <v>0</v>
      </c>
      <c r="J1496" s="1">
        <v>45928.072865138885</v>
      </c>
      <c r="K1496" t="s">
        <v>681</v>
      </c>
      <c r="L1496">
        <f>COUNTIF($A$2:A1496,A1496)</f>
        <v>45</v>
      </c>
    </row>
    <row r="1497" spans="1:12" x14ac:dyDescent="0.3">
      <c r="A1497">
        <v>16127</v>
      </c>
      <c r="B1497" t="s">
        <v>680</v>
      </c>
      <c r="C1497" t="s">
        <v>708</v>
      </c>
      <c r="D1497" t="s">
        <v>709</v>
      </c>
      <c r="E1497">
        <v>70</v>
      </c>
      <c r="F1497">
        <v>0</v>
      </c>
      <c r="G1497">
        <v>46.67</v>
      </c>
      <c r="H1497">
        <v>53.33</v>
      </c>
      <c r="I1497">
        <v>0</v>
      </c>
      <c r="J1497" s="1">
        <v>45928.072884918984</v>
      </c>
      <c r="K1497" t="s">
        <v>681</v>
      </c>
      <c r="L1497">
        <f>COUNTIF($A$2:A1497,A1497)</f>
        <v>46</v>
      </c>
    </row>
    <row r="1498" spans="1:12" x14ac:dyDescent="0.3">
      <c r="A1498">
        <v>16127</v>
      </c>
      <c r="B1498" t="s">
        <v>680</v>
      </c>
      <c r="C1498" t="s">
        <v>710</v>
      </c>
      <c r="D1498" t="s">
        <v>711</v>
      </c>
      <c r="E1498">
        <v>73</v>
      </c>
      <c r="F1498">
        <v>0</v>
      </c>
      <c r="G1498">
        <v>36.67</v>
      </c>
      <c r="H1498">
        <v>63.33</v>
      </c>
      <c r="I1498">
        <v>0</v>
      </c>
      <c r="J1498" s="1">
        <v>45928.07290324074</v>
      </c>
      <c r="K1498" t="s">
        <v>681</v>
      </c>
      <c r="L1498">
        <f>COUNTIF($A$2:A1498,A1498)</f>
        <v>47</v>
      </c>
    </row>
    <row r="1499" spans="1:12" x14ac:dyDescent="0.3">
      <c r="A1499">
        <v>16127</v>
      </c>
      <c r="B1499" t="s">
        <v>680</v>
      </c>
      <c r="C1499" t="s">
        <v>712</v>
      </c>
      <c r="D1499" t="s">
        <v>713</v>
      </c>
      <c r="E1499">
        <v>77</v>
      </c>
      <c r="F1499">
        <v>0</v>
      </c>
      <c r="G1499">
        <v>30</v>
      </c>
      <c r="H1499">
        <v>70</v>
      </c>
      <c r="I1499">
        <v>0</v>
      </c>
      <c r="J1499" s="1">
        <v>45928.072924768516</v>
      </c>
      <c r="K1499" t="s">
        <v>681</v>
      </c>
      <c r="L1499">
        <f>COUNTIF($A$2:A1499,A1499)</f>
        <v>48</v>
      </c>
    </row>
    <row r="1500" spans="1:12" x14ac:dyDescent="0.3">
      <c r="A1500">
        <v>16128</v>
      </c>
      <c r="B1500" t="s">
        <v>680</v>
      </c>
      <c r="C1500" t="s">
        <v>724</v>
      </c>
      <c r="D1500" t="s">
        <v>725</v>
      </c>
      <c r="E1500">
        <v>0</v>
      </c>
      <c r="F1500">
        <v>100</v>
      </c>
      <c r="G1500">
        <v>0</v>
      </c>
      <c r="H1500">
        <v>0</v>
      </c>
      <c r="I1500">
        <v>0</v>
      </c>
      <c r="J1500" s="1">
        <v>45928.073186944443</v>
      </c>
      <c r="K1500" t="s">
        <v>726</v>
      </c>
      <c r="L1500">
        <f>COUNTIF($A$2:A1500,A1500)</f>
        <v>1</v>
      </c>
    </row>
    <row r="1501" spans="1:12" x14ac:dyDescent="0.3">
      <c r="A1501">
        <v>16128</v>
      </c>
      <c r="B1501" t="s">
        <v>680</v>
      </c>
      <c r="C1501" t="s">
        <v>66</v>
      </c>
      <c r="D1501" t="s">
        <v>67</v>
      </c>
      <c r="E1501">
        <v>0</v>
      </c>
      <c r="F1501">
        <v>100</v>
      </c>
      <c r="G1501">
        <v>0</v>
      </c>
      <c r="H1501">
        <v>0</v>
      </c>
      <c r="I1501">
        <v>0</v>
      </c>
      <c r="J1501" s="1">
        <v>45928.074615219906</v>
      </c>
      <c r="K1501" t="s">
        <v>726</v>
      </c>
      <c r="L1501">
        <f>COUNTIF($A$2:A1501,A1501)</f>
        <v>2</v>
      </c>
    </row>
    <row r="1502" spans="1:12" x14ac:dyDescent="0.3">
      <c r="A1502">
        <v>16128</v>
      </c>
      <c r="B1502" t="s">
        <v>680</v>
      </c>
      <c r="C1502" t="s">
        <v>40</v>
      </c>
      <c r="D1502" t="s">
        <v>41</v>
      </c>
      <c r="E1502">
        <v>1</v>
      </c>
      <c r="F1502">
        <v>100</v>
      </c>
      <c r="G1502">
        <v>0</v>
      </c>
      <c r="H1502">
        <v>0</v>
      </c>
      <c r="I1502">
        <v>0</v>
      </c>
      <c r="J1502" s="1">
        <v>45928.074633194447</v>
      </c>
      <c r="K1502" t="s">
        <v>726</v>
      </c>
      <c r="L1502">
        <f>COUNTIF($A$2:A1502,A1502)</f>
        <v>3</v>
      </c>
    </row>
    <row r="1503" spans="1:12" x14ac:dyDescent="0.3">
      <c r="A1503">
        <v>16128</v>
      </c>
      <c r="B1503" t="s">
        <v>680</v>
      </c>
      <c r="C1503" t="s">
        <v>80</v>
      </c>
      <c r="D1503" t="s">
        <v>81</v>
      </c>
      <c r="E1503">
        <v>5</v>
      </c>
      <c r="F1503">
        <v>93.33</v>
      </c>
      <c r="G1503">
        <v>6.67</v>
      </c>
      <c r="H1503">
        <v>0</v>
      </c>
      <c r="I1503">
        <v>0</v>
      </c>
      <c r="J1503" s="1">
        <v>45928.074142118057</v>
      </c>
      <c r="K1503" t="s">
        <v>726</v>
      </c>
      <c r="L1503">
        <f>COUNTIF($A$2:A1503,A1503)</f>
        <v>4</v>
      </c>
    </row>
    <row r="1504" spans="1:12" x14ac:dyDescent="0.3">
      <c r="A1504">
        <v>16128</v>
      </c>
      <c r="B1504" t="s">
        <v>680</v>
      </c>
      <c r="C1504" t="s">
        <v>722</v>
      </c>
      <c r="D1504" t="s">
        <v>723</v>
      </c>
      <c r="E1504">
        <v>8</v>
      </c>
      <c r="F1504">
        <v>90</v>
      </c>
      <c r="G1504">
        <v>10</v>
      </c>
      <c r="H1504">
        <v>0</v>
      </c>
      <c r="I1504">
        <v>0</v>
      </c>
      <c r="J1504" s="1">
        <v>45928.073206793983</v>
      </c>
      <c r="K1504" t="s">
        <v>726</v>
      </c>
      <c r="L1504">
        <f>COUNTIF($A$2:A1504,A1504)</f>
        <v>5</v>
      </c>
    </row>
    <row r="1505" spans="1:12" x14ac:dyDescent="0.3">
      <c r="A1505">
        <v>16128</v>
      </c>
      <c r="B1505" t="s">
        <v>680</v>
      </c>
      <c r="C1505" t="s">
        <v>63</v>
      </c>
      <c r="D1505" t="s">
        <v>64</v>
      </c>
      <c r="E1505">
        <v>5</v>
      </c>
      <c r="F1505">
        <v>90</v>
      </c>
      <c r="G1505">
        <v>10</v>
      </c>
      <c r="H1505">
        <v>0</v>
      </c>
      <c r="I1505">
        <v>0</v>
      </c>
      <c r="J1505" s="1">
        <v>45928.074262314818</v>
      </c>
      <c r="K1505" t="s">
        <v>726</v>
      </c>
      <c r="L1505">
        <f>COUNTIF($A$2:A1505,A1505)</f>
        <v>6</v>
      </c>
    </row>
    <row r="1506" spans="1:12" x14ac:dyDescent="0.3">
      <c r="A1506">
        <v>16128</v>
      </c>
      <c r="B1506" t="s">
        <v>680</v>
      </c>
      <c r="C1506" t="s">
        <v>702</v>
      </c>
      <c r="D1506" t="s">
        <v>703</v>
      </c>
      <c r="E1506">
        <v>8</v>
      </c>
      <c r="F1506">
        <v>86.67</v>
      </c>
      <c r="G1506">
        <v>13.33</v>
      </c>
      <c r="H1506">
        <v>0</v>
      </c>
      <c r="I1506">
        <v>0</v>
      </c>
      <c r="J1506" s="1">
        <v>45928.073769432871</v>
      </c>
      <c r="K1506" t="s">
        <v>726</v>
      </c>
      <c r="L1506">
        <f>COUNTIF($A$2:A1506,A1506)</f>
        <v>7</v>
      </c>
    </row>
    <row r="1507" spans="1:12" x14ac:dyDescent="0.3">
      <c r="A1507">
        <v>16128</v>
      </c>
      <c r="B1507" t="s">
        <v>680</v>
      </c>
      <c r="C1507" t="s">
        <v>690</v>
      </c>
      <c r="D1507" t="s">
        <v>691</v>
      </c>
      <c r="E1507">
        <v>8</v>
      </c>
      <c r="F1507">
        <v>86.67</v>
      </c>
      <c r="G1507">
        <v>13.33</v>
      </c>
      <c r="H1507">
        <v>0</v>
      </c>
      <c r="I1507">
        <v>0</v>
      </c>
      <c r="J1507" s="1">
        <v>45928.074187268518</v>
      </c>
      <c r="K1507" t="s">
        <v>726</v>
      </c>
      <c r="L1507">
        <f>COUNTIF($A$2:A1507,A1507)</f>
        <v>8</v>
      </c>
    </row>
    <row r="1508" spans="1:12" x14ac:dyDescent="0.3">
      <c r="A1508">
        <v>16128</v>
      </c>
      <c r="B1508" t="s">
        <v>680</v>
      </c>
      <c r="C1508" t="s">
        <v>265</v>
      </c>
      <c r="D1508" t="s">
        <v>266</v>
      </c>
      <c r="E1508">
        <v>11</v>
      </c>
      <c r="F1508">
        <v>83.33</v>
      </c>
      <c r="G1508">
        <v>16.670000000000002</v>
      </c>
      <c r="H1508">
        <v>0</v>
      </c>
      <c r="I1508">
        <v>0</v>
      </c>
      <c r="J1508" s="1">
        <v>45928.073225185188</v>
      </c>
      <c r="K1508" t="s">
        <v>726</v>
      </c>
      <c r="L1508">
        <f>COUNTIF($A$2:A1508,A1508)</f>
        <v>9</v>
      </c>
    </row>
    <row r="1509" spans="1:12" x14ac:dyDescent="0.3">
      <c r="A1509">
        <v>16128</v>
      </c>
      <c r="B1509" t="s">
        <v>680</v>
      </c>
      <c r="C1509" t="s">
        <v>78</v>
      </c>
      <c r="D1509" t="s">
        <v>79</v>
      </c>
      <c r="E1509">
        <v>11</v>
      </c>
      <c r="F1509">
        <v>83.33</v>
      </c>
      <c r="G1509">
        <v>16.670000000000002</v>
      </c>
      <c r="H1509">
        <v>0</v>
      </c>
      <c r="I1509">
        <v>0</v>
      </c>
      <c r="J1509" s="1">
        <v>45928.074206064812</v>
      </c>
      <c r="K1509" t="s">
        <v>726</v>
      </c>
      <c r="L1509">
        <f>COUNTIF($A$2:A1509,A1509)</f>
        <v>10</v>
      </c>
    </row>
    <row r="1510" spans="1:12" x14ac:dyDescent="0.3">
      <c r="A1510">
        <v>16128</v>
      </c>
      <c r="B1510" t="s">
        <v>680</v>
      </c>
      <c r="C1510" t="s">
        <v>55</v>
      </c>
      <c r="D1510" t="s">
        <v>56</v>
      </c>
      <c r="E1510">
        <v>7</v>
      </c>
      <c r="F1510">
        <v>80</v>
      </c>
      <c r="G1510">
        <v>20</v>
      </c>
      <c r="H1510">
        <v>0</v>
      </c>
      <c r="I1510">
        <v>0</v>
      </c>
      <c r="J1510" s="1">
        <v>45928.07433398148</v>
      </c>
      <c r="K1510" t="s">
        <v>726</v>
      </c>
      <c r="L1510">
        <f>COUNTIF($A$2:A1510,A1510)</f>
        <v>11</v>
      </c>
    </row>
    <row r="1511" spans="1:12" x14ac:dyDescent="0.3">
      <c r="A1511">
        <v>16128</v>
      </c>
      <c r="B1511" t="s">
        <v>680</v>
      </c>
      <c r="C1511" t="s">
        <v>72</v>
      </c>
      <c r="D1511" t="s">
        <v>73</v>
      </c>
      <c r="E1511">
        <v>8</v>
      </c>
      <c r="F1511">
        <v>76.67</v>
      </c>
      <c r="G1511">
        <v>23.33</v>
      </c>
      <c r="H1511">
        <v>0</v>
      </c>
      <c r="I1511">
        <v>0</v>
      </c>
      <c r="J1511" s="1">
        <v>45928.074279351851</v>
      </c>
      <c r="K1511" t="s">
        <v>726</v>
      </c>
      <c r="L1511">
        <f>COUNTIF($A$2:A1511,A1511)</f>
        <v>12</v>
      </c>
    </row>
    <row r="1512" spans="1:12" x14ac:dyDescent="0.3">
      <c r="A1512">
        <v>16128</v>
      </c>
      <c r="B1512" t="s">
        <v>680</v>
      </c>
      <c r="C1512" t="s">
        <v>57</v>
      </c>
      <c r="D1512" t="s">
        <v>58</v>
      </c>
      <c r="E1512">
        <v>7</v>
      </c>
      <c r="F1512">
        <v>76.67</v>
      </c>
      <c r="G1512">
        <v>23.33</v>
      </c>
      <c r="H1512">
        <v>0</v>
      </c>
      <c r="I1512">
        <v>0</v>
      </c>
      <c r="J1512" s="1">
        <v>45928.074313993056</v>
      </c>
      <c r="K1512" t="s">
        <v>726</v>
      </c>
      <c r="L1512">
        <f>COUNTIF($A$2:A1512,A1512)</f>
        <v>13</v>
      </c>
    </row>
    <row r="1513" spans="1:12" x14ac:dyDescent="0.3">
      <c r="A1513">
        <v>16128</v>
      </c>
      <c r="B1513" t="s">
        <v>680</v>
      </c>
      <c r="C1513" t="s">
        <v>49</v>
      </c>
      <c r="D1513" t="s">
        <v>50</v>
      </c>
      <c r="E1513">
        <v>10</v>
      </c>
      <c r="F1513">
        <v>76.67</v>
      </c>
      <c r="G1513">
        <v>23.33</v>
      </c>
      <c r="H1513">
        <v>0</v>
      </c>
      <c r="I1513">
        <v>0</v>
      </c>
      <c r="J1513" s="1">
        <v>45928.07452047454</v>
      </c>
      <c r="K1513" t="s">
        <v>726</v>
      </c>
      <c r="L1513">
        <f>COUNTIF($A$2:A1513,A1513)</f>
        <v>14</v>
      </c>
    </row>
    <row r="1514" spans="1:12" x14ac:dyDescent="0.3">
      <c r="A1514">
        <v>16128</v>
      </c>
      <c r="B1514" t="s">
        <v>680</v>
      </c>
      <c r="C1514" t="s">
        <v>61</v>
      </c>
      <c r="D1514" t="s">
        <v>62</v>
      </c>
      <c r="E1514">
        <v>8</v>
      </c>
      <c r="F1514">
        <v>73.33</v>
      </c>
      <c r="G1514">
        <v>26.67</v>
      </c>
      <c r="H1514">
        <v>0</v>
      </c>
      <c r="I1514">
        <v>0</v>
      </c>
      <c r="J1514" s="1">
        <v>45928.074295416664</v>
      </c>
      <c r="K1514" t="s">
        <v>726</v>
      </c>
      <c r="L1514">
        <f>COUNTIF($A$2:A1514,A1514)</f>
        <v>15</v>
      </c>
    </row>
    <row r="1515" spans="1:12" x14ac:dyDescent="0.3">
      <c r="A1515">
        <v>16128</v>
      </c>
      <c r="B1515" t="s">
        <v>680</v>
      </c>
      <c r="C1515" t="s">
        <v>76</v>
      </c>
      <c r="D1515" t="s">
        <v>77</v>
      </c>
      <c r="E1515">
        <v>14</v>
      </c>
      <c r="F1515">
        <v>66.67</v>
      </c>
      <c r="G1515">
        <v>33.33</v>
      </c>
      <c r="H1515">
        <v>0</v>
      </c>
      <c r="I1515">
        <v>0</v>
      </c>
      <c r="J1515" s="1">
        <v>45928.074222824071</v>
      </c>
      <c r="K1515" t="s">
        <v>726</v>
      </c>
      <c r="L1515">
        <f>COUNTIF($A$2:A1515,A1515)</f>
        <v>16</v>
      </c>
    </row>
    <row r="1516" spans="1:12" x14ac:dyDescent="0.3">
      <c r="A1516">
        <v>16128</v>
      </c>
      <c r="B1516" t="s">
        <v>680</v>
      </c>
      <c r="C1516" t="s">
        <v>720</v>
      </c>
      <c r="D1516" t="s">
        <v>721</v>
      </c>
      <c r="E1516">
        <v>17</v>
      </c>
      <c r="F1516">
        <v>60</v>
      </c>
      <c r="G1516">
        <v>40</v>
      </c>
      <c r="H1516">
        <v>0</v>
      </c>
      <c r="I1516">
        <v>0</v>
      </c>
      <c r="J1516" s="1">
        <v>45928.073243981482</v>
      </c>
      <c r="K1516" t="s">
        <v>726</v>
      </c>
      <c r="L1516">
        <f>COUNTIF($A$2:A1516,A1516)</f>
        <v>17</v>
      </c>
    </row>
    <row r="1517" spans="1:12" x14ac:dyDescent="0.3">
      <c r="A1517">
        <v>16128</v>
      </c>
      <c r="B1517" t="s">
        <v>680</v>
      </c>
      <c r="C1517" t="s">
        <v>70</v>
      </c>
      <c r="D1517" t="s">
        <v>71</v>
      </c>
      <c r="E1517">
        <v>16</v>
      </c>
      <c r="F1517">
        <v>60</v>
      </c>
      <c r="G1517">
        <v>40</v>
      </c>
      <c r="H1517">
        <v>0</v>
      </c>
      <c r="I1517">
        <v>0</v>
      </c>
      <c r="J1517" s="1">
        <v>45928.074541655093</v>
      </c>
      <c r="K1517" t="s">
        <v>726</v>
      </c>
      <c r="L1517">
        <f>COUNTIF($A$2:A1517,A1517)</f>
        <v>18</v>
      </c>
    </row>
    <row r="1518" spans="1:12" x14ac:dyDescent="0.3">
      <c r="A1518">
        <v>16128</v>
      </c>
      <c r="B1518" t="s">
        <v>680</v>
      </c>
      <c r="C1518" t="s">
        <v>47</v>
      </c>
      <c r="D1518" t="s">
        <v>48</v>
      </c>
      <c r="E1518">
        <v>14</v>
      </c>
      <c r="F1518">
        <v>60</v>
      </c>
      <c r="G1518">
        <v>40</v>
      </c>
      <c r="H1518">
        <v>0</v>
      </c>
      <c r="I1518">
        <v>0</v>
      </c>
      <c r="J1518" s="1">
        <v>45928.07456212963</v>
      </c>
      <c r="K1518" t="s">
        <v>726</v>
      </c>
      <c r="L1518">
        <f>COUNTIF($A$2:A1518,A1518)</f>
        <v>19</v>
      </c>
    </row>
    <row r="1519" spans="1:12" x14ac:dyDescent="0.3">
      <c r="A1519">
        <v>16128</v>
      </c>
      <c r="B1519" t="s">
        <v>680</v>
      </c>
      <c r="C1519" t="s">
        <v>45</v>
      </c>
      <c r="D1519" t="s">
        <v>46</v>
      </c>
      <c r="E1519">
        <v>13</v>
      </c>
      <c r="F1519">
        <v>60</v>
      </c>
      <c r="G1519">
        <v>40</v>
      </c>
      <c r="H1519">
        <v>0</v>
      </c>
      <c r="I1519">
        <v>0</v>
      </c>
      <c r="J1519" s="1">
        <v>45928.074580381945</v>
      </c>
      <c r="K1519" t="s">
        <v>726</v>
      </c>
      <c r="L1519">
        <f>COUNTIF($A$2:A1519,A1519)</f>
        <v>20</v>
      </c>
    </row>
    <row r="1520" spans="1:12" x14ac:dyDescent="0.3">
      <c r="A1520">
        <v>16128</v>
      </c>
      <c r="B1520" t="s">
        <v>680</v>
      </c>
      <c r="C1520" t="s">
        <v>718</v>
      </c>
      <c r="D1520" t="s">
        <v>719</v>
      </c>
      <c r="E1520">
        <v>0</v>
      </c>
      <c r="F1520">
        <v>50</v>
      </c>
      <c r="G1520">
        <v>50</v>
      </c>
      <c r="H1520">
        <v>0</v>
      </c>
      <c r="I1520">
        <v>0</v>
      </c>
      <c r="J1520" s="1">
        <v>45928.073272986112</v>
      </c>
      <c r="K1520" t="s">
        <v>726</v>
      </c>
      <c r="L1520">
        <f>COUNTIF($A$2:A1520,A1520)</f>
        <v>21</v>
      </c>
    </row>
    <row r="1521" spans="1:12" x14ac:dyDescent="0.3">
      <c r="A1521">
        <v>16128</v>
      </c>
      <c r="B1521" t="s">
        <v>680</v>
      </c>
      <c r="C1521" t="s">
        <v>74</v>
      </c>
      <c r="D1521" t="s">
        <v>75</v>
      </c>
      <c r="E1521">
        <v>20</v>
      </c>
      <c r="F1521">
        <v>40</v>
      </c>
      <c r="G1521">
        <v>60</v>
      </c>
      <c r="H1521">
        <v>0</v>
      </c>
      <c r="I1521">
        <v>0</v>
      </c>
      <c r="J1521" s="1">
        <v>45928.074242314811</v>
      </c>
      <c r="K1521" t="s">
        <v>726</v>
      </c>
      <c r="L1521">
        <f>COUNTIF($A$2:A1521,A1521)</f>
        <v>22</v>
      </c>
    </row>
    <row r="1522" spans="1:12" x14ac:dyDescent="0.3">
      <c r="A1522">
        <v>16128</v>
      </c>
      <c r="B1522" t="s">
        <v>680</v>
      </c>
      <c r="C1522" t="s">
        <v>682</v>
      </c>
      <c r="D1522" t="s">
        <v>683</v>
      </c>
      <c r="E1522">
        <v>24</v>
      </c>
      <c r="F1522">
        <v>36.67</v>
      </c>
      <c r="G1522">
        <v>60</v>
      </c>
      <c r="H1522">
        <v>3.33</v>
      </c>
      <c r="I1522">
        <v>0</v>
      </c>
      <c r="J1522" s="1">
        <v>45928.074480173615</v>
      </c>
      <c r="K1522" t="s">
        <v>726</v>
      </c>
      <c r="L1522">
        <f>COUNTIF($A$2:A1522,A1522)</f>
        <v>23</v>
      </c>
    </row>
    <row r="1523" spans="1:12" x14ac:dyDescent="0.3">
      <c r="A1523">
        <v>16128</v>
      </c>
      <c r="B1523" t="s">
        <v>680</v>
      </c>
      <c r="C1523" t="s">
        <v>43</v>
      </c>
      <c r="D1523" t="s">
        <v>44</v>
      </c>
      <c r="E1523">
        <v>19</v>
      </c>
      <c r="F1523">
        <v>36.67</v>
      </c>
      <c r="G1523">
        <v>63.33</v>
      </c>
      <c r="H1523">
        <v>0</v>
      </c>
      <c r="I1523">
        <v>0</v>
      </c>
      <c r="J1523" s="1">
        <v>45928.074596157407</v>
      </c>
      <c r="K1523" t="s">
        <v>726</v>
      </c>
      <c r="L1523">
        <f>COUNTIF($A$2:A1523,A1523)</f>
        <v>24</v>
      </c>
    </row>
    <row r="1524" spans="1:12" x14ac:dyDescent="0.3">
      <c r="A1524">
        <v>16128</v>
      </c>
      <c r="B1524" t="s">
        <v>680</v>
      </c>
      <c r="C1524" t="s">
        <v>716</v>
      </c>
      <c r="D1524" t="s">
        <v>717</v>
      </c>
      <c r="E1524">
        <v>23</v>
      </c>
      <c r="F1524">
        <v>26.67</v>
      </c>
      <c r="G1524">
        <v>70</v>
      </c>
      <c r="H1524">
        <v>3.33</v>
      </c>
      <c r="I1524">
        <v>0</v>
      </c>
      <c r="J1524" s="1">
        <v>45928.073319120369</v>
      </c>
      <c r="K1524" t="s">
        <v>726</v>
      </c>
      <c r="L1524">
        <f>COUNTIF($A$2:A1524,A1524)</f>
        <v>25</v>
      </c>
    </row>
    <row r="1525" spans="1:12" x14ac:dyDescent="0.3">
      <c r="A1525">
        <v>16128</v>
      </c>
      <c r="B1525" t="s">
        <v>680</v>
      </c>
      <c r="C1525" t="s">
        <v>53</v>
      </c>
      <c r="D1525" t="s">
        <v>54</v>
      </c>
      <c r="E1525">
        <v>37</v>
      </c>
      <c r="F1525">
        <v>16.670000000000002</v>
      </c>
      <c r="G1525">
        <v>73.33</v>
      </c>
      <c r="H1525">
        <v>10</v>
      </c>
      <c r="I1525">
        <v>0</v>
      </c>
      <c r="J1525" s="1">
        <v>45928.074349444447</v>
      </c>
      <c r="K1525" t="s">
        <v>726</v>
      </c>
      <c r="L1525">
        <f>COUNTIF($A$2:A1525,A1525)</f>
        <v>26</v>
      </c>
    </row>
    <row r="1526" spans="1:12" x14ac:dyDescent="0.3">
      <c r="A1526">
        <v>16128</v>
      </c>
      <c r="B1526" t="s">
        <v>680</v>
      </c>
      <c r="C1526" t="s">
        <v>686</v>
      </c>
      <c r="D1526" t="s">
        <v>687</v>
      </c>
      <c r="E1526">
        <v>38</v>
      </c>
      <c r="F1526">
        <v>16.670000000000002</v>
      </c>
      <c r="G1526">
        <v>66.67</v>
      </c>
      <c r="H1526">
        <v>16.670000000000002</v>
      </c>
      <c r="I1526">
        <v>0</v>
      </c>
      <c r="J1526" s="1">
        <v>45928.07438943287</v>
      </c>
      <c r="K1526" t="s">
        <v>726</v>
      </c>
      <c r="L1526">
        <f>COUNTIF($A$2:A1526,A1526)</f>
        <v>27</v>
      </c>
    </row>
    <row r="1527" spans="1:12" x14ac:dyDescent="0.3">
      <c r="A1527">
        <v>16128</v>
      </c>
      <c r="B1527" t="s">
        <v>680</v>
      </c>
      <c r="C1527" t="s">
        <v>714</v>
      </c>
      <c r="D1527" t="s">
        <v>715</v>
      </c>
      <c r="E1527">
        <v>27</v>
      </c>
      <c r="F1527">
        <v>13.33</v>
      </c>
      <c r="G1527">
        <v>83.33</v>
      </c>
      <c r="H1527">
        <v>3.33</v>
      </c>
      <c r="I1527">
        <v>0.01</v>
      </c>
      <c r="J1527" s="1">
        <v>45928.073435578706</v>
      </c>
      <c r="K1527" t="s">
        <v>726</v>
      </c>
      <c r="L1527">
        <f>COUNTIF($A$2:A1527,A1527)</f>
        <v>28</v>
      </c>
    </row>
    <row r="1528" spans="1:12" x14ac:dyDescent="0.3">
      <c r="A1528">
        <v>16128</v>
      </c>
      <c r="B1528" t="s">
        <v>680</v>
      </c>
      <c r="C1528" t="s">
        <v>712</v>
      </c>
      <c r="D1528" t="s">
        <v>713</v>
      </c>
      <c r="E1528">
        <v>29</v>
      </c>
      <c r="F1528">
        <v>10</v>
      </c>
      <c r="G1528">
        <v>86.67</v>
      </c>
      <c r="H1528">
        <v>3.33</v>
      </c>
      <c r="I1528">
        <v>0</v>
      </c>
      <c r="J1528" s="1">
        <v>45928.073481712963</v>
      </c>
      <c r="K1528" t="s">
        <v>726</v>
      </c>
      <c r="L1528">
        <f>COUNTIF($A$2:A1528,A1528)</f>
        <v>29</v>
      </c>
    </row>
    <row r="1529" spans="1:12" x14ac:dyDescent="0.3">
      <c r="A1529">
        <v>16128</v>
      </c>
      <c r="B1529" t="s">
        <v>680</v>
      </c>
      <c r="C1529" t="s">
        <v>245</v>
      </c>
      <c r="D1529" t="s">
        <v>246</v>
      </c>
      <c r="E1529">
        <v>0</v>
      </c>
      <c r="F1529">
        <v>10</v>
      </c>
      <c r="G1529">
        <v>86.67</v>
      </c>
      <c r="H1529">
        <v>3.33</v>
      </c>
      <c r="I1529">
        <v>0</v>
      </c>
      <c r="J1529" s="1">
        <v>45928.073632916668</v>
      </c>
      <c r="K1529" t="s">
        <v>726</v>
      </c>
      <c r="L1529">
        <f>COUNTIF($A$2:A1529,A1529)</f>
        <v>30</v>
      </c>
    </row>
    <row r="1530" spans="1:12" x14ac:dyDescent="0.3">
      <c r="A1530">
        <v>16128</v>
      </c>
      <c r="B1530" t="s">
        <v>680</v>
      </c>
      <c r="C1530" t="s">
        <v>263</v>
      </c>
      <c r="D1530" t="s">
        <v>264</v>
      </c>
      <c r="E1530">
        <v>29</v>
      </c>
      <c r="F1530">
        <v>6.67</v>
      </c>
      <c r="G1530">
        <v>90</v>
      </c>
      <c r="H1530">
        <v>3.33</v>
      </c>
      <c r="I1530">
        <v>0</v>
      </c>
      <c r="J1530" s="1">
        <v>45928.073365532407</v>
      </c>
      <c r="K1530" t="s">
        <v>726</v>
      </c>
      <c r="L1530">
        <f>COUNTIF($A$2:A1530,A1530)</f>
        <v>31</v>
      </c>
    </row>
    <row r="1531" spans="1:12" x14ac:dyDescent="0.3">
      <c r="A1531">
        <v>16128</v>
      </c>
      <c r="B1531" t="s">
        <v>680</v>
      </c>
      <c r="C1531" t="s">
        <v>261</v>
      </c>
      <c r="D1531" t="s">
        <v>262</v>
      </c>
      <c r="E1531">
        <v>29</v>
      </c>
      <c r="F1531">
        <v>6.67</v>
      </c>
      <c r="G1531">
        <v>90</v>
      </c>
      <c r="H1531">
        <v>3.33</v>
      </c>
      <c r="I1531">
        <v>0</v>
      </c>
      <c r="J1531" s="1">
        <v>45928.073416192128</v>
      </c>
      <c r="K1531" t="s">
        <v>726</v>
      </c>
      <c r="L1531">
        <f>COUNTIF($A$2:A1531,A1531)</f>
        <v>32</v>
      </c>
    </row>
    <row r="1532" spans="1:12" x14ac:dyDescent="0.3">
      <c r="A1532">
        <v>16128</v>
      </c>
      <c r="B1532" t="s">
        <v>680</v>
      </c>
      <c r="C1532" t="s">
        <v>710</v>
      </c>
      <c r="D1532" t="s">
        <v>711</v>
      </c>
      <c r="E1532">
        <v>31</v>
      </c>
      <c r="F1532">
        <v>6.67</v>
      </c>
      <c r="G1532">
        <v>90</v>
      </c>
      <c r="H1532">
        <v>3.33</v>
      </c>
      <c r="I1532">
        <v>0</v>
      </c>
      <c r="J1532" s="1">
        <v>45928.073524085645</v>
      </c>
      <c r="K1532" t="s">
        <v>726</v>
      </c>
      <c r="L1532">
        <f>COUNTIF($A$2:A1532,A1532)</f>
        <v>33</v>
      </c>
    </row>
    <row r="1533" spans="1:12" x14ac:dyDescent="0.3">
      <c r="A1533">
        <v>16128</v>
      </c>
      <c r="B1533" t="s">
        <v>680</v>
      </c>
      <c r="C1533" t="s">
        <v>708</v>
      </c>
      <c r="D1533" t="s">
        <v>709</v>
      </c>
      <c r="E1533">
        <v>33</v>
      </c>
      <c r="F1533">
        <v>6.67</v>
      </c>
      <c r="G1533">
        <v>90</v>
      </c>
      <c r="H1533">
        <v>3.33</v>
      </c>
      <c r="I1533">
        <v>0</v>
      </c>
      <c r="J1533" s="1">
        <v>45928.073563796293</v>
      </c>
      <c r="K1533" t="s">
        <v>726</v>
      </c>
      <c r="L1533">
        <f>COUNTIF($A$2:A1533,A1533)</f>
        <v>34</v>
      </c>
    </row>
    <row r="1534" spans="1:12" x14ac:dyDescent="0.3">
      <c r="A1534">
        <v>16128</v>
      </c>
      <c r="B1534" t="s">
        <v>680</v>
      </c>
      <c r="C1534" t="s">
        <v>247</v>
      </c>
      <c r="D1534" t="s">
        <v>248</v>
      </c>
      <c r="E1534">
        <v>33</v>
      </c>
      <c r="F1534">
        <v>6.67</v>
      </c>
      <c r="G1534">
        <v>90</v>
      </c>
      <c r="H1534">
        <v>3.33</v>
      </c>
      <c r="I1534">
        <v>0</v>
      </c>
      <c r="J1534" s="1">
        <v>45928.073607002312</v>
      </c>
      <c r="K1534" t="s">
        <v>726</v>
      </c>
      <c r="L1534">
        <f>COUNTIF($A$2:A1534,A1534)</f>
        <v>35</v>
      </c>
    </row>
    <row r="1535" spans="1:12" x14ac:dyDescent="0.3">
      <c r="A1535">
        <v>16128</v>
      </c>
      <c r="B1535" t="s">
        <v>680</v>
      </c>
      <c r="C1535" t="s">
        <v>706</v>
      </c>
      <c r="D1535" t="s">
        <v>707</v>
      </c>
      <c r="E1535">
        <v>33</v>
      </c>
      <c r="F1535">
        <v>6.67</v>
      </c>
      <c r="G1535">
        <v>90</v>
      </c>
      <c r="H1535">
        <v>3.33</v>
      </c>
      <c r="I1535">
        <v>0</v>
      </c>
      <c r="J1535" s="1">
        <v>45928.07367607639</v>
      </c>
      <c r="K1535" t="s">
        <v>726</v>
      </c>
      <c r="L1535">
        <f>COUNTIF($A$2:A1535,A1535)</f>
        <v>36</v>
      </c>
    </row>
    <row r="1536" spans="1:12" x14ac:dyDescent="0.3">
      <c r="A1536">
        <v>16128</v>
      </c>
      <c r="B1536" t="s">
        <v>680</v>
      </c>
      <c r="C1536" t="s">
        <v>243</v>
      </c>
      <c r="D1536" t="s">
        <v>244</v>
      </c>
      <c r="E1536">
        <v>38</v>
      </c>
      <c r="F1536">
        <v>6.67</v>
      </c>
      <c r="G1536">
        <v>86.67</v>
      </c>
      <c r="H1536">
        <v>6.67</v>
      </c>
      <c r="I1536">
        <v>0</v>
      </c>
      <c r="J1536" s="1">
        <v>45928.073721990739</v>
      </c>
      <c r="K1536" t="s">
        <v>726</v>
      </c>
      <c r="L1536">
        <f>COUNTIF($A$2:A1536,A1536)</f>
        <v>37</v>
      </c>
    </row>
    <row r="1537" spans="1:12" x14ac:dyDescent="0.3">
      <c r="A1537">
        <v>16128</v>
      </c>
      <c r="B1537" t="s">
        <v>680</v>
      </c>
      <c r="C1537" t="s">
        <v>684</v>
      </c>
      <c r="D1537" t="s">
        <v>685</v>
      </c>
      <c r="E1537">
        <v>43</v>
      </c>
      <c r="F1537">
        <v>6.67</v>
      </c>
      <c r="G1537">
        <v>76.67</v>
      </c>
      <c r="H1537">
        <v>16.670000000000002</v>
      </c>
      <c r="I1537">
        <v>0</v>
      </c>
      <c r="J1537" s="1">
        <v>45928.074433252317</v>
      </c>
      <c r="K1537" t="s">
        <v>726</v>
      </c>
      <c r="L1537">
        <f>COUNTIF($A$2:A1537,A1537)</f>
        <v>38</v>
      </c>
    </row>
    <row r="1538" spans="1:12" x14ac:dyDescent="0.3">
      <c r="A1538">
        <v>16128</v>
      </c>
      <c r="B1538" t="s">
        <v>680</v>
      </c>
      <c r="C1538" t="s">
        <v>692</v>
      </c>
      <c r="D1538" t="s">
        <v>693</v>
      </c>
      <c r="E1538">
        <v>0</v>
      </c>
      <c r="F1538">
        <v>3.33</v>
      </c>
      <c r="G1538">
        <v>93.33</v>
      </c>
      <c r="H1538">
        <v>3.33</v>
      </c>
      <c r="I1538">
        <v>0</v>
      </c>
      <c r="J1538" s="1">
        <v>45928.074014756945</v>
      </c>
      <c r="K1538" t="s">
        <v>726</v>
      </c>
      <c r="L1538">
        <f>COUNTIF($A$2:A1538,A1538)</f>
        <v>39</v>
      </c>
    </row>
    <row r="1539" spans="1:12" x14ac:dyDescent="0.3">
      <c r="A1539">
        <v>16128</v>
      </c>
      <c r="B1539" t="s">
        <v>680</v>
      </c>
      <c r="C1539" t="s">
        <v>240</v>
      </c>
      <c r="D1539" t="s">
        <v>241</v>
      </c>
      <c r="E1539">
        <v>29</v>
      </c>
      <c r="F1539">
        <v>0</v>
      </c>
      <c r="G1539">
        <v>96.67</v>
      </c>
      <c r="H1539">
        <v>3.33</v>
      </c>
      <c r="I1539">
        <v>0</v>
      </c>
      <c r="J1539" s="1">
        <v>45928.073813055555</v>
      </c>
      <c r="K1539" t="s">
        <v>726</v>
      </c>
      <c r="L1539">
        <f>COUNTIF($A$2:A1539,A1539)</f>
        <v>40</v>
      </c>
    </row>
    <row r="1540" spans="1:12" x14ac:dyDescent="0.3">
      <c r="A1540">
        <v>16128</v>
      </c>
      <c r="B1540" t="s">
        <v>680</v>
      </c>
      <c r="C1540" t="s">
        <v>700</v>
      </c>
      <c r="D1540" t="s">
        <v>701</v>
      </c>
      <c r="E1540">
        <v>36</v>
      </c>
      <c r="F1540">
        <v>0</v>
      </c>
      <c r="G1540">
        <v>96.67</v>
      </c>
      <c r="H1540">
        <v>3.33</v>
      </c>
      <c r="I1540">
        <v>0</v>
      </c>
      <c r="J1540" s="1">
        <v>45928.073855613424</v>
      </c>
      <c r="K1540" t="s">
        <v>726</v>
      </c>
      <c r="L1540">
        <f>COUNTIF($A$2:A1540,A1540)</f>
        <v>41</v>
      </c>
    </row>
    <row r="1541" spans="1:12" x14ac:dyDescent="0.3">
      <c r="A1541">
        <v>16128</v>
      </c>
      <c r="B1541" t="s">
        <v>680</v>
      </c>
      <c r="C1541" t="s">
        <v>698</v>
      </c>
      <c r="D1541" t="s">
        <v>699</v>
      </c>
      <c r="E1541">
        <v>39</v>
      </c>
      <c r="F1541">
        <v>0</v>
      </c>
      <c r="G1541">
        <v>93.33</v>
      </c>
      <c r="H1541">
        <v>6.67</v>
      </c>
      <c r="I1541">
        <v>0</v>
      </c>
      <c r="J1541" s="1">
        <v>45928.073900844909</v>
      </c>
      <c r="K1541" t="s">
        <v>726</v>
      </c>
      <c r="L1541">
        <f>COUNTIF($A$2:A1541,A1541)</f>
        <v>42</v>
      </c>
    </row>
    <row r="1542" spans="1:12" x14ac:dyDescent="0.3">
      <c r="A1542">
        <v>16128</v>
      </c>
      <c r="B1542" t="s">
        <v>680</v>
      </c>
      <c r="C1542" t="s">
        <v>696</v>
      </c>
      <c r="D1542" t="s">
        <v>697</v>
      </c>
      <c r="E1542">
        <v>49</v>
      </c>
      <c r="F1542">
        <v>0</v>
      </c>
      <c r="G1542">
        <v>93.33</v>
      </c>
      <c r="H1542">
        <v>6.67</v>
      </c>
      <c r="I1542">
        <v>0</v>
      </c>
      <c r="J1542" s="1">
        <v>45928.073943229167</v>
      </c>
      <c r="K1542" t="s">
        <v>726</v>
      </c>
      <c r="L1542">
        <f>COUNTIF($A$2:A1542,A1542)</f>
        <v>43</v>
      </c>
    </row>
    <row r="1543" spans="1:12" x14ac:dyDescent="0.3">
      <c r="A1543">
        <v>16128</v>
      </c>
      <c r="B1543" t="s">
        <v>680</v>
      </c>
      <c r="C1543" t="s">
        <v>694</v>
      </c>
      <c r="D1543" t="s">
        <v>695</v>
      </c>
      <c r="E1543">
        <v>50</v>
      </c>
      <c r="F1543">
        <v>0</v>
      </c>
      <c r="G1543">
        <v>93.33</v>
      </c>
      <c r="H1543">
        <v>6.67</v>
      </c>
      <c r="I1543">
        <v>0</v>
      </c>
      <c r="J1543" s="1">
        <v>45928.073989143515</v>
      </c>
      <c r="K1543" t="s">
        <v>726</v>
      </c>
      <c r="L1543">
        <f>COUNTIF($A$2:A1543,A1543)</f>
        <v>44</v>
      </c>
    </row>
    <row r="1544" spans="1:12" x14ac:dyDescent="0.3">
      <c r="A1544">
        <v>16128</v>
      </c>
      <c r="B1544" t="s">
        <v>680</v>
      </c>
      <c r="C1544" t="s">
        <v>675</v>
      </c>
      <c r="D1544" t="s">
        <v>676</v>
      </c>
      <c r="E1544">
        <v>34</v>
      </c>
      <c r="F1544">
        <v>0</v>
      </c>
      <c r="G1544">
        <v>96.67</v>
      </c>
      <c r="H1544">
        <v>3.33</v>
      </c>
      <c r="I1544">
        <v>0</v>
      </c>
      <c r="J1544" s="1">
        <v>45928.074056006946</v>
      </c>
      <c r="K1544" t="s">
        <v>726</v>
      </c>
      <c r="L1544">
        <f>COUNTIF($A$2:A1544,A1544)</f>
        <v>45</v>
      </c>
    </row>
    <row r="1545" spans="1:12" x14ac:dyDescent="0.3">
      <c r="A1545">
        <v>16128</v>
      </c>
      <c r="B1545" t="s">
        <v>680</v>
      </c>
      <c r="C1545" t="s">
        <v>673</v>
      </c>
      <c r="D1545" t="s">
        <v>674</v>
      </c>
      <c r="E1545">
        <v>36</v>
      </c>
      <c r="F1545">
        <v>0</v>
      </c>
      <c r="G1545">
        <v>96.67</v>
      </c>
      <c r="H1545">
        <v>3.33</v>
      </c>
      <c r="I1545">
        <v>0</v>
      </c>
      <c r="J1545" s="1">
        <v>45928.074098067133</v>
      </c>
      <c r="K1545" t="s">
        <v>726</v>
      </c>
      <c r="L1545">
        <f>COUNTIF($A$2:A1545,A1545)</f>
        <v>46</v>
      </c>
    </row>
    <row r="1546" spans="1:12" x14ac:dyDescent="0.3">
      <c r="A1546">
        <v>16128</v>
      </c>
      <c r="B1546" t="s">
        <v>680</v>
      </c>
      <c r="C1546" t="s">
        <v>51</v>
      </c>
      <c r="D1546" t="s">
        <v>52</v>
      </c>
      <c r="E1546">
        <v>0</v>
      </c>
      <c r="F1546">
        <v>0</v>
      </c>
      <c r="G1546">
        <v>60</v>
      </c>
      <c r="H1546">
        <v>40</v>
      </c>
      <c r="I1546">
        <v>0</v>
      </c>
      <c r="J1546" s="1">
        <v>45928.074503935182</v>
      </c>
      <c r="K1546" t="s">
        <v>726</v>
      </c>
      <c r="L1546">
        <f>COUNTIF($A$2:A1546,A1546)</f>
        <v>47</v>
      </c>
    </row>
    <row r="1547" spans="1:12" x14ac:dyDescent="0.3">
      <c r="A1547">
        <v>16339</v>
      </c>
      <c r="B1547" t="s">
        <v>649</v>
      </c>
      <c r="C1547" t="s">
        <v>80</v>
      </c>
      <c r="D1547" t="s">
        <v>81</v>
      </c>
      <c r="E1547">
        <v>0</v>
      </c>
      <c r="F1547">
        <v>100</v>
      </c>
      <c r="G1547">
        <v>0</v>
      </c>
      <c r="H1547">
        <v>0</v>
      </c>
      <c r="I1547">
        <v>0</v>
      </c>
      <c r="J1547" s="1">
        <v>45928.07064460648</v>
      </c>
      <c r="K1547" t="s">
        <v>650</v>
      </c>
      <c r="L1547">
        <f>COUNTIF($A$2:A1547,A1547)</f>
        <v>1</v>
      </c>
    </row>
    <row r="1548" spans="1:12" x14ac:dyDescent="0.3">
      <c r="A1548">
        <v>16339</v>
      </c>
      <c r="B1548" t="s">
        <v>649</v>
      </c>
      <c r="C1548" t="s">
        <v>673</v>
      </c>
      <c r="D1548" t="s">
        <v>674</v>
      </c>
      <c r="E1548">
        <v>3</v>
      </c>
      <c r="F1548">
        <v>100</v>
      </c>
      <c r="G1548">
        <v>0</v>
      </c>
      <c r="H1548">
        <v>0</v>
      </c>
      <c r="I1548">
        <v>0</v>
      </c>
      <c r="J1548" s="1">
        <v>45928.070662175924</v>
      </c>
      <c r="K1548" t="s">
        <v>650</v>
      </c>
      <c r="L1548">
        <f>COUNTIF($A$2:A1548,A1548)</f>
        <v>2</v>
      </c>
    </row>
    <row r="1549" spans="1:12" x14ac:dyDescent="0.3">
      <c r="A1549">
        <v>16339</v>
      </c>
      <c r="B1549" t="s">
        <v>649</v>
      </c>
      <c r="C1549" t="s">
        <v>675</v>
      </c>
      <c r="D1549" t="s">
        <v>676</v>
      </c>
      <c r="E1549">
        <v>0</v>
      </c>
      <c r="F1549">
        <v>100</v>
      </c>
      <c r="G1549">
        <v>0</v>
      </c>
      <c r="H1549">
        <v>0</v>
      </c>
      <c r="I1549">
        <v>0</v>
      </c>
      <c r="J1549" s="1">
        <v>45928.070688993059</v>
      </c>
      <c r="K1549" t="s">
        <v>650</v>
      </c>
      <c r="L1549">
        <f>COUNTIF($A$2:A1549,A1549)</f>
        <v>3</v>
      </c>
    </row>
    <row r="1550" spans="1:12" x14ac:dyDescent="0.3">
      <c r="A1550">
        <v>16339</v>
      </c>
      <c r="B1550" t="s">
        <v>649</v>
      </c>
      <c r="C1550" t="s">
        <v>677</v>
      </c>
      <c r="D1550" t="s">
        <v>678</v>
      </c>
      <c r="E1550">
        <v>0</v>
      </c>
      <c r="F1550">
        <v>100</v>
      </c>
      <c r="G1550">
        <v>0</v>
      </c>
      <c r="H1550">
        <v>0</v>
      </c>
      <c r="I1550">
        <v>0</v>
      </c>
      <c r="J1550" s="1">
        <v>45928.070709687498</v>
      </c>
      <c r="K1550" t="s">
        <v>650</v>
      </c>
      <c r="L1550">
        <f>COUNTIF($A$2:A1550,A1550)</f>
        <v>4</v>
      </c>
    </row>
    <row r="1551" spans="1:12" x14ac:dyDescent="0.3">
      <c r="A1551">
        <v>16339</v>
      </c>
      <c r="B1551" t="s">
        <v>649</v>
      </c>
      <c r="C1551" t="s">
        <v>379</v>
      </c>
      <c r="D1551" t="s">
        <v>380</v>
      </c>
      <c r="E1551">
        <v>5</v>
      </c>
      <c r="F1551">
        <v>94.12</v>
      </c>
      <c r="G1551">
        <v>0</v>
      </c>
      <c r="H1551">
        <v>5.88</v>
      </c>
      <c r="I1551">
        <v>0</v>
      </c>
      <c r="J1551" s="1">
        <v>45928.069583599536</v>
      </c>
      <c r="K1551" t="s">
        <v>650</v>
      </c>
      <c r="L1551">
        <f>COUNTIF($A$2:A1551,A1551)</f>
        <v>5</v>
      </c>
    </row>
    <row r="1552" spans="1:12" x14ac:dyDescent="0.3">
      <c r="A1552">
        <v>16339</v>
      </c>
      <c r="B1552" t="s">
        <v>649</v>
      </c>
      <c r="C1552" t="s">
        <v>382</v>
      </c>
      <c r="D1552" t="s">
        <v>383</v>
      </c>
      <c r="E1552">
        <v>9</v>
      </c>
      <c r="F1552">
        <v>94.12</v>
      </c>
      <c r="G1552">
        <v>0</v>
      </c>
      <c r="H1552">
        <v>5.88</v>
      </c>
      <c r="I1552">
        <v>0</v>
      </c>
      <c r="J1552" s="1">
        <v>45928.069627083336</v>
      </c>
      <c r="K1552" t="s">
        <v>650</v>
      </c>
      <c r="L1552">
        <f>COUNTIF($A$2:A1552,A1552)</f>
        <v>6</v>
      </c>
    </row>
    <row r="1553" spans="1:12" x14ac:dyDescent="0.3">
      <c r="A1553">
        <v>16339</v>
      </c>
      <c r="B1553" t="s">
        <v>649</v>
      </c>
      <c r="C1553" t="s">
        <v>451</v>
      </c>
      <c r="D1553" t="s">
        <v>452</v>
      </c>
      <c r="E1553">
        <v>6</v>
      </c>
      <c r="F1553">
        <v>94.12</v>
      </c>
      <c r="G1553">
        <v>5.88</v>
      </c>
      <c r="H1553">
        <v>0</v>
      </c>
      <c r="I1553">
        <v>0</v>
      </c>
      <c r="J1553" s="1">
        <v>45928.070439675925</v>
      </c>
      <c r="K1553" t="s">
        <v>650</v>
      </c>
      <c r="L1553">
        <f>COUNTIF($A$2:A1553,A1553)</f>
        <v>7</v>
      </c>
    </row>
    <row r="1554" spans="1:12" x14ac:dyDescent="0.3">
      <c r="A1554">
        <v>16339</v>
      </c>
      <c r="B1554" t="s">
        <v>649</v>
      </c>
      <c r="C1554" t="s">
        <v>57</v>
      </c>
      <c r="D1554" t="s">
        <v>58</v>
      </c>
      <c r="E1554">
        <v>6</v>
      </c>
      <c r="F1554">
        <v>94.12</v>
      </c>
      <c r="G1554">
        <v>5.88</v>
      </c>
      <c r="H1554">
        <v>0</v>
      </c>
      <c r="I1554">
        <v>0</v>
      </c>
      <c r="J1554" s="1">
        <v>45928.070482858799</v>
      </c>
      <c r="K1554" t="s">
        <v>650</v>
      </c>
      <c r="L1554">
        <f>COUNTIF($A$2:A1554,A1554)</f>
        <v>8</v>
      </c>
    </row>
    <row r="1555" spans="1:12" x14ac:dyDescent="0.3">
      <c r="A1555">
        <v>16339</v>
      </c>
      <c r="B1555" t="s">
        <v>649</v>
      </c>
      <c r="C1555" t="s">
        <v>384</v>
      </c>
      <c r="D1555" t="s">
        <v>385</v>
      </c>
      <c r="E1555">
        <v>13</v>
      </c>
      <c r="F1555">
        <v>88.24</v>
      </c>
      <c r="G1555">
        <v>5.88</v>
      </c>
      <c r="H1555">
        <v>5.88</v>
      </c>
      <c r="I1555">
        <v>0</v>
      </c>
      <c r="J1555" s="1">
        <v>45928.069671967591</v>
      </c>
      <c r="K1555" t="s">
        <v>650</v>
      </c>
      <c r="L1555">
        <f>COUNTIF($A$2:A1555,A1555)</f>
        <v>9</v>
      </c>
    </row>
    <row r="1556" spans="1:12" x14ac:dyDescent="0.3">
      <c r="A1556">
        <v>16339</v>
      </c>
      <c r="B1556" t="s">
        <v>649</v>
      </c>
      <c r="C1556" t="s">
        <v>476</v>
      </c>
      <c r="D1556" t="s">
        <v>476</v>
      </c>
      <c r="E1556">
        <v>10</v>
      </c>
      <c r="F1556">
        <v>88.24</v>
      </c>
      <c r="G1556">
        <v>5.88</v>
      </c>
      <c r="H1556">
        <v>5.88</v>
      </c>
      <c r="I1556">
        <v>0</v>
      </c>
      <c r="J1556" s="1">
        <v>45928.069951655096</v>
      </c>
      <c r="K1556" t="s">
        <v>650</v>
      </c>
      <c r="L1556">
        <f>COUNTIF($A$2:A1556,A1556)</f>
        <v>10</v>
      </c>
    </row>
    <row r="1557" spans="1:12" x14ac:dyDescent="0.3">
      <c r="A1557">
        <v>16339</v>
      </c>
      <c r="B1557" t="s">
        <v>649</v>
      </c>
      <c r="C1557" t="s">
        <v>477</v>
      </c>
      <c r="D1557" t="s">
        <v>478</v>
      </c>
      <c r="E1557">
        <v>14</v>
      </c>
      <c r="F1557">
        <v>82.35</v>
      </c>
      <c r="G1557">
        <v>11.76</v>
      </c>
      <c r="H1557">
        <v>5.88</v>
      </c>
      <c r="I1557">
        <v>0.01</v>
      </c>
      <c r="J1557" s="1">
        <v>45928.069972372687</v>
      </c>
      <c r="K1557" t="s">
        <v>650</v>
      </c>
      <c r="L1557">
        <f>COUNTIF($A$2:A1557,A1557)</f>
        <v>11</v>
      </c>
    </row>
    <row r="1558" spans="1:12" x14ac:dyDescent="0.3">
      <c r="A1558">
        <v>16339</v>
      </c>
      <c r="B1558" t="s">
        <v>649</v>
      </c>
      <c r="C1558" t="s">
        <v>483</v>
      </c>
      <c r="D1558" t="s">
        <v>484</v>
      </c>
      <c r="E1558">
        <v>0</v>
      </c>
      <c r="F1558">
        <v>82.35</v>
      </c>
      <c r="G1558">
        <v>11.76</v>
      </c>
      <c r="H1558">
        <v>5.88</v>
      </c>
      <c r="I1558">
        <v>0</v>
      </c>
      <c r="J1558" s="1">
        <v>45928.070033055556</v>
      </c>
      <c r="K1558" t="s">
        <v>650</v>
      </c>
      <c r="L1558">
        <f>COUNTIF($A$2:A1558,A1558)</f>
        <v>12</v>
      </c>
    </row>
    <row r="1559" spans="1:12" x14ac:dyDescent="0.3">
      <c r="A1559">
        <v>16339</v>
      </c>
      <c r="B1559" t="s">
        <v>649</v>
      </c>
      <c r="C1559" t="s">
        <v>78</v>
      </c>
      <c r="D1559" t="s">
        <v>79</v>
      </c>
      <c r="E1559">
        <v>9</v>
      </c>
      <c r="F1559">
        <v>82.35</v>
      </c>
      <c r="G1559">
        <v>17.649999999999999</v>
      </c>
      <c r="H1559">
        <v>0</v>
      </c>
      <c r="I1559">
        <v>0</v>
      </c>
      <c r="J1559" s="1">
        <v>45928.070626365741</v>
      </c>
      <c r="K1559" t="s">
        <v>650</v>
      </c>
      <c r="L1559">
        <f>COUNTIF($A$2:A1559,A1559)</f>
        <v>13</v>
      </c>
    </row>
    <row r="1560" spans="1:12" x14ac:dyDescent="0.3">
      <c r="A1560">
        <v>16339</v>
      </c>
      <c r="B1560" t="s">
        <v>649</v>
      </c>
      <c r="C1560" t="s">
        <v>63</v>
      </c>
      <c r="D1560" t="s">
        <v>64</v>
      </c>
      <c r="E1560">
        <v>8</v>
      </c>
      <c r="F1560">
        <v>76.47</v>
      </c>
      <c r="G1560">
        <v>23.53</v>
      </c>
      <c r="H1560">
        <v>0</v>
      </c>
      <c r="I1560">
        <v>0</v>
      </c>
      <c r="J1560" s="1">
        <v>45928.070544814815</v>
      </c>
      <c r="K1560" t="s">
        <v>650</v>
      </c>
      <c r="L1560">
        <f>COUNTIF($A$2:A1560,A1560)</f>
        <v>14</v>
      </c>
    </row>
    <row r="1561" spans="1:12" x14ac:dyDescent="0.3">
      <c r="A1561">
        <v>16339</v>
      </c>
      <c r="B1561" t="s">
        <v>649</v>
      </c>
      <c r="C1561" t="s">
        <v>74</v>
      </c>
      <c r="D1561" t="s">
        <v>75</v>
      </c>
      <c r="E1561">
        <v>10</v>
      </c>
      <c r="F1561">
        <v>76.47</v>
      </c>
      <c r="G1561">
        <v>23.53</v>
      </c>
      <c r="H1561">
        <v>0</v>
      </c>
      <c r="I1561">
        <v>0</v>
      </c>
      <c r="J1561" s="1">
        <v>45928.070563043984</v>
      </c>
      <c r="K1561" t="s">
        <v>650</v>
      </c>
      <c r="L1561">
        <f>COUNTIF($A$2:A1561,A1561)</f>
        <v>15</v>
      </c>
    </row>
    <row r="1562" spans="1:12" x14ac:dyDescent="0.3">
      <c r="A1562">
        <v>16339</v>
      </c>
      <c r="B1562" t="s">
        <v>649</v>
      </c>
      <c r="C1562" t="s">
        <v>76</v>
      </c>
      <c r="D1562" t="s">
        <v>77</v>
      </c>
      <c r="E1562">
        <v>10</v>
      </c>
      <c r="F1562">
        <v>76.47</v>
      </c>
      <c r="G1562">
        <v>23.53</v>
      </c>
      <c r="H1562">
        <v>0</v>
      </c>
      <c r="I1562">
        <v>0</v>
      </c>
      <c r="J1562" s="1">
        <v>45928.070581840278</v>
      </c>
      <c r="K1562" t="s">
        <v>650</v>
      </c>
      <c r="L1562">
        <f>COUNTIF($A$2:A1562,A1562)</f>
        <v>16</v>
      </c>
    </row>
    <row r="1563" spans="1:12" x14ac:dyDescent="0.3">
      <c r="A1563">
        <v>16339</v>
      </c>
      <c r="B1563" t="s">
        <v>649</v>
      </c>
      <c r="C1563" t="s">
        <v>667</v>
      </c>
      <c r="D1563" t="s">
        <v>668</v>
      </c>
      <c r="E1563">
        <v>0</v>
      </c>
      <c r="F1563">
        <v>70.59</v>
      </c>
      <c r="G1563">
        <v>23.53</v>
      </c>
      <c r="H1563">
        <v>5.88</v>
      </c>
      <c r="I1563">
        <v>0</v>
      </c>
      <c r="J1563" s="1">
        <v>45928.070214398147</v>
      </c>
      <c r="K1563" t="s">
        <v>650</v>
      </c>
      <c r="L1563">
        <f>COUNTIF($A$2:A1563,A1563)</f>
        <v>17</v>
      </c>
    </row>
    <row r="1564" spans="1:12" x14ac:dyDescent="0.3">
      <c r="A1564">
        <v>16339</v>
      </c>
      <c r="B1564" t="s">
        <v>649</v>
      </c>
      <c r="C1564" t="s">
        <v>671</v>
      </c>
      <c r="D1564" t="s">
        <v>672</v>
      </c>
      <c r="E1564">
        <v>13</v>
      </c>
      <c r="F1564">
        <v>70.59</v>
      </c>
      <c r="G1564">
        <v>29.41</v>
      </c>
      <c r="H1564">
        <v>0</v>
      </c>
      <c r="I1564">
        <v>0</v>
      </c>
      <c r="J1564" s="1">
        <v>45928.070329074071</v>
      </c>
      <c r="K1564" t="s">
        <v>650</v>
      </c>
      <c r="L1564">
        <f>COUNTIF($A$2:A1564,A1564)</f>
        <v>18</v>
      </c>
    </row>
    <row r="1565" spans="1:12" x14ac:dyDescent="0.3">
      <c r="A1565">
        <v>16339</v>
      </c>
      <c r="B1565" t="s">
        <v>649</v>
      </c>
      <c r="C1565" t="s">
        <v>481</v>
      </c>
      <c r="D1565" t="s">
        <v>482</v>
      </c>
      <c r="E1565">
        <v>18</v>
      </c>
      <c r="F1565">
        <v>64.709999999999994</v>
      </c>
      <c r="G1565">
        <v>29.41</v>
      </c>
      <c r="H1565">
        <v>5.88</v>
      </c>
      <c r="I1565">
        <v>0</v>
      </c>
      <c r="J1565" s="1">
        <v>45928.070012187498</v>
      </c>
      <c r="K1565" t="s">
        <v>650</v>
      </c>
      <c r="L1565">
        <f>COUNTIF($A$2:A1565,A1565)</f>
        <v>19</v>
      </c>
    </row>
    <row r="1566" spans="1:12" x14ac:dyDescent="0.3">
      <c r="A1566">
        <v>16339</v>
      </c>
      <c r="B1566" t="s">
        <v>649</v>
      </c>
      <c r="C1566" t="s">
        <v>61</v>
      </c>
      <c r="D1566" t="s">
        <v>62</v>
      </c>
      <c r="E1566">
        <v>15</v>
      </c>
      <c r="F1566">
        <v>64.709999999999994</v>
      </c>
      <c r="G1566">
        <v>35.29</v>
      </c>
      <c r="H1566">
        <v>0</v>
      </c>
      <c r="I1566">
        <v>0</v>
      </c>
      <c r="J1566" s="1">
        <v>45928.070526574076</v>
      </c>
      <c r="K1566" t="s">
        <v>650</v>
      </c>
      <c r="L1566">
        <f>COUNTIF($A$2:A1566,A1566)</f>
        <v>20</v>
      </c>
    </row>
    <row r="1567" spans="1:12" x14ac:dyDescent="0.3">
      <c r="A1567">
        <v>16339</v>
      </c>
      <c r="B1567" t="s">
        <v>649</v>
      </c>
      <c r="C1567" t="s">
        <v>487</v>
      </c>
      <c r="D1567" t="s">
        <v>488</v>
      </c>
      <c r="E1567">
        <v>19</v>
      </c>
      <c r="F1567">
        <v>58.82</v>
      </c>
      <c r="G1567">
        <v>35.29</v>
      </c>
      <c r="H1567">
        <v>5.88</v>
      </c>
      <c r="I1567">
        <v>0.01</v>
      </c>
      <c r="J1567" s="1">
        <v>45928.070093391201</v>
      </c>
      <c r="K1567" t="s">
        <v>650</v>
      </c>
      <c r="L1567">
        <f>COUNTIF($A$2:A1567,A1567)</f>
        <v>21</v>
      </c>
    </row>
    <row r="1568" spans="1:12" x14ac:dyDescent="0.3">
      <c r="A1568">
        <v>16339</v>
      </c>
      <c r="B1568" t="s">
        <v>649</v>
      </c>
      <c r="C1568" t="s">
        <v>661</v>
      </c>
      <c r="D1568" t="s">
        <v>662</v>
      </c>
      <c r="E1568">
        <v>0</v>
      </c>
      <c r="F1568">
        <v>58.82</v>
      </c>
      <c r="G1568">
        <v>35.29</v>
      </c>
      <c r="H1568">
        <v>5.88</v>
      </c>
      <c r="I1568">
        <v>0</v>
      </c>
      <c r="J1568" s="1">
        <v>45928.070156087961</v>
      </c>
      <c r="K1568" t="s">
        <v>650</v>
      </c>
      <c r="L1568">
        <f>COUNTIF($A$2:A1568,A1568)</f>
        <v>22</v>
      </c>
    </row>
    <row r="1569" spans="1:12" x14ac:dyDescent="0.3">
      <c r="A1569">
        <v>16339</v>
      </c>
      <c r="B1569" t="s">
        <v>649</v>
      </c>
      <c r="C1569" t="s">
        <v>663</v>
      </c>
      <c r="D1569" t="s">
        <v>664</v>
      </c>
      <c r="E1569">
        <v>23</v>
      </c>
      <c r="F1569">
        <v>58.82</v>
      </c>
      <c r="G1569">
        <v>35.29</v>
      </c>
      <c r="H1569">
        <v>5.88</v>
      </c>
      <c r="I1569">
        <v>0.01</v>
      </c>
      <c r="J1569" s="1">
        <v>45928.070172731481</v>
      </c>
      <c r="K1569" t="s">
        <v>650</v>
      </c>
      <c r="L1569">
        <f>COUNTIF($A$2:A1569,A1569)</f>
        <v>23</v>
      </c>
    </row>
    <row r="1570" spans="1:12" x14ac:dyDescent="0.3">
      <c r="A1570">
        <v>16339</v>
      </c>
      <c r="B1570" t="s">
        <v>649</v>
      </c>
      <c r="C1570" t="s">
        <v>510</v>
      </c>
      <c r="D1570" t="s">
        <v>511</v>
      </c>
      <c r="E1570">
        <v>0</v>
      </c>
      <c r="F1570">
        <v>52.94</v>
      </c>
      <c r="G1570">
        <v>47.06</v>
      </c>
      <c r="H1570">
        <v>0</v>
      </c>
      <c r="I1570">
        <v>0</v>
      </c>
      <c r="J1570" s="1">
        <v>45928.07035228009</v>
      </c>
      <c r="K1570" t="s">
        <v>650</v>
      </c>
      <c r="L1570">
        <f>COUNTIF($A$2:A1570,A1570)</f>
        <v>24</v>
      </c>
    </row>
    <row r="1571" spans="1:12" x14ac:dyDescent="0.3">
      <c r="A1571">
        <v>16339</v>
      </c>
      <c r="B1571" t="s">
        <v>649</v>
      </c>
      <c r="C1571" t="s">
        <v>485</v>
      </c>
      <c r="D1571" t="s">
        <v>486</v>
      </c>
      <c r="E1571">
        <v>26</v>
      </c>
      <c r="F1571">
        <v>47.06</v>
      </c>
      <c r="G1571">
        <v>47.06</v>
      </c>
      <c r="H1571">
        <v>5.88</v>
      </c>
      <c r="I1571">
        <v>0</v>
      </c>
      <c r="J1571" s="1">
        <v>45928.070074513889</v>
      </c>
      <c r="K1571" t="s">
        <v>650</v>
      </c>
      <c r="L1571">
        <f>COUNTIF($A$2:A1571,A1571)</f>
        <v>25</v>
      </c>
    </row>
    <row r="1572" spans="1:12" x14ac:dyDescent="0.3">
      <c r="A1572">
        <v>16339</v>
      </c>
      <c r="B1572" t="s">
        <v>649</v>
      </c>
      <c r="C1572" t="s">
        <v>19</v>
      </c>
      <c r="D1572" t="s">
        <v>20</v>
      </c>
      <c r="E1572">
        <v>19</v>
      </c>
      <c r="F1572">
        <v>47.06</v>
      </c>
      <c r="G1572">
        <v>52.94</v>
      </c>
      <c r="H1572">
        <v>0</v>
      </c>
      <c r="I1572">
        <v>0</v>
      </c>
      <c r="J1572" s="1">
        <v>45928.070286400463</v>
      </c>
      <c r="K1572" t="s">
        <v>650</v>
      </c>
      <c r="L1572">
        <f>COUNTIF($A$2:A1572,A1572)</f>
        <v>26</v>
      </c>
    </row>
    <row r="1573" spans="1:12" x14ac:dyDescent="0.3">
      <c r="A1573">
        <v>16339</v>
      </c>
      <c r="B1573" t="s">
        <v>649</v>
      </c>
      <c r="C1573" t="s">
        <v>651</v>
      </c>
      <c r="D1573" t="s">
        <v>652</v>
      </c>
      <c r="E1573">
        <v>0</v>
      </c>
      <c r="F1573">
        <v>41.18</v>
      </c>
      <c r="G1573">
        <v>52.94</v>
      </c>
      <c r="H1573">
        <v>5.88</v>
      </c>
      <c r="I1573">
        <v>0</v>
      </c>
      <c r="J1573" s="1">
        <v>45928.069738900464</v>
      </c>
      <c r="K1573" t="s">
        <v>650</v>
      </c>
      <c r="L1573">
        <f>COUNTIF($A$2:A1573,A1573)</f>
        <v>27</v>
      </c>
    </row>
    <row r="1574" spans="1:12" x14ac:dyDescent="0.3">
      <c r="A1574">
        <v>16339</v>
      </c>
      <c r="B1574" t="s">
        <v>649</v>
      </c>
      <c r="C1574" t="s">
        <v>659</v>
      </c>
      <c r="D1574" t="s">
        <v>660</v>
      </c>
      <c r="E1574">
        <v>25</v>
      </c>
      <c r="F1574">
        <v>41.18</v>
      </c>
      <c r="G1574">
        <v>52.94</v>
      </c>
      <c r="H1574">
        <v>5.88</v>
      </c>
      <c r="I1574">
        <v>0</v>
      </c>
      <c r="J1574" s="1">
        <v>45928.070136400464</v>
      </c>
      <c r="K1574" t="s">
        <v>650</v>
      </c>
      <c r="L1574">
        <f>COUNTIF($A$2:A1574,A1574)</f>
        <v>28</v>
      </c>
    </row>
    <row r="1575" spans="1:12" x14ac:dyDescent="0.3">
      <c r="A1575">
        <v>16339</v>
      </c>
      <c r="B1575" t="s">
        <v>649</v>
      </c>
      <c r="C1575" t="s">
        <v>474</v>
      </c>
      <c r="D1575" t="s">
        <v>475</v>
      </c>
      <c r="E1575">
        <v>0</v>
      </c>
      <c r="F1575">
        <v>35.29</v>
      </c>
      <c r="G1575">
        <v>52.94</v>
      </c>
      <c r="H1575">
        <v>11.76</v>
      </c>
      <c r="I1575">
        <v>0</v>
      </c>
      <c r="J1575" s="1">
        <v>45928.069895104163</v>
      </c>
      <c r="K1575" t="s">
        <v>650</v>
      </c>
      <c r="L1575">
        <f>COUNTIF($A$2:A1575,A1575)</f>
        <v>29</v>
      </c>
    </row>
    <row r="1576" spans="1:12" x14ac:dyDescent="0.3">
      <c r="A1576">
        <v>16339</v>
      </c>
      <c r="B1576" t="s">
        <v>649</v>
      </c>
      <c r="C1576" t="s">
        <v>665</v>
      </c>
      <c r="D1576" t="s">
        <v>666</v>
      </c>
      <c r="E1576">
        <v>28</v>
      </c>
      <c r="F1576">
        <v>35.29</v>
      </c>
      <c r="G1576">
        <v>58.82</v>
      </c>
      <c r="H1576">
        <v>5.88</v>
      </c>
      <c r="I1576">
        <v>0.01</v>
      </c>
      <c r="J1576" s="1">
        <v>45928.070190636572</v>
      </c>
      <c r="K1576" t="s">
        <v>650</v>
      </c>
      <c r="L1576">
        <f>COUNTIF($A$2:A1576,A1576)</f>
        <v>30</v>
      </c>
    </row>
    <row r="1577" spans="1:12" x14ac:dyDescent="0.3">
      <c r="A1577">
        <v>16339</v>
      </c>
      <c r="B1577" t="s">
        <v>649</v>
      </c>
      <c r="C1577" t="s">
        <v>447</v>
      </c>
      <c r="D1577" t="s">
        <v>448</v>
      </c>
      <c r="E1577">
        <v>0</v>
      </c>
      <c r="F1577">
        <v>35.29</v>
      </c>
      <c r="G1577">
        <v>64.709999999999994</v>
      </c>
      <c r="H1577">
        <v>0</v>
      </c>
      <c r="I1577">
        <v>0</v>
      </c>
      <c r="J1577" s="1">
        <v>45928.070399571756</v>
      </c>
      <c r="K1577" t="s">
        <v>650</v>
      </c>
      <c r="L1577">
        <f>COUNTIF($A$2:A1577,A1577)</f>
        <v>31</v>
      </c>
    </row>
    <row r="1578" spans="1:12" x14ac:dyDescent="0.3">
      <c r="A1578">
        <v>16339</v>
      </c>
      <c r="B1578" t="s">
        <v>649</v>
      </c>
      <c r="C1578" t="s">
        <v>657</v>
      </c>
      <c r="D1578" t="s">
        <v>658</v>
      </c>
      <c r="E1578">
        <v>27</v>
      </c>
      <c r="F1578">
        <v>29.41</v>
      </c>
      <c r="G1578">
        <v>58.82</v>
      </c>
      <c r="H1578">
        <v>11.76</v>
      </c>
      <c r="I1578">
        <v>0.01</v>
      </c>
      <c r="J1578" s="1">
        <v>45928.069910810184</v>
      </c>
      <c r="K1578" t="s">
        <v>650</v>
      </c>
      <c r="L1578">
        <f>COUNTIF($A$2:A1578,A1578)</f>
        <v>32</v>
      </c>
    </row>
    <row r="1579" spans="1:12" x14ac:dyDescent="0.3">
      <c r="A1579">
        <v>16339</v>
      </c>
      <c r="B1579" t="s">
        <v>649</v>
      </c>
      <c r="C1579" t="s">
        <v>271</v>
      </c>
      <c r="D1579" t="s">
        <v>272</v>
      </c>
      <c r="E1579">
        <v>35</v>
      </c>
      <c r="F1579">
        <v>17.649999999999999</v>
      </c>
      <c r="G1579">
        <v>70.59</v>
      </c>
      <c r="H1579">
        <v>11.76</v>
      </c>
      <c r="I1579">
        <v>0</v>
      </c>
      <c r="J1579" s="1">
        <v>45928.070269548611</v>
      </c>
      <c r="K1579" t="s">
        <v>650</v>
      </c>
      <c r="L1579">
        <f>COUNTIF($A$2:A1579,A1579)</f>
        <v>33</v>
      </c>
    </row>
    <row r="1580" spans="1:12" x14ac:dyDescent="0.3">
      <c r="A1580">
        <v>16339</v>
      </c>
      <c r="B1580" t="s">
        <v>649</v>
      </c>
      <c r="C1580" t="s">
        <v>470</v>
      </c>
      <c r="D1580" t="s">
        <v>471</v>
      </c>
      <c r="E1580">
        <v>31</v>
      </c>
      <c r="F1580">
        <v>11.76</v>
      </c>
      <c r="G1580">
        <v>82.35</v>
      </c>
      <c r="H1580">
        <v>5.88</v>
      </c>
      <c r="I1580">
        <v>0.01</v>
      </c>
      <c r="J1580" s="1">
        <v>45928.069756331017</v>
      </c>
      <c r="K1580" t="s">
        <v>650</v>
      </c>
      <c r="L1580">
        <f>COUNTIF($A$2:A1580,A1580)</f>
        <v>34</v>
      </c>
    </row>
    <row r="1581" spans="1:12" x14ac:dyDescent="0.3">
      <c r="A1581">
        <v>16339</v>
      </c>
      <c r="B1581" t="s">
        <v>649</v>
      </c>
      <c r="C1581" t="s">
        <v>669</v>
      </c>
      <c r="D1581" t="s">
        <v>670</v>
      </c>
      <c r="E1581">
        <v>36</v>
      </c>
      <c r="F1581">
        <v>11.76</v>
      </c>
      <c r="G1581">
        <v>82.35</v>
      </c>
      <c r="H1581">
        <v>5.88</v>
      </c>
      <c r="I1581">
        <v>0.01</v>
      </c>
      <c r="J1581" s="1">
        <v>45928.070230069447</v>
      </c>
      <c r="K1581" t="s">
        <v>650</v>
      </c>
      <c r="L1581">
        <f>COUNTIF($A$2:A1581,A1581)</f>
        <v>35</v>
      </c>
    </row>
    <row r="1582" spans="1:12" x14ac:dyDescent="0.3">
      <c r="A1582">
        <v>16339</v>
      </c>
      <c r="B1582" t="s">
        <v>649</v>
      </c>
      <c r="C1582" t="s">
        <v>23</v>
      </c>
      <c r="D1582" t="s">
        <v>24</v>
      </c>
      <c r="E1582">
        <v>23</v>
      </c>
      <c r="F1582">
        <v>11.76</v>
      </c>
      <c r="G1582">
        <v>88.24</v>
      </c>
      <c r="H1582">
        <v>0</v>
      </c>
      <c r="I1582">
        <v>0</v>
      </c>
      <c r="J1582" s="1">
        <v>45928.07037115741</v>
      </c>
      <c r="K1582" t="s">
        <v>650</v>
      </c>
      <c r="L1582">
        <f>COUNTIF($A$2:A1582,A1582)</f>
        <v>36</v>
      </c>
    </row>
    <row r="1583" spans="1:12" x14ac:dyDescent="0.3">
      <c r="A1583">
        <v>16339</v>
      </c>
      <c r="B1583" t="s">
        <v>649</v>
      </c>
      <c r="C1583" t="s">
        <v>386</v>
      </c>
      <c r="D1583" t="s">
        <v>387</v>
      </c>
      <c r="E1583">
        <v>26</v>
      </c>
      <c r="F1583">
        <v>5.88</v>
      </c>
      <c r="G1583">
        <v>88.24</v>
      </c>
      <c r="H1583">
        <v>5.88</v>
      </c>
      <c r="I1583">
        <v>0</v>
      </c>
      <c r="J1583" s="1">
        <v>45928.069715358797</v>
      </c>
      <c r="K1583" t="s">
        <v>650</v>
      </c>
      <c r="L1583">
        <f>COUNTIF($A$2:A1583,A1583)</f>
        <v>37</v>
      </c>
    </row>
    <row r="1584" spans="1:12" x14ac:dyDescent="0.3">
      <c r="A1584">
        <v>16339</v>
      </c>
      <c r="B1584" t="s">
        <v>649</v>
      </c>
      <c r="C1584" t="s">
        <v>653</v>
      </c>
      <c r="D1584" t="s">
        <v>654</v>
      </c>
      <c r="E1584">
        <v>0</v>
      </c>
      <c r="F1584">
        <v>5.88</v>
      </c>
      <c r="G1584">
        <v>82.35</v>
      </c>
      <c r="H1584">
        <v>11.76</v>
      </c>
      <c r="I1584">
        <v>0</v>
      </c>
      <c r="J1584" s="1">
        <v>45928.069779479163</v>
      </c>
      <c r="K1584" t="s">
        <v>650</v>
      </c>
      <c r="L1584">
        <f>COUNTIF($A$2:A1584,A1584)</f>
        <v>38</v>
      </c>
    </row>
    <row r="1585" spans="1:12" x14ac:dyDescent="0.3">
      <c r="A1585">
        <v>16339</v>
      </c>
      <c r="B1585" t="s">
        <v>649</v>
      </c>
      <c r="C1585" t="s">
        <v>655</v>
      </c>
      <c r="D1585" t="s">
        <v>656</v>
      </c>
      <c r="E1585">
        <v>35</v>
      </c>
      <c r="F1585">
        <v>0</v>
      </c>
      <c r="G1585">
        <v>88.24</v>
      </c>
      <c r="H1585">
        <v>11.76</v>
      </c>
      <c r="I1585">
        <v>0</v>
      </c>
      <c r="J1585" s="1">
        <v>45928.069824502316</v>
      </c>
      <c r="K1585" t="s">
        <v>650</v>
      </c>
      <c r="L1585">
        <f>COUNTIF($A$2:A1585,A1585)</f>
        <v>39</v>
      </c>
    </row>
    <row r="1586" spans="1:12" x14ac:dyDescent="0.3">
      <c r="A1586">
        <v>16339</v>
      </c>
      <c r="B1586" t="s">
        <v>649</v>
      </c>
      <c r="C1586" t="s">
        <v>472</v>
      </c>
      <c r="D1586" t="s">
        <v>473</v>
      </c>
      <c r="E1586">
        <v>52</v>
      </c>
      <c r="F1586">
        <v>0</v>
      </c>
      <c r="G1586">
        <v>88.24</v>
      </c>
      <c r="H1586">
        <v>11.76</v>
      </c>
      <c r="I1586">
        <v>0</v>
      </c>
      <c r="J1586" s="1">
        <v>45928.069871319443</v>
      </c>
      <c r="K1586" t="s">
        <v>650</v>
      </c>
      <c r="L1586">
        <f>COUNTIF($A$2:A1586,A1586)</f>
        <v>40</v>
      </c>
    </row>
    <row r="1587" spans="1:12" x14ac:dyDescent="0.3">
      <c r="A1587">
        <v>16340</v>
      </c>
      <c r="B1587" t="s">
        <v>649</v>
      </c>
      <c r="C1587" t="s">
        <v>677</v>
      </c>
      <c r="D1587" t="s">
        <v>678</v>
      </c>
      <c r="E1587">
        <v>1</v>
      </c>
      <c r="F1587">
        <v>100</v>
      </c>
      <c r="G1587">
        <v>0</v>
      </c>
      <c r="H1587">
        <v>0</v>
      </c>
      <c r="I1587">
        <v>0</v>
      </c>
      <c r="J1587" s="1">
        <v>45928.070788564815</v>
      </c>
      <c r="K1587" t="s">
        <v>679</v>
      </c>
      <c r="L1587">
        <f>COUNTIF($A$2:A1587,A1587)</f>
        <v>1</v>
      </c>
    </row>
    <row r="1588" spans="1:12" x14ac:dyDescent="0.3">
      <c r="A1588">
        <v>16340</v>
      </c>
      <c r="B1588" t="s">
        <v>649</v>
      </c>
      <c r="C1588" t="s">
        <v>675</v>
      </c>
      <c r="D1588" t="s">
        <v>676</v>
      </c>
      <c r="E1588">
        <v>0</v>
      </c>
      <c r="F1588">
        <v>100</v>
      </c>
      <c r="G1588">
        <v>0</v>
      </c>
      <c r="H1588">
        <v>0</v>
      </c>
      <c r="I1588">
        <v>0</v>
      </c>
      <c r="J1588" s="1">
        <v>45928.070806724536</v>
      </c>
      <c r="K1588" t="s">
        <v>679</v>
      </c>
      <c r="L1588">
        <f>COUNTIF($A$2:A1588,A1588)</f>
        <v>2</v>
      </c>
    </row>
    <row r="1589" spans="1:12" x14ac:dyDescent="0.3">
      <c r="A1589">
        <v>16340</v>
      </c>
      <c r="B1589" t="s">
        <v>649</v>
      </c>
      <c r="C1589" t="s">
        <v>673</v>
      </c>
      <c r="D1589" t="s">
        <v>674</v>
      </c>
      <c r="E1589">
        <v>2</v>
      </c>
      <c r="F1589">
        <v>100</v>
      </c>
      <c r="G1589">
        <v>0</v>
      </c>
      <c r="H1589">
        <v>0</v>
      </c>
      <c r="I1589">
        <v>0</v>
      </c>
      <c r="J1589" s="1">
        <v>45928.070826527779</v>
      </c>
      <c r="K1589" t="s">
        <v>679</v>
      </c>
      <c r="L1589">
        <f>COUNTIF($A$2:A1589,A1589)</f>
        <v>3</v>
      </c>
    </row>
    <row r="1590" spans="1:12" x14ac:dyDescent="0.3">
      <c r="A1590">
        <v>16340</v>
      </c>
      <c r="B1590" t="s">
        <v>649</v>
      </c>
      <c r="C1590" t="s">
        <v>80</v>
      </c>
      <c r="D1590" t="s">
        <v>81</v>
      </c>
      <c r="E1590">
        <v>2</v>
      </c>
      <c r="F1590">
        <v>100</v>
      </c>
      <c r="G1590">
        <v>0</v>
      </c>
      <c r="H1590">
        <v>0</v>
      </c>
      <c r="I1590">
        <v>0</v>
      </c>
      <c r="J1590" s="1">
        <v>45928.070846932867</v>
      </c>
      <c r="K1590" t="s">
        <v>679</v>
      </c>
      <c r="L1590">
        <f>COUNTIF($A$2:A1590,A1590)</f>
        <v>4</v>
      </c>
    </row>
    <row r="1591" spans="1:12" x14ac:dyDescent="0.3">
      <c r="A1591">
        <v>16340</v>
      </c>
      <c r="B1591" t="s">
        <v>649</v>
      </c>
      <c r="C1591" t="s">
        <v>19</v>
      </c>
      <c r="D1591" t="s">
        <v>20</v>
      </c>
      <c r="E1591">
        <v>0</v>
      </c>
      <c r="F1591">
        <v>87.5</v>
      </c>
      <c r="G1591">
        <v>12.5</v>
      </c>
      <c r="H1591">
        <v>0</v>
      </c>
      <c r="I1591">
        <v>0</v>
      </c>
      <c r="J1591" s="1">
        <v>45928.071143333334</v>
      </c>
      <c r="K1591" t="s">
        <v>679</v>
      </c>
      <c r="L1591">
        <f>COUNTIF($A$2:A1591,A1591)</f>
        <v>5</v>
      </c>
    </row>
    <row r="1592" spans="1:12" x14ac:dyDescent="0.3">
      <c r="A1592">
        <v>16340</v>
      </c>
      <c r="B1592" t="s">
        <v>649</v>
      </c>
      <c r="C1592" t="s">
        <v>653</v>
      </c>
      <c r="D1592" t="s">
        <v>654</v>
      </c>
      <c r="E1592">
        <v>7</v>
      </c>
      <c r="F1592">
        <v>87.5</v>
      </c>
      <c r="G1592">
        <v>12.5</v>
      </c>
      <c r="H1592">
        <v>0</v>
      </c>
      <c r="I1592">
        <v>0</v>
      </c>
      <c r="J1592" s="1">
        <v>45928.07153400463</v>
      </c>
      <c r="K1592" t="s">
        <v>679</v>
      </c>
      <c r="L1592">
        <f>COUNTIF($A$2:A1592,A1592)</f>
        <v>6</v>
      </c>
    </row>
    <row r="1593" spans="1:12" x14ac:dyDescent="0.3">
      <c r="A1593">
        <v>16340</v>
      </c>
      <c r="B1593" t="s">
        <v>649</v>
      </c>
      <c r="C1593" t="s">
        <v>74</v>
      </c>
      <c r="D1593" t="s">
        <v>75</v>
      </c>
      <c r="E1593">
        <v>8</v>
      </c>
      <c r="F1593">
        <v>81.25</v>
      </c>
      <c r="G1593">
        <v>18.75</v>
      </c>
      <c r="H1593">
        <v>0</v>
      </c>
      <c r="I1593">
        <v>0</v>
      </c>
      <c r="J1593" s="1">
        <v>45928.070920243059</v>
      </c>
      <c r="K1593" t="s">
        <v>679</v>
      </c>
      <c r="L1593">
        <f>COUNTIF($A$2:A1593,A1593)</f>
        <v>7</v>
      </c>
    </row>
    <row r="1594" spans="1:12" x14ac:dyDescent="0.3">
      <c r="A1594">
        <v>16340</v>
      </c>
      <c r="B1594" t="s">
        <v>649</v>
      </c>
      <c r="C1594" t="s">
        <v>476</v>
      </c>
      <c r="D1594" t="s">
        <v>476</v>
      </c>
      <c r="E1594">
        <v>10</v>
      </c>
      <c r="F1594">
        <v>81.25</v>
      </c>
      <c r="G1594">
        <v>18.75</v>
      </c>
      <c r="H1594">
        <v>0</v>
      </c>
      <c r="I1594">
        <v>0</v>
      </c>
      <c r="J1594" s="1">
        <v>45928.071429039352</v>
      </c>
      <c r="K1594" t="s">
        <v>679</v>
      </c>
      <c r="L1594">
        <f>COUNTIF($A$2:A1594,A1594)</f>
        <v>8</v>
      </c>
    </row>
    <row r="1595" spans="1:12" x14ac:dyDescent="0.3">
      <c r="A1595">
        <v>16340</v>
      </c>
      <c r="B1595" t="s">
        <v>649</v>
      </c>
      <c r="C1595" t="s">
        <v>657</v>
      </c>
      <c r="D1595" t="s">
        <v>658</v>
      </c>
      <c r="E1595">
        <v>10</v>
      </c>
      <c r="F1595">
        <v>81.25</v>
      </c>
      <c r="G1595">
        <v>18.75</v>
      </c>
      <c r="H1595">
        <v>0</v>
      </c>
      <c r="I1595">
        <v>0</v>
      </c>
      <c r="J1595" s="1">
        <v>45928.071452222219</v>
      </c>
      <c r="K1595" t="s">
        <v>679</v>
      </c>
      <c r="L1595">
        <f>COUNTIF($A$2:A1595,A1595)</f>
        <v>9</v>
      </c>
    </row>
    <row r="1596" spans="1:12" x14ac:dyDescent="0.3">
      <c r="A1596">
        <v>16340</v>
      </c>
      <c r="B1596" t="s">
        <v>649</v>
      </c>
      <c r="C1596" t="s">
        <v>78</v>
      </c>
      <c r="D1596" t="s">
        <v>79</v>
      </c>
      <c r="E1596">
        <v>0</v>
      </c>
      <c r="F1596">
        <v>75</v>
      </c>
      <c r="G1596">
        <v>25</v>
      </c>
      <c r="H1596">
        <v>0</v>
      </c>
      <c r="I1596">
        <v>0</v>
      </c>
      <c r="J1596" s="1">
        <v>45928.07087221065</v>
      </c>
      <c r="K1596" t="s">
        <v>679</v>
      </c>
      <c r="L1596">
        <f>COUNTIF($A$2:A1596,A1596)</f>
        <v>10</v>
      </c>
    </row>
    <row r="1597" spans="1:12" x14ac:dyDescent="0.3">
      <c r="A1597">
        <v>16340</v>
      </c>
      <c r="B1597" t="s">
        <v>649</v>
      </c>
      <c r="C1597" t="s">
        <v>76</v>
      </c>
      <c r="D1597" t="s">
        <v>77</v>
      </c>
      <c r="E1597">
        <v>0</v>
      </c>
      <c r="F1597">
        <v>75</v>
      </c>
      <c r="G1597">
        <v>25</v>
      </c>
      <c r="H1597">
        <v>0</v>
      </c>
      <c r="I1597">
        <v>0</v>
      </c>
      <c r="J1597" s="1">
        <v>45928.070900648148</v>
      </c>
      <c r="K1597" t="s">
        <v>679</v>
      </c>
      <c r="L1597">
        <f>COUNTIF($A$2:A1597,A1597)</f>
        <v>11</v>
      </c>
    </row>
    <row r="1598" spans="1:12" x14ac:dyDescent="0.3">
      <c r="A1598">
        <v>16340</v>
      </c>
      <c r="B1598" t="s">
        <v>649</v>
      </c>
      <c r="C1598" t="s">
        <v>271</v>
      </c>
      <c r="D1598" t="s">
        <v>272</v>
      </c>
      <c r="E1598">
        <v>15</v>
      </c>
      <c r="F1598">
        <v>75</v>
      </c>
      <c r="G1598">
        <v>25</v>
      </c>
      <c r="H1598">
        <v>0</v>
      </c>
      <c r="I1598">
        <v>0</v>
      </c>
      <c r="J1598" s="1">
        <v>45928.071167013892</v>
      </c>
      <c r="K1598" t="s">
        <v>679</v>
      </c>
      <c r="L1598">
        <f>COUNTIF($A$2:A1598,A1598)</f>
        <v>12</v>
      </c>
    </row>
    <row r="1599" spans="1:12" x14ac:dyDescent="0.3">
      <c r="A1599">
        <v>16340</v>
      </c>
      <c r="B1599" t="s">
        <v>649</v>
      </c>
      <c r="C1599" t="s">
        <v>661</v>
      </c>
      <c r="D1599" t="s">
        <v>662</v>
      </c>
      <c r="E1599">
        <v>11</v>
      </c>
      <c r="F1599">
        <v>75</v>
      </c>
      <c r="G1599">
        <v>25</v>
      </c>
      <c r="H1599">
        <v>0</v>
      </c>
      <c r="I1599">
        <v>0</v>
      </c>
      <c r="J1599" s="1">
        <v>45928.071275092596</v>
      </c>
      <c r="K1599" t="s">
        <v>679</v>
      </c>
      <c r="L1599">
        <f>COUNTIF($A$2:A1599,A1599)</f>
        <v>13</v>
      </c>
    </row>
    <row r="1600" spans="1:12" x14ac:dyDescent="0.3">
      <c r="A1600">
        <v>16340</v>
      </c>
      <c r="B1600" t="s">
        <v>649</v>
      </c>
      <c r="C1600" t="s">
        <v>659</v>
      </c>
      <c r="D1600" t="s">
        <v>660</v>
      </c>
      <c r="E1600">
        <v>10</v>
      </c>
      <c r="F1600">
        <v>68.75</v>
      </c>
      <c r="G1600">
        <v>31.25</v>
      </c>
      <c r="H1600">
        <v>0</v>
      </c>
      <c r="I1600">
        <v>0</v>
      </c>
      <c r="J1600" s="1">
        <v>45928.071295798611</v>
      </c>
      <c r="K1600" t="s">
        <v>679</v>
      </c>
      <c r="L1600">
        <f>COUNTIF($A$2:A1600,A1600)</f>
        <v>14</v>
      </c>
    </row>
    <row r="1601" spans="1:12" x14ac:dyDescent="0.3">
      <c r="A1601">
        <v>16340</v>
      </c>
      <c r="B1601" t="s">
        <v>649</v>
      </c>
      <c r="C1601" t="s">
        <v>481</v>
      </c>
      <c r="D1601" t="s">
        <v>482</v>
      </c>
      <c r="E1601">
        <v>0</v>
      </c>
      <c r="F1601">
        <v>68.75</v>
      </c>
      <c r="G1601">
        <v>31.25</v>
      </c>
      <c r="H1601">
        <v>0</v>
      </c>
      <c r="I1601">
        <v>0</v>
      </c>
      <c r="J1601" s="1">
        <v>45928.071383888891</v>
      </c>
      <c r="K1601" t="s">
        <v>679</v>
      </c>
      <c r="L1601">
        <f>COUNTIF($A$2:A1601,A1601)</f>
        <v>15</v>
      </c>
    </row>
    <row r="1602" spans="1:12" x14ac:dyDescent="0.3">
      <c r="A1602">
        <v>16340</v>
      </c>
      <c r="B1602" t="s">
        <v>649</v>
      </c>
      <c r="C1602" t="s">
        <v>470</v>
      </c>
      <c r="D1602" t="s">
        <v>471</v>
      </c>
      <c r="E1602">
        <v>14</v>
      </c>
      <c r="F1602">
        <v>68.75</v>
      </c>
      <c r="G1602">
        <v>31.25</v>
      </c>
      <c r="H1602">
        <v>0</v>
      </c>
      <c r="I1602">
        <v>0</v>
      </c>
      <c r="J1602" s="1">
        <v>45928.071557465279</v>
      </c>
      <c r="K1602" t="s">
        <v>679</v>
      </c>
      <c r="L1602">
        <f>COUNTIF($A$2:A1602,A1602)</f>
        <v>16</v>
      </c>
    </row>
    <row r="1603" spans="1:12" x14ac:dyDescent="0.3">
      <c r="A1603">
        <v>16340</v>
      </c>
      <c r="B1603" t="s">
        <v>649</v>
      </c>
      <c r="C1603" t="s">
        <v>379</v>
      </c>
      <c r="D1603" t="s">
        <v>380</v>
      </c>
      <c r="E1603">
        <v>17</v>
      </c>
      <c r="F1603">
        <v>62.5</v>
      </c>
      <c r="G1603">
        <v>37.5</v>
      </c>
      <c r="H1603">
        <v>0</v>
      </c>
      <c r="I1603">
        <v>0</v>
      </c>
      <c r="J1603" s="1">
        <v>45928.071643356481</v>
      </c>
      <c r="K1603" t="s">
        <v>679</v>
      </c>
      <c r="L1603">
        <f>COUNTIF($A$2:A1603,A1603)</f>
        <v>17</v>
      </c>
    </row>
    <row r="1604" spans="1:12" x14ac:dyDescent="0.3">
      <c r="A1604">
        <v>16340</v>
      </c>
      <c r="B1604" t="s">
        <v>649</v>
      </c>
      <c r="C1604" t="s">
        <v>63</v>
      </c>
      <c r="D1604" t="s">
        <v>64</v>
      </c>
      <c r="E1604">
        <v>19</v>
      </c>
      <c r="F1604">
        <v>56.25</v>
      </c>
      <c r="G1604">
        <v>31.25</v>
      </c>
      <c r="H1604">
        <v>12.5</v>
      </c>
      <c r="I1604">
        <v>0</v>
      </c>
      <c r="J1604" s="1">
        <v>45928.070940740741</v>
      </c>
      <c r="K1604" t="s">
        <v>679</v>
      </c>
      <c r="L1604">
        <f>COUNTIF($A$2:A1604,A1604)</f>
        <v>18</v>
      </c>
    </row>
    <row r="1605" spans="1:12" x14ac:dyDescent="0.3">
      <c r="A1605">
        <v>16340</v>
      </c>
      <c r="B1605" t="s">
        <v>649</v>
      </c>
      <c r="C1605" t="s">
        <v>23</v>
      </c>
      <c r="D1605" t="s">
        <v>24</v>
      </c>
      <c r="E1605">
        <v>16</v>
      </c>
      <c r="F1605">
        <v>56.25</v>
      </c>
      <c r="G1605">
        <v>43.75</v>
      </c>
      <c r="H1605">
        <v>0</v>
      </c>
      <c r="I1605">
        <v>0</v>
      </c>
      <c r="J1605" s="1">
        <v>45928.071063946758</v>
      </c>
      <c r="K1605" t="s">
        <v>679</v>
      </c>
      <c r="L1605">
        <f>COUNTIF($A$2:A1605,A1605)</f>
        <v>19</v>
      </c>
    </row>
    <row r="1606" spans="1:12" x14ac:dyDescent="0.3">
      <c r="A1606">
        <v>16340</v>
      </c>
      <c r="B1606" t="s">
        <v>649</v>
      </c>
      <c r="C1606" t="s">
        <v>487</v>
      </c>
      <c r="D1606" t="s">
        <v>488</v>
      </c>
      <c r="E1606">
        <v>15</v>
      </c>
      <c r="F1606">
        <v>56.25</v>
      </c>
      <c r="G1606">
        <v>43.75</v>
      </c>
      <c r="H1606">
        <v>0</v>
      </c>
      <c r="I1606">
        <v>0</v>
      </c>
      <c r="J1606" s="1">
        <v>45928.071318993054</v>
      </c>
      <c r="K1606" t="s">
        <v>679</v>
      </c>
      <c r="L1606">
        <f>COUNTIF($A$2:A1606,A1606)</f>
        <v>20</v>
      </c>
    </row>
    <row r="1607" spans="1:12" x14ac:dyDescent="0.3">
      <c r="A1607">
        <v>16340</v>
      </c>
      <c r="B1607" t="s">
        <v>649</v>
      </c>
      <c r="C1607" t="s">
        <v>474</v>
      </c>
      <c r="D1607" t="s">
        <v>475</v>
      </c>
      <c r="E1607">
        <v>17</v>
      </c>
      <c r="F1607">
        <v>56.25</v>
      </c>
      <c r="G1607">
        <v>43.75</v>
      </c>
      <c r="H1607">
        <v>0</v>
      </c>
      <c r="I1607">
        <v>0</v>
      </c>
      <c r="J1607" s="1">
        <v>45928.071475034725</v>
      </c>
      <c r="K1607" t="s">
        <v>679</v>
      </c>
      <c r="L1607">
        <f>COUNTIF($A$2:A1607,A1607)</f>
        <v>21</v>
      </c>
    </row>
    <row r="1608" spans="1:12" x14ac:dyDescent="0.3">
      <c r="A1608">
        <v>16340</v>
      </c>
      <c r="B1608" t="s">
        <v>649</v>
      </c>
      <c r="C1608" t="s">
        <v>472</v>
      </c>
      <c r="D1608" t="s">
        <v>473</v>
      </c>
      <c r="E1608">
        <v>18</v>
      </c>
      <c r="F1608">
        <v>43.75</v>
      </c>
      <c r="G1608">
        <v>56.25</v>
      </c>
      <c r="H1608">
        <v>0</v>
      </c>
      <c r="I1608">
        <v>0</v>
      </c>
      <c r="J1608" s="1">
        <v>45928.071496666664</v>
      </c>
      <c r="K1608" t="s">
        <v>679</v>
      </c>
      <c r="L1608">
        <f>COUNTIF($A$2:A1608,A1608)</f>
        <v>22</v>
      </c>
    </row>
    <row r="1609" spans="1:12" x14ac:dyDescent="0.3">
      <c r="A1609">
        <v>16340</v>
      </c>
      <c r="B1609" t="s">
        <v>649</v>
      </c>
      <c r="C1609" t="s">
        <v>655</v>
      </c>
      <c r="D1609" t="s">
        <v>656</v>
      </c>
      <c r="E1609">
        <v>19</v>
      </c>
      <c r="F1609">
        <v>43.75</v>
      </c>
      <c r="G1609">
        <v>56.25</v>
      </c>
      <c r="H1609">
        <v>0</v>
      </c>
      <c r="I1609">
        <v>0</v>
      </c>
      <c r="J1609" s="1">
        <v>45928.071515081021</v>
      </c>
      <c r="K1609" t="s">
        <v>679</v>
      </c>
      <c r="L1609">
        <f>COUNTIF($A$2:A1609,A1609)</f>
        <v>23</v>
      </c>
    </row>
    <row r="1610" spans="1:12" x14ac:dyDescent="0.3">
      <c r="A1610">
        <v>16340</v>
      </c>
      <c r="B1610" t="s">
        <v>649</v>
      </c>
      <c r="C1610" t="s">
        <v>57</v>
      </c>
      <c r="D1610" t="s">
        <v>58</v>
      </c>
      <c r="E1610">
        <v>39</v>
      </c>
      <c r="F1610">
        <v>37.5</v>
      </c>
      <c r="G1610">
        <v>31.25</v>
      </c>
      <c r="H1610">
        <v>31.25</v>
      </c>
      <c r="I1610">
        <v>0</v>
      </c>
      <c r="J1610" s="1">
        <v>45928.070991469911</v>
      </c>
      <c r="K1610" t="s">
        <v>679</v>
      </c>
      <c r="L1610">
        <f>COUNTIF($A$2:A1610,A1610)</f>
        <v>24</v>
      </c>
    </row>
    <row r="1611" spans="1:12" x14ac:dyDescent="0.3">
      <c r="A1611">
        <v>16340</v>
      </c>
      <c r="B1611" t="s">
        <v>649</v>
      </c>
      <c r="C1611" t="s">
        <v>663</v>
      </c>
      <c r="D1611" t="s">
        <v>664</v>
      </c>
      <c r="E1611">
        <v>27</v>
      </c>
      <c r="F1611">
        <v>37.5</v>
      </c>
      <c r="G1611">
        <v>56.25</v>
      </c>
      <c r="H1611">
        <v>6.25</v>
      </c>
      <c r="I1611">
        <v>0</v>
      </c>
      <c r="J1611" s="1">
        <v>45928.071252638889</v>
      </c>
      <c r="K1611" t="s">
        <v>679</v>
      </c>
      <c r="L1611">
        <f>COUNTIF($A$2:A1611,A1611)</f>
        <v>25</v>
      </c>
    </row>
    <row r="1612" spans="1:12" x14ac:dyDescent="0.3">
      <c r="A1612">
        <v>16340</v>
      </c>
      <c r="B1612" t="s">
        <v>649</v>
      </c>
      <c r="C1612" t="s">
        <v>477</v>
      </c>
      <c r="D1612" t="s">
        <v>478</v>
      </c>
      <c r="E1612">
        <v>19</v>
      </c>
      <c r="F1612">
        <v>37.5</v>
      </c>
      <c r="G1612">
        <v>62.5</v>
      </c>
      <c r="H1612">
        <v>0</v>
      </c>
      <c r="I1612">
        <v>0</v>
      </c>
      <c r="J1612" s="1">
        <v>45928.071405023147</v>
      </c>
      <c r="K1612" t="s">
        <v>679</v>
      </c>
      <c r="L1612">
        <f>COUNTIF($A$2:A1612,A1612)</f>
        <v>26</v>
      </c>
    </row>
    <row r="1613" spans="1:12" x14ac:dyDescent="0.3">
      <c r="A1613">
        <v>16340</v>
      </c>
      <c r="B1613" t="s">
        <v>649</v>
      </c>
      <c r="C1613" t="s">
        <v>61</v>
      </c>
      <c r="D1613" t="s">
        <v>62</v>
      </c>
      <c r="E1613">
        <v>0</v>
      </c>
      <c r="F1613">
        <v>25</v>
      </c>
      <c r="G1613">
        <v>37.5</v>
      </c>
      <c r="H1613">
        <v>37.5</v>
      </c>
      <c r="I1613">
        <v>0</v>
      </c>
      <c r="J1613" s="1">
        <v>45928.07096837963</v>
      </c>
      <c r="K1613" t="s">
        <v>679</v>
      </c>
      <c r="L1613">
        <f>COUNTIF($A$2:A1613,A1613)</f>
        <v>27</v>
      </c>
    </row>
    <row r="1614" spans="1:12" x14ac:dyDescent="0.3">
      <c r="A1614">
        <v>16340</v>
      </c>
      <c r="B1614" t="s">
        <v>649</v>
      </c>
      <c r="C1614" t="s">
        <v>447</v>
      </c>
      <c r="D1614" t="s">
        <v>448</v>
      </c>
      <c r="E1614">
        <v>0</v>
      </c>
      <c r="F1614">
        <v>25</v>
      </c>
      <c r="G1614">
        <v>50</v>
      </c>
      <c r="H1614">
        <v>25</v>
      </c>
      <c r="I1614">
        <v>0</v>
      </c>
      <c r="J1614" s="1">
        <v>45928.071039548609</v>
      </c>
      <c r="K1614" t="s">
        <v>679</v>
      </c>
      <c r="L1614">
        <f>COUNTIF($A$2:A1614,A1614)</f>
        <v>28</v>
      </c>
    </row>
    <row r="1615" spans="1:12" x14ac:dyDescent="0.3">
      <c r="A1615">
        <v>16340</v>
      </c>
      <c r="B1615" t="s">
        <v>649</v>
      </c>
      <c r="C1615" t="s">
        <v>485</v>
      </c>
      <c r="D1615" t="s">
        <v>486</v>
      </c>
      <c r="E1615">
        <v>24</v>
      </c>
      <c r="F1615">
        <v>25</v>
      </c>
      <c r="G1615">
        <v>75</v>
      </c>
      <c r="H1615">
        <v>0</v>
      </c>
      <c r="I1615">
        <v>0</v>
      </c>
      <c r="J1615" s="1">
        <v>45928.071336064815</v>
      </c>
      <c r="K1615" t="s">
        <v>679</v>
      </c>
      <c r="L1615">
        <f>COUNTIF($A$2:A1615,A1615)</f>
        <v>29</v>
      </c>
    </row>
    <row r="1616" spans="1:12" x14ac:dyDescent="0.3">
      <c r="A1616">
        <v>16340</v>
      </c>
      <c r="B1616" t="s">
        <v>649</v>
      </c>
      <c r="C1616" t="s">
        <v>483</v>
      </c>
      <c r="D1616" t="s">
        <v>484</v>
      </c>
      <c r="E1616">
        <v>24</v>
      </c>
      <c r="F1616">
        <v>18.75</v>
      </c>
      <c r="G1616">
        <v>75</v>
      </c>
      <c r="H1616">
        <v>6.25</v>
      </c>
      <c r="I1616">
        <v>0</v>
      </c>
      <c r="J1616" s="1">
        <v>45928.071358043984</v>
      </c>
      <c r="K1616" t="s">
        <v>679</v>
      </c>
      <c r="L1616">
        <f>COUNTIF($A$2:A1616,A1616)</f>
        <v>30</v>
      </c>
    </row>
    <row r="1617" spans="1:12" x14ac:dyDescent="0.3">
      <c r="A1617">
        <v>16340</v>
      </c>
      <c r="B1617" t="s">
        <v>649</v>
      </c>
      <c r="C1617" t="s">
        <v>382</v>
      </c>
      <c r="D1617" t="s">
        <v>383</v>
      </c>
      <c r="E1617">
        <v>27</v>
      </c>
      <c r="F1617">
        <v>18.75</v>
      </c>
      <c r="G1617">
        <v>75</v>
      </c>
      <c r="H1617">
        <v>6.25</v>
      </c>
      <c r="I1617">
        <v>0</v>
      </c>
      <c r="J1617" s="1">
        <v>45928.071620625</v>
      </c>
      <c r="K1617" t="s">
        <v>679</v>
      </c>
      <c r="L1617">
        <f>COUNTIF($A$2:A1617,A1617)</f>
        <v>31</v>
      </c>
    </row>
    <row r="1618" spans="1:12" x14ac:dyDescent="0.3">
      <c r="A1618">
        <v>16340</v>
      </c>
      <c r="B1618" t="s">
        <v>649</v>
      </c>
      <c r="C1618" t="s">
        <v>451</v>
      </c>
      <c r="D1618" t="s">
        <v>452</v>
      </c>
      <c r="E1618">
        <v>43</v>
      </c>
      <c r="F1618">
        <v>12.5</v>
      </c>
      <c r="G1618">
        <v>50</v>
      </c>
      <c r="H1618">
        <v>37.5</v>
      </c>
      <c r="I1618">
        <v>0</v>
      </c>
      <c r="J1618" s="1">
        <v>45928.071009675929</v>
      </c>
      <c r="K1618" t="s">
        <v>679</v>
      </c>
      <c r="L1618">
        <f>COUNTIF($A$2:A1618,A1618)</f>
        <v>32</v>
      </c>
    </row>
    <row r="1619" spans="1:12" x14ac:dyDescent="0.3">
      <c r="A1619">
        <v>16340</v>
      </c>
      <c r="B1619" t="s">
        <v>649</v>
      </c>
      <c r="C1619" t="s">
        <v>386</v>
      </c>
      <c r="D1619" t="s">
        <v>387</v>
      </c>
      <c r="E1619">
        <v>29</v>
      </c>
      <c r="F1619">
        <v>12.5</v>
      </c>
      <c r="G1619">
        <v>81.25</v>
      </c>
      <c r="H1619">
        <v>6.25</v>
      </c>
      <c r="I1619">
        <v>0</v>
      </c>
      <c r="J1619" s="1">
        <v>45928.071581701392</v>
      </c>
      <c r="K1619" t="s">
        <v>679</v>
      </c>
      <c r="L1619">
        <f>COUNTIF($A$2:A1619,A1619)</f>
        <v>33</v>
      </c>
    </row>
    <row r="1620" spans="1:12" x14ac:dyDescent="0.3">
      <c r="A1620">
        <v>16340</v>
      </c>
      <c r="B1620" t="s">
        <v>649</v>
      </c>
      <c r="C1620" t="s">
        <v>384</v>
      </c>
      <c r="D1620" t="s">
        <v>385</v>
      </c>
      <c r="E1620">
        <v>31</v>
      </c>
      <c r="F1620">
        <v>12.5</v>
      </c>
      <c r="G1620">
        <v>81.25</v>
      </c>
      <c r="H1620">
        <v>6.25</v>
      </c>
      <c r="I1620">
        <v>0</v>
      </c>
      <c r="J1620" s="1">
        <v>45928.07160116898</v>
      </c>
      <c r="K1620" t="s">
        <v>679</v>
      </c>
      <c r="L1620">
        <f>COUNTIF($A$2:A1620,A1620)</f>
        <v>34</v>
      </c>
    </row>
    <row r="1621" spans="1:12" x14ac:dyDescent="0.3">
      <c r="A1621">
        <v>16340</v>
      </c>
      <c r="B1621" t="s">
        <v>649</v>
      </c>
      <c r="C1621" t="s">
        <v>671</v>
      </c>
      <c r="D1621" t="s">
        <v>672</v>
      </c>
      <c r="E1621">
        <v>0</v>
      </c>
      <c r="F1621">
        <v>6.25</v>
      </c>
      <c r="G1621">
        <v>75</v>
      </c>
      <c r="H1621">
        <v>18.75</v>
      </c>
      <c r="I1621">
        <v>0</v>
      </c>
      <c r="J1621" s="1">
        <v>45928.071116990737</v>
      </c>
      <c r="K1621" t="s">
        <v>679</v>
      </c>
      <c r="L1621">
        <f>COUNTIF($A$2:A1621,A1621)</f>
        <v>35</v>
      </c>
    </row>
    <row r="1622" spans="1:12" x14ac:dyDescent="0.3">
      <c r="A1622">
        <v>16340</v>
      </c>
      <c r="B1622" t="s">
        <v>649</v>
      </c>
      <c r="C1622" t="s">
        <v>665</v>
      </c>
      <c r="D1622" t="s">
        <v>666</v>
      </c>
      <c r="E1622">
        <v>34</v>
      </c>
      <c r="F1622">
        <v>6.25</v>
      </c>
      <c r="G1622">
        <v>87.5</v>
      </c>
      <c r="H1622">
        <v>6.25</v>
      </c>
      <c r="I1622">
        <v>0</v>
      </c>
      <c r="J1622" s="1">
        <v>45928.071228969908</v>
      </c>
      <c r="K1622" t="s">
        <v>679</v>
      </c>
      <c r="L1622">
        <f>COUNTIF($A$2:A1622,A1622)</f>
        <v>36</v>
      </c>
    </row>
    <row r="1623" spans="1:12" x14ac:dyDescent="0.3">
      <c r="A1623">
        <v>16340</v>
      </c>
      <c r="B1623" t="s">
        <v>649</v>
      </c>
      <c r="C1623" t="s">
        <v>510</v>
      </c>
      <c r="D1623" t="s">
        <v>511</v>
      </c>
      <c r="E1623">
        <v>40</v>
      </c>
      <c r="F1623">
        <v>0</v>
      </c>
      <c r="G1623">
        <v>93.75</v>
      </c>
      <c r="H1623">
        <v>6.25</v>
      </c>
      <c r="I1623">
        <v>0</v>
      </c>
      <c r="J1623" s="1">
        <v>45928.071085821757</v>
      </c>
      <c r="K1623" t="s">
        <v>679</v>
      </c>
      <c r="L1623">
        <f>COUNTIF($A$2:A1623,A1623)</f>
        <v>37</v>
      </c>
    </row>
    <row r="1624" spans="1:12" x14ac:dyDescent="0.3">
      <c r="A1624">
        <v>16340</v>
      </c>
      <c r="B1624" t="s">
        <v>649</v>
      </c>
      <c r="C1624" t="s">
        <v>669</v>
      </c>
      <c r="D1624" t="s">
        <v>670</v>
      </c>
      <c r="E1624">
        <v>28</v>
      </c>
      <c r="F1624">
        <v>0</v>
      </c>
      <c r="G1624">
        <v>93.75</v>
      </c>
      <c r="H1624">
        <v>6.25</v>
      </c>
      <c r="I1624">
        <v>0</v>
      </c>
      <c r="J1624" s="1">
        <v>45928.071188287038</v>
      </c>
      <c r="K1624" t="s">
        <v>679</v>
      </c>
      <c r="L1624">
        <f>COUNTIF($A$2:A1624,A1624)</f>
        <v>38</v>
      </c>
    </row>
    <row r="1625" spans="1:12" x14ac:dyDescent="0.3">
      <c r="A1625">
        <v>16340</v>
      </c>
      <c r="B1625" t="s">
        <v>649</v>
      </c>
      <c r="C1625" t="s">
        <v>667</v>
      </c>
      <c r="D1625" t="s">
        <v>668</v>
      </c>
      <c r="E1625">
        <v>31</v>
      </c>
      <c r="F1625">
        <v>0</v>
      </c>
      <c r="G1625">
        <v>93.75</v>
      </c>
      <c r="H1625">
        <v>6.25</v>
      </c>
      <c r="I1625">
        <v>0</v>
      </c>
      <c r="J1625" s="1">
        <v>45928.071208587964</v>
      </c>
      <c r="K1625" t="s">
        <v>679</v>
      </c>
      <c r="L1625">
        <f>COUNTIF($A$2:A1625,A1625)</f>
        <v>39</v>
      </c>
    </row>
    <row r="1626" spans="1:12" x14ac:dyDescent="0.3">
      <c r="A1626">
        <v>17057</v>
      </c>
      <c r="B1626" t="s">
        <v>378</v>
      </c>
      <c r="C1626" t="s">
        <v>379</v>
      </c>
      <c r="D1626" t="s">
        <v>380</v>
      </c>
      <c r="E1626">
        <v>3</v>
      </c>
      <c r="F1626">
        <v>96.67</v>
      </c>
      <c r="G1626">
        <v>3.33</v>
      </c>
      <c r="H1626">
        <v>0</v>
      </c>
      <c r="I1626">
        <v>0</v>
      </c>
      <c r="J1626" s="1">
        <v>45927.7870415625</v>
      </c>
      <c r="K1626" t="s">
        <v>381</v>
      </c>
      <c r="L1626">
        <f>COUNTIF($A$2:A1626,A1626)</f>
        <v>1</v>
      </c>
    </row>
    <row r="1627" spans="1:12" x14ac:dyDescent="0.3">
      <c r="A1627">
        <v>17057</v>
      </c>
      <c r="B1627" t="s">
        <v>378</v>
      </c>
      <c r="C1627" t="s">
        <v>384</v>
      </c>
      <c r="D1627" t="s">
        <v>385</v>
      </c>
      <c r="E1627">
        <v>0</v>
      </c>
      <c r="F1627">
        <v>93.33</v>
      </c>
      <c r="G1627">
        <v>6.67</v>
      </c>
      <c r="H1627">
        <v>0</v>
      </c>
      <c r="I1627">
        <v>0</v>
      </c>
      <c r="J1627" s="1">
        <v>45927.787078263886</v>
      </c>
      <c r="K1627" t="s">
        <v>381</v>
      </c>
      <c r="L1627">
        <f>COUNTIF($A$2:A1627,A1627)</f>
        <v>2</v>
      </c>
    </row>
    <row r="1628" spans="1:12" x14ac:dyDescent="0.3">
      <c r="A1628">
        <v>17057</v>
      </c>
      <c r="B1628" t="s">
        <v>378</v>
      </c>
      <c r="C1628" t="s">
        <v>382</v>
      </c>
      <c r="D1628" t="s">
        <v>383</v>
      </c>
      <c r="E1628">
        <v>10</v>
      </c>
      <c r="F1628">
        <v>90</v>
      </c>
      <c r="G1628">
        <v>10</v>
      </c>
      <c r="H1628">
        <v>0</v>
      </c>
      <c r="I1628">
        <v>0</v>
      </c>
      <c r="J1628" s="1">
        <v>45927.787057627313</v>
      </c>
      <c r="K1628" t="s">
        <v>381</v>
      </c>
      <c r="L1628">
        <f>COUNTIF($A$2:A1628,A1628)</f>
        <v>3</v>
      </c>
    </row>
    <row r="1629" spans="1:12" x14ac:dyDescent="0.3">
      <c r="A1629">
        <v>17057</v>
      </c>
      <c r="B1629" t="s">
        <v>378</v>
      </c>
      <c r="C1629" t="s">
        <v>434</v>
      </c>
      <c r="D1629" t="s">
        <v>435</v>
      </c>
      <c r="E1629">
        <v>42</v>
      </c>
      <c r="F1629">
        <v>76.67</v>
      </c>
      <c r="G1629">
        <v>10</v>
      </c>
      <c r="H1629">
        <v>13.33</v>
      </c>
      <c r="I1629">
        <v>0</v>
      </c>
      <c r="J1629" s="1">
        <v>45927.787735543985</v>
      </c>
      <c r="K1629" t="s">
        <v>381</v>
      </c>
      <c r="L1629">
        <f>COUNTIF($A$2:A1629,A1629)</f>
        <v>4</v>
      </c>
    </row>
    <row r="1630" spans="1:12" x14ac:dyDescent="0.3">
      <c r="A1630">
        <v>17057</v>
      </c>
      <c r="B1630" t="s">
        <v>378</v>
      </c>
      <c r="C1630" t="s">
        <v>432</v>
      </c>
      <c r="D1630" t="s">
        <v>433</v>
      </c>
      <c r="E1630">
        <v>36</v>
      </c>
      <c r="F1630">
        <v>70</v>
      </c>
      <c r="G1630">
        <v>13.33</v>
      </c>
      <c r="H1630">
        <v>16.670000000000002</v>
      </c>
      <c r="I1630">
        <v>0</v>
      </c>
      <c r="J1630" s="1">
        <v>45927.787695590276</v>
      </c>
      <c r="K1630" t="s">
        <v>381</v>
      </c>
      <c r="L1630">
        <f>COUNTIF($A$2:A1630,A1630)</f>
        <v>5</v>
      </c>
    </row>
    <row r="1631" spans="1:12" x14ac:dyDescent="0.3">
      <c r="A1631">
        <v>17057</v>
      </c>
      <c r="B1631" t="s">
        <v>378</v>
      </c>
      <c r="C1631" t="s">
        <v>396</v>
      </c>
      <c r="D1631" t="s">
        <v>397</v>
      </c>
      <c r="E1631">
        <v>17</v>
      </c>
      <c r="F1631">
        <v>66.67</v>
      </c>
      <c r="G1631">
        <v>30</v>
      </c>
      <c r="H1631">
        <v>3.33</v>
      </c>
      <c r="I1631">
        <v>0</v>
      </c>
      <c r="J1631" s="1">
        <v>45927.787207569447</v>
      </c>
      <c r="K1631" t="s">
        <v>381</v>
      </c>
      <c r="L1631">
        <f>COUNTIF($A$2:A1631,A1631)</f>
        <v>6</v>
      </c>
    </row>
    <row r="1632" spans="1:12" x14ac:dyDescent="0.3">
      <c r="A1632">
        <v>17057</v>
      </c>
      <c r="B1632" t="s">
        <v>378</v>
      </c>
      <c r="C1632" t="s">
        <v>400</v>
      </c>
      <c r="D1632" t="s">
        <v>401</v>
      </c>
      <c r="E1632">
        <v>22</v>
      </c>
      <c r="F1632">
        <v>60</v>
      </c>
      <c r="G1632">
        <v>33.33</v>
      </c>
      <c r="H1632">
        <v>6.67</v>
      </c>
      <c r="I1632">
        <v>0</v>
      </c>
      <c r="J1632" s="1">
        <v>45927.78727040509</v>
      </c>
      <c r="K1632" t="s">
        <v>381</v>
      </c>
      <c r="L1632">
        <f>COUNTIF($A$2:A1632,A1632)</f>
        <v>7</v>
      </c>
    </row>
    <row r="1633" spans="1:12" x14ac:dyDescent="0.3">
      <c r="A1633">
        <v>17057</v>
      </c>
      <c r="B1633" t="s">
        <v>378</v>
      </c>
      <c r="C1633" t="s">
        <v>398</v>
      </c>
      <c r="D1633" t="s">
        <v>399</v>
      </c>
      <c r="E1633">
        <v>0</v>
      </c>
      <c r="F1633">
        <v>50</v>
      </c>
      <c r="G1633">
        <v>46.67</v>
      </c>
      <c r="H1633">
        <v>3.33</v>
      </c>
      <c r="I1633">
        <v>0</v>
      </c>
      <c r="J1633" s="1">
        <v>45927.787227442132</v>
      </c>
      <c r="K1633" t="s">
        <v>381</v>
      </c>
      <c r="L1633">
        <f>COUNTIF($A$2:A1633,A1633)</f>
        <v>8</v>
      </c>
    </row>
    <row r="1634" spans="1:12" x14ac:dyDescent="0.3">
      <c r="A1634">
        <v>17057</v>
      </c>
      <c r="B1634" t="s">
        <v>378</v>
      </c>
      <c r="C1634" t="s">
        <v>394</v>
      </c>
      <c r="D1634" t="s">
        <v>395</v>
      </c>
      <c r="E1634">
        <v>20</v>
      </c>
      <c r="F1634">
        <v>43.33</v>
      </c>
      <c r="G1634">
        <v>53.33</v>
      </c>
      <c r="H1634">
        <v>3.33</v>
      </c>
      <c r="I1634">
        <v>0.01</v>
      </c>
      <c r="J1634" s="1">
        <v>45927.787167453702</v>
      </c>
      <c r="K1634" t="s">
        <v>381</v>
      </c>
      <c r="L1634">
        <f>COUNTIF($A$2:A1634,A1634)</f>
        <v>9</v>
      </c>
    </row>
    <row r="1635" spans="1:12" x14ac:dyDescent="0.3">
      <c r="A1635">
        <v>17057</v>
      </c>
      <c r="B1635" t="s">
        <v>378</v>
      </c>
      <c r="C1635" t="s">
        <v>386</v>
      </c>
      <c r="D1635" t="s">
        <v>387</v>
      </c>
      <c r="E1635">
        <v>16</v>
      </c>
      <c r="F1635">
        <v>40</v>
      </c>
      <c r="G1635">
        <v>60</v>
      </c>
      <c r="H1635">
        <v>0</v>
      </c>
      <c r="I1635">
        <v>0</v>
      </c>
      <c r="J1635" s="1">
        <v>45927.787096574073</v>
      </c>
      <c r="K1635" t="s">
        <v>381</v>
      </c>
      <c r="L1635">
        <f>COUNTIF($A$2:A1635,A1635)</f>
        <v>10</v>
      </c>
    </row>
    <row r="1636" spans="1:12" x14ac:dyDescent="0.3">
      <c r="A1636">
        <v>17057</v>
      </c>
      <c r="B1636" t="s">
        <v>378</v>
      </c>
      <c r="C1636" t="s">
        <v>388</v>
      </c>
      <c r="D1636" t="s">
        <v>389</v>
      </c>
      <c r="E1636">
        <v>21</v>
      </c>
      <c r="F1636">
        <v>36.67</v>
      </c>
      <c r="G1636">
        <v>63.33</v>
      </c>
      <c r="H1636">
        <v>0</v>
      </c>
      <c r="I1636">
        <v>0</v>
      </c>
      <c r="J1636" s="1">
        <v>45927.787114953702</v>
      </c>
      <c r="K1636" t="s">
        <v>381</v>
      </c>
      <c r="L1636">
        <f>COUNTIF($A$2:A1636,A1636)</f>
        <v>11</v>
      </c>
    </row>
    <row r="1637" spans="1:12" x14ac:dyDescent="0.3">
      <c r="A1637">
        <v>17057</v>
      </c>
      <c r="B1637" t="s">
        <v>378</v>
      </c>
      <c r="C1637" t="s">
        <v>428</v>
      </c>
      <c r="D1637" t="s">
        <v>429</v>
      </c>
      <c r="E1637">
        <v>35</v>
      </c>
      <c r="F1637">
        <v>36.67</v>
      </c>
      <c r="G1637">
        <v>46.67</v>
      </c>
      <c r="H1637">
        <v>16.670000000000002</v>
      </c>
      <c r="I1637">
        <v>0</v>
      </c>
      <c r="J1637" s="1">
        <v>45927.787635173612</v>
      </c>
      <c r="K1637" t="s">
        <v>381</v>
      </c>
      <c r="L1637">
        <f>COUNTIF($A$2:A1637,A1637)</f>
        <v>12</v>
      </c>
    </row>
    <row r="1638" spans="1:12" x14ac:dyDescent="0.3">
      <c r="A1638">
        <v>17057</v>
      </c>
      <c r="B1638" t="s">
        <v>378</v>
      </c>
      <c r="C1638" t="s">
        <v>430</v>
      </c>
      <c r="D1638" t="s">
        <v>431</v>
      </c>
      <c r="E1638">
        <v>52</v>
      </c>
      <c r="F1638">
        <v>36.67</v>
      </c>
      <c r="G1638">
        <v>46.67</v>
      </c>
      <c r="H1638">
        <v>16.670000000000002</v>
      </c>
      <c r="I1638">
        <v>0</v>
      </c>
      <c r="J1638" s="1">
        <v>45927.787679004628</v>
      </c>
      <c r="K1638" t="s">
        <v>381</v>
      </c>
      <c r="L1638">
        <f>COUNTIF($A$2:A1638,A1638)</f>
        <v>13</v>
      </c>
    </row>
    <row r="1639" spans="1:12" x14ac:dyDescent="0.3">
      <c r="A1639">
        <v>17057</v>
      </c>
      <c r="B1639" t="s">
        <v>378</v>
      </c>
      <c r="C1639" t="s">
        <v>390</v>
      </c>
      <c r="D1639" t="s">
        <v>391</v>
      </c>
      <c r="E1639">
        <v>22</v>
      </c>
      <c r="F1639">
        <v>33.33</v>
      </c>
      <c r="G1639">
        <v>66.67</v>
      </c>
      <c r="H1639">
        <v>0</v>
      </c>
      <c r="I1639">
        <v>0</v>
      </c>
      <c r="J1639" s="1">
        <v>45927.787130115743</v>
      </c>
      <c r="K1639" t="s">
        <v>381</v>
      </c>
      <c r="L1639">
        <f>COUNTIF($A$2:A1639,A1639)</f>
        <v>14</v>
      </c>
    </row>
    <row r="1640" spans="1:12" x14ac:dyDescent="0.3">
      <c r="A1640">
        <v>17057</v>
      </c>
      <c r="B1640" t="s">
        <v>378</v>
      </c>
      <c r="C1640" t="s">
        <v>413</v>
      </c>
      <c r="D1640" t="s">
        <v>414</v>
      </c>
      <c r="E1640">
        <v>0</v>
      </c>
      <c r="F1640">
        <v>33.33</v>
      </c>
      <c r="G1640">
        <v>53.33</v>
      </c>
      <c r="H1640">
        <v>13.33</v>
      </c>
      <c r="I1640">
        <v>0</v>
      </c>
      <c r="J1640" s="1">
        <v>45927.787433738427</v>
      </c>
      <c r="K1640" t="s">
        <v>381</v>
      </c>
      <c r="L1640">
        <f>COUNTIF($A$2:A1640,A1640)</f>
        <v>15</v>
      </c>
    </row>
    <row r="1641" spans="1:12" x14ac:dyDescent="0.3">
      <c r="A1641">
        <v>17057</v>
      </c>
      <c r="B1641" t="s">
        <v>378</v>
      </c>
      <c r="C1641" t="s">
        <v>392</v>
      </c>
      <c r="D1641" t="s">
        <v>393</v>
      </c>
      <c r="E1641">
        <v>23</v>
      </c>
      <c r="F1641">
        <v>30</v>
      </c>
      <c r="G1641">
        <v>70</v>
      </c>
      <c r="H1641">
        <v>0</v>
      </c>
      <c r="I1641">
        <v>0</v>
      </c>
      <c r="J1641" s="1">
        <v>45927.78715128472</v>
      </c>
      <c r="K1641" t="s">
        <v>381</v>
      </c>
      <c r="L1641">
        <f>COUNTIF($A$2:A1641,A1641)</f>
        <v>16</v>
      </c>
    </row>
    <row r="1642" spans="1:12" x14ac:dyDescent="0.3">
      <c r="A1642">
        <v>17057</v>
      </c>
      <c r="B1642" t="s">
        <v>378</v>
      </c>
      <c r="C1642" t="s">
        <v>409</v>
      </c>
      <c r="D1642" t="s">
        <v>410</v>
      </c>
      <c r="E1642">
        <v>0</v>
      </c>
      <c r="F1642">
        <v>26.67</v>
      </c>
      <c r="G1642">
        <v>63.33</v>
      </c>
      <c r="H1642">
        <v>10</v>
      </c>
      <c r="I1642">
        <v>0</v>
      </c>
      <c r="J1642" s="1">
        <v>45927.787372025465</v>
      </c>
      <c r="K1642" t="s">
        <v>381</v>
      </c>
      <c r="L1642">
        <f>COUNTIF($A$2:A1642,A1642)</f>
        <v>17</v>
      </c>
    </row>
    <row r="1643" spans="1:12" x14ac:dyDescent="0.3">
      <c r="A1643">
        <v>17057</v>
      </c>
      <c r="B1643" t="s">
        <v>378</v>
      </c>
      <c r="C1643" t="s">
        <v>415</v>
      </c>
      <c r="D1643" t="s">
        <v>415</v>
      </c>
      <c r="E1643">
        <v>38</v>
      </c>
      <c r="F1643">
        <v>26.67</v>
      </c>
      <c r="G1643">
        <v>53.33</v>
      </c>
      <c r="H1643">
        <v>20</v>
      </c>
      <c r="I1643">
        <v>0</v>
      </c>
      <c r="J1643" s="1">
        <v>45927.787453865742</v>
      </c>
      <c r="K1643" t="s">
        <v>381</v>
      </c>
      <c r="L1643">
        <f>COUNTIF($A$2:A1643,A1643)</f>
        <v>18</v>
      </c>
    </row>
    <row r="1644" spans="1:12" x14ac:dyDescent="0.3">
      <c r="A1644">
        <v>17057</v>
      </c>
      <c r="B1644" t="s">
        <v>378</v>
      </c>
      <c r="C1644" t="s">
        <v>411</v>
      </c>
      <c r="D1644" t="s">
        <v>412</v>
      </c>
      <c r="E1644">
        <v>37</v>
      </c>
      <c r="F1644">
        <v>20</v>
      </c>
      <c r="G1644">
        <v>66.67</v>
      </c>
      <c r="H1644">
        <v>13.33</v>
      </c>
      <c r="I1644">
        <v>0</v>
      </c>
      <c r="J1644" s="1">
        <v>45927.787413599537</v>
      </c>
      <c r="K1644" t="s">
        <v>381</v>
      </c>
      <c r="L1644">
        <f>COUNTIF($A$2:A1644,A1644)</f>
        <v>19</v>
      </c>
    </row>
    <row r="1645" spans="1:12" x14ac:dyDescent="0.3">
      <c r="A1645">
        <v>17057</v>
      </c>
      <c r="B1645" t="s">
        <v>378</v>
      </c>
      <c r="C1645" t="s">
        <v>422</v>
      </c>
      <c r="D1645" t="s">
        <v>423</v>
      </c>
      <c r="E1645">
        <v>57</v>
      </c>
      <c r="F1645">
        <v>13.33</v>
      </c>
      <c r="G1645">
        <v>50</v>
      </c>
      <c r="H1645">
        <v>36.67</v>
      </c>
      <c r="I1645">
        <v>0</v>
      </c>
      <c r="J1645" s="1">
        <v>45927.787554988427</v>
      </c>
      <c r="K1645" t="s">
        <v>381</v>
      </c>
      <c r="L1645">
        <f>COUNTIF($A$2:A1645,A1645)</f>
        <v>20</v>
      </c>
    </row>
    <row r="1646" spans="1:12" x14ac:dyDescent="0.3">
      <c r="A1646">
        <v>17057</v>
      </c>
      <c r="B1646" t="s">
        <v>378</v>
      </c>
      <c r="C1646" t="s">
        <v>424</v>
      </c>
      <c r="D1646" t="s">
        <v>425</v>
      </c>
      <c r="E1646">
        <v>57</v>
      </c>
      <c r="F1646">
        <v>13.33</v>
      </c>
      <c r="G1646">
        <v>46.67</v>
      </c>
      <c r="H1646">
        <v>40</v>
      </c>
      <c r="I1646">
        <v>0</v>
      </c>
      <c r="J1646" s="1">
        <v>45927.787575138886</v>
      </c>
      <c r="K1646" t="s">
        <v>381</v>
      </c>
      <c r="L1646">
        <f>COUNTIF($A$2:A1646,A1646)</f>
        <v>21</v>
      </c>
    </row>
    <row r="1647" spans="1:12" x14ac:dyDescent="0.3">
      <c r="A1647">
        <v>17057</v>
      </c>
      <c r="B1647" t="s">
        <v>378</v>
      </c>
      <c r="C1647" t="s">
        <v>426</v>
      </c>
      <c r="D1647" t="s">
        <v>427</v>
      </c>
      <c r="E1647">
        <v>60</v>
      </c>
      <c r="F1647">
        <v>13.33</v>
      </c>
      <c r="G1647">
        <v>43.33</v>
      </c>
      <c r="H1647">
        <v>43.33</v>
      </c>
      <c r="I1647">
        <v>0.01</v>
      </c>
      <c r="J1647" s="1">
        <v>45927.787591215281</v>
      </c>
      <c r="K1647" t="s">
        <v>381</v>
      </c>
      <c r="L1647">
        <f>COUNTIF($A$2:A1647,A1647)</f>
        <v>22</v>
      </c>
    </row>
    <row r="1648" spans="1:12" x14ac:dyDescent="0.3">
      <c r="A1648">
        <v>17057</v>
      </c>
      <c r="B1648" t="s">
        <v>378</v>
      </c>
      <c r="C1648" t="s">
        <v>407</v>
      </c>
      <c r="D1648" t="s">
        <v>408</v>
      </c>
      <c r="E1648">
        <v>48</v>
      </c>
      <c r="F1648">
        <v>10</v>
      </c>
      <c r="G1648">
        <v>66.67</v>
      </c>
      <c r="H1648">
        <v>23.33</v>
      </c>
      <c r="I1648">
        <v>0</v>
      </c>
      <c r="J1648" s="1">
        <v>45927.787349768521</v>
      </c>
      <c r="K1648" t="s">
        <v>381</v>
      </c>
      <c r="L1648">
        <f>COUNTIF($A$2:A1648,A1648)</f>
        <v>23</v>
      </c>
    </row>
    <row r="1649" spans="1:12" x14ac:dyDescent="0.3">
      <c r="A1649">
        <v>17057</v>
      </c>
      <c r="B1649" t="s">
        <v>378</v>
      </c>
      <c r="C1649" t="s">
        <v>416</v>
      </c>
      <c r="D1649" t="s">
        <v>417</v>
      </c>
      <c r="E1649">
        <v>44</v>
      </c>
      <c r="F1649">
        <v>10</v>
      </c>
      <c r="G1649">
        <v>70</v>
      </c>
      <c r="H1649">
        <v>20</v>
      </c>
      <c r="I1649">
        <v>0</v>
      </c>
      <c r="J1649" s="1">
        <v>45927.787473275464</v>
      </c>
      <c r="K1649" t="s">
        <v>381</v>
      </c>
      <c r="L1649">
        <f>COUNTIF($A$2:A1649,A1649)</f>
        <v>24</v>
      </c>
    </row>
    <row r="1650" spans="1:12" x14ac:dyDescent="0.3">
      <c r="A1650">
        <v>17057</v>
      </c>
      <c r="B1650" t="s">
        <v>378</v>
      </c>
      <c r="C1650" t="s">
        <v>404</v>
      </c>
      <c r="D1650" t="s">
        <v>404</v>
      </c>
      <c r="E1650">
        <v>58</v>
      </c>
      <c r="F1650">
        <v>6.67</v>
      </c>
      <c r="G1650">
        <v>60</v>
      </c>
      <c r="H1650">
        <v>33.33</v>
      </c>
      <c r="I1650">
        <v>0</v>
      </c>
      <c r="J1650" s="1">
        <v>45927.787312893517</v>
      </c>
      <c r="K1650" t="s">
        <v>381</v>
      </c>
      <c r="L1650">
        <f>COUNTIF($A$2:A1650,A1650)</f>
        <v>25</v>
      </c>
    </row>
    <row r="1651" spans="1:12" x14ac:dyDescent="0.3">
      <c r="A1651">
        <v>17057</v>
      </c>
      <c r="B1651" t="s">
        <v>378</v>
      </c>
      <c r="C1651" t="s">
        <v>418</v>
      </c>
      <c r="D1651" t="s">
        <v>419</v>
      </c>
      <c r="E1651">
        <v>51</v>
      </c>
      <c r="F1651">
        <v>6.67</v>
      </c>
      <c r="G1651">
        <v>66.67</v>
      </c>
      <c r="H1651">
        <v>26.67</v>
      </c>
      <c r="I1651">
        <v>0</v>
      </c>
      <c r="J1651" s="1">
        <v>45927.787518703706</v>
      </c>
      <c r="K1651" t="s">
        <v>381</v>
      </c>
      <c r="L1651">
        <f>COUNTIF($A$2:A1651,A1651)</f>
        <v>26</v>
      </c>
    </row>
    <row r="1652" spans="1:12" x14ac:dyDescent="0.3">
      <c r="A1652">
        <v>17057</v>
      </c>
      <c r="B1652" t="s">
        <v>378</v>
      </c>
      <c r="C1652" t="s">
        <v>420</v>
      </c>
      <c r="D1652" t="s">
        <v>421</v>
      </c>
      <c r="E1652">
        <v>55</v>
      </c>
      <c r="F1652">
        <v>6.67</v>
      </c>
      <c r="G1652">
        <v>63.33</v>
      </c>
      <c r="H1652">
        <v>30</v>
      </c>
      <c r="I1652">
        <v>0</v>
      </c>
      <c r="J1652" s="1">
        <v>45927.787539074074</v>
      </c>
      <c r="K1652" t="s">
        <v>381</v>
      </c>
      <c r="L1652">
        <f>COUNTIF($A$2:A1652,A1652)</f>
        <v>27</v>
      </c>
    </row>
    <row r="1653" spans="1:12" x14ac:dyDescent="0.3">
      <c r="A1653">
        <v>17057</v>
      </c>
      <c r="B1653" t="s">
        <v>378</v>
      </c>
      <c r="C1653" t="s">
        <v>402</v>
      </c>
      <c r="D1653" t="s">
        <v>403</v>
      </c>
      <c r="E1653">
        <v>0</v>
      </c>
      <c r="F1653">
        <v>3.33</v>
      </c>
      <c r="G1653">
        <v>46.67</v>
      </c>
      <c r="H1653">
        <v>50</v>
      </c>
      <c r="I1653">
        <v>0</v>
      </c>
      <c r="J1653" s="1">
        <v>45927.787295000002</v>
      </c>
      <c r="K1653" t="s">
        <v>381</v>
      </c>
      <c r="L1653">
        <f>COUNTIF($A$2:A1653,A1653)</f>
        <v>28</v>
      </c>
    </row>
    <row r="1654" spans="1:12" x14ac:dyDescent="0.3">
      <c r="A1654">
        <v>17057</v>
      </c>
      <c r="B1654" t="s">
        <v>378</v>
      </c>
      <c r="C1654" t="s">
        <v>405</v>
      </c>
      <c r="D1654" t="s">
        <v>406</v>
      </c>
      <c r="E1654">
        <v>54</v>
      </c>
      <c r="F1654">
        <v>3.33</v>
      </c>
      <c r="G1654">
        <v>70</v>
      </c>
      <c r="H1654">
        <v>26.67</v>
      </c>
      <c r="I1654">
        <v>0</v>
      </c>
      <c r="J1654" s="1">
        <v>45927.787333599539</v>
      </c>
      <c r="K1654" t="s">
        <v>381</v>
      </c>
      <c r="L1654">
        <f>COUNTIF($A$2:A1654,A1654)</f>
        <v>29</v>
      </c>
    </row>
    <row r="1655" spans="1:12" x14ac:dyDescent="0.3">
      <c r="A1655">
        <v>17058</v>
      </c>
      <c r="B1655" t="s">
        <v>378</v>
      </c>
      <c r="C1655" t="s">
        <v>434</v>
      </c>
      <c r="D1655" t="s">
        <v>435</v>
      </c>
      <c r="E1655">
        <v>2</v>
      </c>
      <c r="F1655">
        <v>96.67</v>
      </c>
      <c r="G1655">
        <v>3.33</v>
      </c>
      <c r="H1655">
        <v>0</v>
      </c>
      <c r="I1655">
        <v>0</v>
      </c>
      <c r="J1655" s="1">
        <v>45927.787804930558</v>
      </c>
      <c r="K1655" t="s">
        <v>436</v>
      </c>
      <c r="L1655">
        <f>COUNTIF($A$2:A1655,A1655)</f>
        <v>1</v>
      </c>
    </row>
    <row r="1656" spans="1:12" x14ac:dyDescent="0.3">
      <c r="A1656">
        <v>17058</v>
      </c>
      <c r="B1656" t="s">
        <v>378</v>
      </c>
      <c r="C1656" t="s">
        <v>432</v>
      </c>
      <c r="D1656" t="s">
        <v>433</v>
      </c>
      <c r="E1656">
        <v>4</v>
      </c>
      <c r="F1656">
        <v>96.67</v>
      </c>
      <c r="G1656">
        <v>0</v>
      </c>
      <c r="H1656">
        <v>3.33</v>
      </c>
      <c r="I1656">
        <v>0</v>
      </c>
      <c r="J1656" s="1">
        <v>45927.787845659725</v>
      </c>
      <c r="K1656" t="s">
        <v>436</v>
      </c>
      <c r="L1656">
        <f>COUNTIF($A$2:A1656,A1656)</f>
        <v>2</v>
      </c>
    </row>
    <row r="1657" spans="1:12" x14ac:dyDescent="0.3">
      <c r="A1657">
        <v>17058</v>
      </c>
      <c r="B1657" t="s">
        <v>378</v>
      </c>
      <c r="C1657" t="s">
        <v>428</v>
      </c>
      <c r="D1657" t="s">
        <v>429</v>
      </c>
      <c r="E1657">
        <v>5</v>
      </c>
      <c r="F1657">
        <v>90</v>
      </c>
      <c r="G1657">
        <v>10</v>
      </c>
      <c r="H1657">
        <v>0</v>
      </c>
      <c r="I1657">
        <v>0</v>
      </c>
      <c r="J1657" s="1">
        <v>45927.78788708333</v>
      </c>
      <c r="K1657" t="s">
        <v>436</v>
      </c>
      <c r="L1657">
        <f>COUNTIF($A$2:A1657,A1657)</f>
        <v>3</v>
      </c>
    </row>
    <row r="1658" spans="1:12" x14ac:dyDescent="0.3">
      <c r="A1658">
        <v>17058</v>
      </c>
      <c r="B1658" t="s">
        <v>378</v>
      </c>
      <c r="C1658" t="s">
        <v>430</v>
      </c>
      <c r="D1658" t="s">
        <v>431</v>
      </c>
      <c r="E1658">
        <v>0</v>
      </c>
      <c r="F1658">
        <v>86.67</v>
      </c>
      <c r="G1658">
        <v>13.33</v>
      </c>
      <c r="H1658">
        <v>0</v>
      </c>
      <c r="I1658">
        <v>0</v>
      </c>
      <c r="J1658" s="1">
        <v>45927.787869201391</v>
      </c>
      <c r="K1658" t="s">
        <v>436</v>
      </c>
      <c r="L1658">
        <f>COUNTIF($A$2:A1658,A1658)</f>
        <v>4</v>
      </c>
    </row>
    <row r="1659" spans="1:12" x14ac:dyDescent="0.3">
      <c r="A1659">
        <v>17058</v>
      </c>
      <c r="B1659" t="s">
        <v>378</v>
      </c>
      <c r="C1659" t="s">
        <v>390</v>
      </c>
      <c r="D1659" t="s">
        <v>391</v>
      </c>
      <c r="E1659">
        <v>39</v>
      </c>
      <c r="F1659">
        <v>83.33</v>
      </c>
      <c r="G1659">
        <v>3.33</v>
      </c>
      <c r="H1659">
        <v>13.33</v>
      </c>
      <c r="I1659">
        <v>0.01</v>
      </c>
      <c r="J1659" s="1">
        <v>45927.788369097223</v>
      </c>
      <c r="K1659" t="s">
        <v>436</v>
      </c>
      <c r="L1659">
        <f>COUNTIF($A$2:A1659,A1659)</f>
        <v>5</v>
      </c>
    </row>
    <row r="1660" spans="1:12" x14ac:dyDescent="0.3">
      <c r="A1660">
        <v>17058</v>
      </c>
      <c r="B1660" t="s">
        <v>378</v>
      </c>
      <c r="C1660" t="s">
        <v>379</v>
      </c>
      <c r="D1660" t="s">
        <v>380</v>
      </c>
      <c r="E1660">
        <v>39</v>
      </c>
      <c r="F1660">
        <v>83.33</v>
      </c>
      <c r="G1660">
        <v>3.33</v>
      </c>
      <c r="H1660">
        <v>13.33</v>
      </c>
      <c r="I1660">
        <v>0.01</v>
      </c>
      <c r="J1660" s="1">
        <v>45927.788518414352</v>
      </c>
      <c r="K1660" t="s">
        <v>436</v>
      </c>
      <c r="L1660">
        <f>COUNTIF($A$2:A1660,A1660)</f>
        <v>6</v>
      </c>
    </row>
    <row r="1661" spans="1:12" x14ac:dyDescent="0.3">
      <c r="A1661">
        <v>17058</v>
      </c>
      <c r="B1661" t="s">
        <v>378</v>
      </c>
      <c r="C1661" t="s">
        <v>407</v>
      </c>
      <c r="D1661" t="s">
        <v>408</v>
      </c>
      <c r="E1661">
        <v>30</v>
      </c>
      <c r="F1661">
        <v>80</v>
      </c>
      <c r="G1661">
        <v>10</v>
      </c>
      <c r="H1661">
        <v>10</v>
      </c>
      <c r="I1661">
        <v>0</v>
      </c>
      <c r="J1661" s="1">
        <v>45927.788176793983</v>
      </c>
      <c r="K1661" t="s">
        <v>436</v>
      </c>
      <c r="L1661">
        <f>COUNTIF($A$2:A1661,A1661)</f>
        <v>7</v>
      </c>
    </row>
    <row r="1662" spans="1:12" x14ac:dyDescent="0.3">
      <c r="A1662">
        <v>17058</v>
      </c>
      <c r="B1662" t="s">
        <v>378</v>
      </c>
      <c r="C1662" t="s">
        <v>413</v>
      </c>
      <c r="D1662" t="s">
        <v>414</v>
      </c>
      <c r="E1662">
        <v>29</v>
      </c>
      <c r="F1662">
        <v>73.33</v>
      </c>
      <c r="G1662">
        <v>16.670000000000002</v>
      </c>
      <c r="H1662">
        <v>10</v>
      </c>
      <c r="I1662">
        <v>0</v>
      </c>
      <c r="J1662" s="1">
        <v>45927.78809962963</v>
      </c>
      <c r="K1662" t="s">
        <v>436</v>
      </c>
      <c r="L1662">
        <f>COUNTIF($A$2:A1662,A1662)</f>
        <v>8</v>
      </c>
    </row>
    <row r="1663" spans="1:12" x14ac:dyDescent="0.3">
      <c r="A1663">
        <v>17058</v>
      </c>
      <c r="B1663" t="s">
        <v>378</v>
      </c>
      <c r="C1663" t="s">
        <v>409</v>
      </c>
      <c r="D1663" t="s">
        <v>410</v>
      </c>
      <c r="E1663">
        <v>24</v>
      </c>
      <c r="F1663">
        <v>70</v>
      </c>
      <c r="G1663">
        <v>23.33</v>
      </c>
      <c r="H1663">
        <v>6.67</v>
      </c>
      <c r="I1663">
        <v>0</v>
      </c>
      <c r="J1663" s="1">
        <v>45927.788159004631</v>
      </c>
      <c r="K1663" t="s">
        <v>436</v>
      </c>
      <c r="L1663">
        <f>COUNTIF($A$2:A1663,A1663)</f>
        <v>9</v>
      </c>
    </row>
    <row r="1664" spans="1:12" x14ac:dyDescent="0.3">
      <c r="A1664">
        <v>17058</v>
      </c>
      <c r="B1664" t="s">
        <v>378</v>
      </c>
      <c r="C1664" t="s">
        <v>405</v>
      </c>
      <c r="D1664" t="s">
        <v>406</v>
      </c>
      <c r="E1664">
        <v>36</v>
      </c>
      <c r="F1664">
        <v>70</v>
      </c>
      <c r="G1664">
        <v>20</v>
      </c>
      <c r="H1664">
        <v>10</v>
      </c>
      <c r="I1664">
        <v>0</v>
      </c>
      <c r="J1664" s="1">
        <v>45927.788195520836</v>
      </c>
      <c r="K1664" t="s">
        <v>436</v>
      </c>
      <c r="L1664">
        <f>COUNTIF($A$2:A1664,A1664)</f>
        <v>10</v>
      </c>
    </row>
    <row r="1665" spans="1:12" x14ac:dyDescent="0.3">
      <c r="A1665">
        <v>17058</v>
      </c>
      <c r="B1665" t="s">
        <v>378</v>
      </c>
      <c r="C1665" t="s">
        <v>411</v>
      </c>
      <c r="D1665" t="s">
        <v>412</v>
      </c>
      <c r="E1665">
        <v>29</v>
      </c>
      <c r="F1665">
        <v>66.67</v>
      </c>
      <c r="G1665">
        <v>23.33</v>
      </c>
      <c r="H1665">
        <v>10</v>
      </c>
      <c r="I1665">
        <v>0</v>
      </c>
      <c r="J1665" s="1">
        <v>45927.788115648145</v>
      </c>
      <c r="K1665" t="s">
        <v>436</v>
      </c>
      <c r="L1665">
        <f>COUNTIF($A$2:A1665,A1665)</f>
        <v>11</v>
      </c>
    </row>
    <row r="1666" spans="1:12" x14ac:dyDescent="0.3">
      <c r="A1666">
        <v>17058</v>
      </c>
      <c r="B1666" t="s">
        <v>378</v>
      </c>
      <c r="C1666" t="s">
        <v>404</v>
      </c>
      <c r="D1666" t="s">
        <v>404</v>
      </c>
      <c r="E1666">
        <v>35</v>
      </c>
      <c r="F1666">
        <v>60</v>
      </c>
      <c r="G1666">
        <v>30</v>
      </c>
      <c r="H1666">
        <v>10</v>
      </c>
      <c r="I1666">
        <v>0</v>
      </c>
      <c r="J1666" s="1">
        <v>45927.788214594904</v>
      </c>
      <c r="K1666" t="s">
        <v>436</v>
      </c>
      <c r="L1666">
        <f>COUNTIF($A$2:A1666,A1666)</f>
        <v>12</v>
      </c>
    </row>
    <row r="1667" spans="1:12" x14ac:dyDescent="0.3">
      <c r="A1667">
        <v>17058</v>
      </c>
      <c r="B1667" t="s">
        <v>378</v>
      </c>
      <c r="C1667" t="s">
        <v>396</v>
      </c>
      <c r="D1667" t="s">
        <v>397</v>
      </c>
      <c r="E1667">
        <v>41</v>
      </c>
      <c r="F1667">
        <v>53.33</v>
      </c>
      <c r="G1667">
        <v>36.67</v>
      </c>
      <c r="H1667">
        <v>10</v>
      </c>
      <c r="I1667">
        <v>0</v>
      </c>
      <c r="J1667" s="1">
        <v>45927.788287013886</v>
      </c>
      <c r="K1667" t="s">
        <v>436</v>
      </c>
      <c r="L1667">
        <f>COUNTIF($A$2:A1667,A1667)</f>
        <v>13</v>
      </c>
    </row>
    <row r="1668" spans="1:12" x14ac:dyDescent="0.3">
      <c r="A1668">
        <v>17058</v>
      </c>
      <c r="B1668" t="s">
        <v>378</v>
      </c>
      <c r="C1668" t="s">
        <v>394</v>
      </c>
      <c r="D1668" t="s">
        <v>395</v>
      </c>
      <c r="E1668">
        <v>53</v>
      </c>
      <c r="F1668">
        <v>53.33</v>
      </c>
      <c r="G1668">
        <v>33.33</v>
      </c>
      <c r="H1668">
        <v>13.33</v>
      </c>
      <c r="I1668">
        <v>0.01</v>
      </c>
      <c r="J1668" s="1">
        <v>45927.788307499999</v>
      </c>
      <c r="K1668" t="s">
        <v>436</v>
      </c>
      <c r="L1668">
        <f>COUNTIF($A$2:A1668,A1668)</f>
        <v>14</v>
      </c>
    </row>
    <row r="1669" spans="1:12" x14ac:dyDescent="0.3">
      <c r="A1669">
        <v>17058</v>
      </c>
      <c r="B1669" t="s">
        <v>378</v>
      </c>
      <c r="C1669" t="s">
        <v>398</v>
      </c>
      <c r="D1669" t="s">
        <v>399</v>
      </c>
      <c r="E1669">
        <v>43</v>
      </c>
      <c r="F1669">
        <v>50</v>
      </c>
      <c r="G1669">
        <v>40</v>
      </c>
      <c r="H1669">
        <v>10</v>
      </c>
      <c r="I1669">
        <v>0</v>
      </c>
      <c r="J1669" s="1">
        <v>45927.788269722223</v>
      </c>
      <c r="K1669" t="s">
        <v>436</v>
      </c>
      <c r="L1669">
        <f>COUNTIF($A$2:A1669,A1669)</f>
        <v>15</v>
      </c>
    </row>
    <row r="1670" spans="1:12" x14ac:dyDescent="0.3">
      <c r="A1670">
        <v>17058</v>
      </c>
      <c r="B1670" t="s">
        <v>378</v>
      </c>
      <c r="C1670" t="s">
        <v>386</v>
      </c>
      <c r="D1670" t="s">
        <v>387</v>
      </c>
      <c r="E1670">
        <v>53</v>
      </c>
      <c r="F1670">
        <v>46.67</v>
      </c>
      <c r="G1670">
        <v>40</v>
      </c>
      <c r="H1670">
        <v>13.33</v>
      </c>
      <c r="I1670">
        <v>0</v>
      </c>
      <c r="J1670" s="1">
        <v>45927.788410347224</v>
      </c>
      <c r="K1670" t="s">
        <v>436</v>
      </c>
      <c r="L1670">
        <f>COUNTIF($A$2:A1670,A1670)</f>
        <v>16</v>
      </c>
    </row>
    <row r="1671" spans="1:12" x14ac:dyDescent="0.3">
      <c r="A1671">
        <v>17058</v>
      </c>
      <c r="B1671" t="s">
        <v>378</v>
      </c>
      <c r="C1671" t="s">
        <v>426</v>
      </c>
      <c r="D1671" t="s">
        <v>427</v>
      </c>
      <c r="E1671">
        <v>17</v>
      </c>
      <c r="F1671">
        <v>43.33</v>
      </c>
      <c r="G1671">
        <v>56.67</v>
      </c>
      <c r="H1671">
        <v>0</v>
      </c>
      <c r="I1671">
        <v>0</v>
      </c>
      <c r="J1671" s="1">
        <v>45927.787903969911</v>
      </c>
      <c r="K1671" t="s">
        <v>436</v>
      </c>
      <c r="L1671">
        <f>COUNTIF($A$2:A1671,A1671)</f>
        <v>17</v>
      </c>
    </row>
    <row r="1672" spans="1:12" x14ac:dyDescent="0.3">
      <c r="A1672">
        <v>17058</v>
      </c>
      <c r="B1672" t="s">
        <v>378</v>
      </c>
      <c r="C1672" t="s">
        <v>424</v>
      </c>
      <c r="D1672" t="s">
        <v>425</v>
      </c>
      <c r="E1672">
        <v>21</v>
      </c>
      <c r="F1672">
        <v>33.33</v>
      </c>
      <c r="G1672">
        <v>66.67</v>
      </c>
      <c r="H1672">
        <v>0</v>
      </c>
      <c r="I1672">
        <v>0</v>
      </c>
      <c r="J1672" s="1">
        <v>45927.7879234375</v>
      </c>
      <c r="K1672" t="s">
        <v>436</v>
      </c>
      <c r="L1672">
        <f>COUNTIF($A$2:A1672,A1672)</f>
        <v>18</v>
      </c>
    </row>
    <row r="1673" spans="1:12" x14ac:dyDescent="0.3">
      <c r="A1673">
        <v>17058</v>
      </c>
      <c r="B1673" t="s">
        <v>378</v>
      </c>
      <c r="C1673" t="s">
        <v>402</v>
      </c>
      <c r="D1673" t="s">
        <v>403</v>
      </c>
      <c r="E1673">
        <v>46</v>
      </c>
      <c r="F1673">
        <v>33.33</v>
      </c>
      <c r="G1673">
        <v>56.67</v>
      </c>
      <c r="H1673">
        <v>10</v>
      </c>
      <c r="I1673">
        <v>0</v>
      </c>
      <c r="J1673" s="1">
        <v>45927.788231319442</v>
      </c>
      <c r="K1673" t="s">
        <v>436</v>
      </c>
      <c r="L1673">
        <f>COUNTIF($A$2:A1673,A1673)</f>
        <v>19</v>
      </c>
    </row>
    <row r="1674" spans="1:12" x14ac:dyDescent="0.3">
      <c r="A1674">
        <v>17058</v>
      </c>
      <c r="B1674" t="s">
        <v>378</v>
      </c>
      <c r="C1674" t="s">
        <v>400</v>
      </c>
      <c r="D1674" t="s">
        <v>401</v>
      </c>
      <c r="E1674">
        <v>49</v>
      </c>
      <c r="F1674">
        <v>20</v>
      </c>
      <c r="G1674">
        <v>70</v>
      </c>
      <c r="H1674">
        <v>10</v>
      </c>
      <c r="I1674">
        <v>0</v>
      </c>
      <c r="J1674" s="1">
        <v>45927.788251574071</v>
      </c>
      <c r="K1674" t="s">
        <v>436</v>
      </c>
      <c r="L1674">
        <f>COUNTIF($A$2:A1674,A1674)</f>
        <v>20</v>
      </c>
    </row>
    <row r="1675" spans="1:12" x14ac:dyDescent="0.3">
      <c r="A1675">
        <v>17058</v>
      </c>
      <c r="B1675" t="s">
        <v>378</v>
      </c>
      <c r="C1675" t="s">
        <v>382</v>
      </c>
      <c r="D1675" t="s">
        <v>383</v>
      </c>
      <c r="E1675">
        <v>61</v>
      </c>
      <c r="F1675">
        <v>20</v>
      </c>
      <c r="G1675">
        <v>66.67</v>
      </c>
      <c r="H1675">
        <v>13.33</v>
      </c>
      <c r="I1675">
        <v>0</v>
      </c>
      <c r="J1675" s="1">
        <v>45927.788500636576</v>
      </c>
      <c r="K1675" t="s">
        <v>436</v>
      </c>
      <c r="L1675">
        <f>COUNTIF($A$2:A1675,A1675)</f>
        <v>21</v>
      </c>
    </row>
    <row r="1676" spans="1:12" x14ac:dyDescent="0.3">
      <c r="A1676">
        <v>17058</v>
      </c>
      <c r="B1676" t="s">
        <v>378</v>
      </c>
      <c r="C1676" t="s">
        <v>422</v>
      </c>
      <c r="D1676" t="s">
        <v>423</v>
      </c>
      <c r="E1676">
        <v>29</v>
      </c>
      <c r="F1676">
        <v>16.670000000000002</v>
      </c>
      <c r="G1676">
        <v>80</v>
      </c>
      <c r="H1676">
        <v>3.33</v>
      </c>
      <c r="I1676">
        <v>0</v>
      </c>
      <c r="J1676" s="1">
        <v>45927.787964861112</v>
      </c>
      <c r="K1676" t="s">
        <v>436</v>
      </c>
      <c r="L1676">
        <f>COUNTIF($A$2:A1676,A1676)</f>
        <v>22</v>
      </c>
    </row>
    <row r="1677" spans="1:12" x14ac:dyDescent="0.3">
      <c r="A1677">
        <v>17058</v>
      </c>
      <c r="B1677" t="s">
        <v>378</v>
      </c>
      <c r="C1677" t="s">
        <v>392</v>
      </c>
      <c r="D1677" t="s">
        <v>393</v>
      </c>
      <c r="E1677">
        <v>62</v>
      </c>
      <c r="F1677">
        <v>16.670000000000002</v>
      </c>
      <c r="G1677">
        <v>70</v>
      </c>
      <c r="H1677">
        <v>13.33</v>
      </c>
      <c r="I1677">
        <v>0</v>
      </c>
      <c r="J1677" s="1">
        <v>45927.788352233794</v>
      </c>
      <c r="K1677" t="s">
        <v>436</v>
      </c>
      <c r="L1677">
        <f>COUNTIF($A$2:A1677,A1677)</f>
        <v>23</v>
      </c>
    </row>
    <row r="1678" spans="1:12" x14ac:dyDescent="0.3">
      <c r="A1678">
        <v>17058</v>
      </c>
      <c r="B1678" t="s">
        <v>378</v>
      </c>
      <c r="C1678" t="s">
        <v>420</v>
      </c>
      <c r="D1678" t="s">
        <v>421</v>
      </c>
      <c r="E1678">
        <v>42</v>
      </c>
      <c r="F1678">
        <v>13.33</v>
      </c>
      <c r="G1678">
        <v>70</v>
      </c>
      <c r="H1678">
        <v>16.670000000000002</v>
      </c>
      <c r="I1678">
        <v>0</v>
      </c>
      <c r="J1678" s="1">
        <v>45927.787986354168</v>
      </c>
      <c r="K1678" t="s">
        <v>436</v>
      </c>
      <c r="L1678">
        <f>COUNTIF($A$2:A1678,A1678)</f>
        <v>24</v>
      </c>
    </row>
    <row r="1679" spans="1:12" x14ac:dyDescent="0.3">
      <c r="A1679">
        <v>17058</v>
      </c>
      <c r="B1679" t="s">
        <v>378</v>
      </c>
      <c r="C1679" t="s">
        <v>384</v>
      </c>
      <c r="D1679" t="s">
        <v>385</v>
      </c>
      <c r="E1679">
        <v>62</v>
      </c>
      <c r="F1679">
        <v>10</v>
      </c>
      <c r="G1679">
        <v>76.67</v>
      </c>
      <c r="H1679">
        <v>13.33</v>
      </c>
      <c r="I1679">
        <v>0</v>
      </c>
      <c r="J1679" s="1">
        <v>45927.78845482639</v>
      </c>
      <c r="K1679" t="s">
        <v>436</v>
      </c>
      <c r="L1679">
        <f>COUNTIF($A$2:A1679,A1679)</f>
        <v>25</v>
      </c>
    </row>
    <row r="1680" spans="1:12" x14ac:dyDescent="0.3">
      <c r="A1680">
        <v>17058</v>
      </c>
      <c r="B1680" t="s">
        <v>378</v>
      </c>
      <c r="C1680" t="s">
        <v>418</v>
      </c>
      <c r="D1680" t="s">
        <v>419</v>
      </c>
      <c r="E1680">
        <v>54</v>
      </c>
      <c r="F1680">
        <v>6.67</v>
      </c>
      <c r="G1680">
        <v>80</v>
      </c>
      <c r="H1680">
        <v>13.33</v>
      </c>
      <c r="I1680">
        <v>0</v>
      </c>
      <c r="J1680" s="1">
        <v>45927.788025879629</v>
      </c>
      <c r="K1680" t="s">
        <v>436</v>
      </c>
      <c r="L1680">
        <f>COUNTIF($A$2:A1680,A1680)</f>
        <v>26</v>
      </c>
    </row>
    <row r="1681" spans="1:12" x14ac:dyDescent="0.3">
      <c r="A1681">
        <v>17058</v>
      </c>
      <c r="B1681" t="s">
        <v>378</v>
      </c>
      <c r="C1681" t="s">
        <v>416</v>
      </c>
      <c r="D1681" t="s">
        <v>417</v>
      </c>
      <c r="E1681">
        <v>57</v>
      </c>
      <c r="F1681">
        <v>6.67</v>
      </c>
      <c r="G1681">
        <v>80</v>
      </c>
      <c r="H1681">
        <v>13.33</v>
      </c>
      <c r="I1681">
        <v>0</v>
      </c>
      <c r="J1681" s="1">
        <v>45927.788067268521</v>
      </c>
      <c r="K1681" t="s">
        <v>436</v>
      </c>
      <c r="L1681">
        <f>COUNTIF($A$2:A1681,A1681)</f>
        <v>27</v>
      </c>
    </row>
    <row r="1682" spans="1:12" x14ac:dyDescent="0.3">
      <c r="A1682">
        <v>17058</v>
      </c>
      <c r="B1682" t="s">
        <v>378</v>
      </c>
      <c r="C1682" t="s">
        <v>415</v>
      </c>
      <c r="D1682" t="s">
        <v>415</v>
      </c>
      <c r="E1682">
        <v>53</v>
      </c>
      <c r="F1682">
        <v>6.67</v>
      </c>
      <c r="G1682">
        <v>83.33</v>
      </c>
      <c r="H1682">
        <v>10</v>
      </c>
      <c r="I1682">
        <v>0</v>
      </c>
      <c r="J1682" s="1">
        <v>45927.788083043983</v>
      </c>
      <c r="K1682" t="s">
        <v>436</v>
      </c>
      <c r="L1682">
        <f>COUNTIF($A$2:A1682,A1682)</f>
        <v>28</v>
      </c>
    </row>
    <row r="1683" spans="1:12" x14ac:dyDescent="0.3">
      <c r="A1683">
        <v>20665</v>
      </c>
      <c r="B1683" t="s">
        <v>83</v>
      </c>
      <c r="C1683" t="s">
        <v>40</v>
      </c>
      <c r="D1683" t="s">
        <v>41</v>
      </c>
      <c r="E1683">
        <v>1</v>
      </c>
      <c r="F1683">
        <v>100</v>
      </c>
      <c r="G1683">
        <v>0</v>
      </c>
      <c r="H1683">
        <v>0</v>
      </c>
      <c r="I1683">
        <v>0</v>
      </c>
      <c r="J1683" s="1">
        <v>45927.750198043985</v>
      </c>
      <c r="K1683" t="s">
        <v>84</v>
      </c>
      <c r="L1683">
        <f>COUNTIF($A$2:A1683,A1683)</f>
        <v>1</v>
      </c>
    </row>
    <row r="1684" spans="1:12" x14ac:dyDescent="0.3">
      <c r="A1684">
        <v>20665</v>
      </c>
      <c r="B1684" t="s">
        <v>83</v>
      </c>
      <c r="C1684" t="s">
        <v>43</v>
      </c>
      <c r="D1684" t="s">
        <v>44</v>
      </c>
      <c r="E1684">
        <v>3</v>
      </c>
      <c r="F1684">
        <v>100</v>
      </c>
      <c r="G1684">
        <v>0</v>
      </c>
      <c r="H1684">
        <v>0</v>
      </c>
      <c r="I1684">
        <v>0</v>
      </c>
      <c r="J1684" s="1">
        <v>45927.750216840279</v>
      </c>
      <c r="K1684" t="s">
        <v>84</v>
      </c>
      <c r="L1684">
        <f>COUNTIF($A$2:A1684,A1684)</f>
        <v>2</v>
      </c>
    </row>
    <row r="1685" spans="1:12" x14ac:dyDescent="0.3">
      <c r="A1685">
        <v>20665</v>
      </c>
      <c r="B1685" t="s">
        <v>83</v>
      </c>
      <c r="C1685" t="s">
        <v>80</v>
      </c>
      <c r="D1685" t="s">
        <v>81</v>
      </c>
      <c r="E1685">
        <v>0</v>
      </c>
      <c r="F1685">
        <v>96.15</v>
      </c>
      <c r="G1685">
        <v>0</v>
      </c>
      <c r="H1685">
        <v>3.85</v>
      </c>
      <c r="I1685">
        <v>0</v>
      </c>
      <c r="J1685" s="1">
        <v>45927.750479444447</v>
      </c>
      <c r="K1685" t="s">
        <v>84</v>
      </c>
      <c r="L1685">
        <f>COUNTIF($A$2:A1685,A1685)</f>
        <v>3</v>
      </c>
    </row>
    <row r="1686" spans="1:12" x14ac:dyDescent="0.3">
      <c r="A1686">
        <v>20665</v>
      </c>
      <c r="B1686" t="s">
        <v>83</v>
      </c>
      <c r="C1686" t="s">
        <v>49</v>
      </c>
      <c r="D1686" t="s">
        <v>50</v>
      </c>
      <c r="E1686">
        <v>7</v>
      </c>
      <c r="F1686">
        <v>92.31</v>
      </c>
      <c r="G1686">
        <v>7.69</v>
      </c>
      <c r="H1686">
        <v>0</v>
      </c>
      <c r="I1686">
        <v>0</v>
      </c>
      <c r="J1686" s="1">
        <v>45927.750261643516</v>
      </c>
      <c r="K1686" t="s">
        <v>84</v>
      </c>
      <c r="L1686">
        <f>COUNTIF($A$2:A1686,A1686)</f>
        <v>4</v>
      </c>
    </row>
    <row r="1687" spans="1:12" x14ac:dyDescent="0.3">
      <c r="A1687">
        <v>20665</v>
      </c>
      <c r="B1687" t="s">
        <v>83</v>
      </c>
      <c r="C1687" t="s">
        <v>53</v>
      </c>
      <c r="D1687" t="s">
        <v>54</v>
      </c>
      <c r="E1687">
        <v>7</v>
      </c>
      <c r="F1687">
        <v>92.31</v>
      </c>
      <c r="G1687">
        <v>7.69</v>
      </c>
      <c r="H1687">
        <v>0</v>
      </c>
      <c r="I1687">
        <v>0</v>
      </c>
      <c r="J1687" s="1">
        <v>45927.750306203707</v>
      </c>
      <c r="K1687" t="s">
        <v>84</v>
      </c>
      <c r="L1687">
        <f>COUNTIF($A$2:A1687,A1687)</f>
        <v>5</v>
      </c>
    </row>
    <row r="1688" spans="1:12" x14ac:dyDescent="0.3">
      <c r="A1688">
        <v>20665</v>
      </c>
      <c r="B1688" t="s">
        <v>83</v>
      </c>
      <c r="C1688" t="s">
        <v>57</v>
      </c>
      <c r="D1688" t="s">
        <v>58</v>
      </c>
      <c r="E1688">
        <v>11</v>
      </c>
      <c r="F1688">
        <v>88.46</v>
      </c>
      <c r="G1688">
        <v>7.69</v>
      </c>
      <c r="H1688">
        <v>3.85</v>
      </c>
      <c r="I1688">
        <v>0</v>
      </c>
      <c r="J1688" s="1">
        <v>45927.750351168979</v>
      </c>
      <c r="K1688" t="s">
        <v>84</v>
      </c>
      <c r="L1688">
        <f>COUNTIF($A$2:A1688,A1688)</f>
        <v>6</v>
      </c>
    </row>
    <row r="1689" spans="1:12" x14ac:dyDescent="0.3">
      <c r="A1689">
        <v>20665</v>
      </c>
      <c r="B1689" t="s">
        <v>83</v>
      </c>
      <c r="C1689" t="s">
        <v>63</v>
      </c>
      <c r="D1689" t="s">
        <v>64</v>
      </c>
      <c r="E1689">
        <v>15</v>
      </c>
      <c r="F1689">
        <v>80.77</v>
      </c>
      <c r="G1689">
        <v>15.38</v>
      </c>
      <c r="H1689">
        <v>3.85</v>
      </c>
      <c r="I1689">
        <v>0</v>
      </c>
      <c r="J1689" s="1">
        <v>45927.750395185183</v>
      </c>
      <c r="K1689" t="s">
        <v>84</v>
      </c>
      <c r="L1689">
        <f>COUNTIF($A$2:A1689,A1689)</f>
        <v>7</v>
      </c>
    </row>
    <row r="1690" spans="1:12" x14ac:dyDescent="0.3">
      <c r="A1690">
        <v>20665</v>
      </c>
      <c r="B1690" t="s">
        <v>83</v>
      </c>
      <c r="C1690" t="s">
        <v>74</v>
      </c>
      <c r="D1690" t="s">
        <v>75</v>
      </c>
      <c r="E1690">
        <v>17</v>
      </c>
      <c r="F1690">
        <v>61.54</v>
      </c>
      <c r="G1690">
        <v>34.619999999999997</v>
      </c>
      <c r="H1690">
        <v>3.85</v>
      </c>
      <c r="I1690">
        <v>0</v>
      </c>
      <c r="J1690" s="1">
        <v>45927.750439398151</v>
      </c>
      <c r="K1690" t="s">
        <v>84</v>
      </c>
      <c r="L1690">
        <f>COUNTIF($A$2:A1690,A1690)</f>
        <v>8</v>
      </c>
    </row>
    <row r="1691" spans="1:12" x14ac:dyDescent="0.3">
      <c r="A1691">
        <v>20666</v>
      </c>
      <c r="B1691" t="s">
        <v>83</v>
      </c>
      <c r="C1691" t="s">
        <v>80</v>
      </c>
      <c r="D1691" t="s">
        <v>81</v>
      </c>
      <c r="E1691">
        <v>0</v>
      </c>
      <c r="F1691">
        <v>100</v>
      </c>
      <c r="G1691">
        <v>0</v>
      </c>
      <c r="H1691">
        <v>0</v>
      </c>
      <c r="I1691">
        <v>0</v>
      </c>
      <c r="J1691" s="1">
        <v>45927.750523553237</v>
      </c>
      <c r="K1691" t="s">
        <v>85</v>
      </c>
      <c r="L1691">
        <f>COUNTIF($A$2:A1691,A1691)</f>
        <v>1</v>
      </c>
    </row>
    <row r="1692" spans="1:12" x14ac:dyDescent="0.3">
      <c r="A1692">
        <v>20666</v>
      </c>
      <c r="B1692" t="s">
        <v>83</v>
      </c>
      <c r="C1692" t="s">
        <v>74</v>
      </c>
      <c r="D1692" t="s">
        <v>75</v>
      </c>
      <c r="E1692">
        <v>0</v>
      </c>
      <c r="F1692">
        <v>100</v>
      </c>
      <c r="G1692">
        <v>0</v>
      </c>
      <c r="H1692">
        <v>0</v>
      </c>
      <c r="I1692">
        <v>0</v>
      </c>
      <c r="J1692" s="1">
        <v>45927.750551921294</v>
      </c>
      <c r="K1692" t="s">
        <v>85</v>
      </c>
      <c r="L1692">
        <f>COUNTIF($A$2:A1692,A1692)</f>
        <v>2</v>
      </c>
    </row>
    <row r="1693" spans="1:12" x14ac:dyDescent="0.3">
      <c r="A1693">
        <v>20666</v>
      </c>
      <c r="B1693" t="s">
        <v>83</v>
      </c>
      <c r="C1693" t="s">
        <v>63</v>
      </c>
      <c r="D1693" t="s">
        <v>64</v>
      </c>
      <c r="E1693">
        <v>2</v>
      </c>
      <c r="F1693">
        <v>100</v>
      </c>
      <c r="G1693">
        <v>0</v>
      </c>
      <c r="H1693">
        <v>0</v>
      </c>
      <c r="I1693">
        <v>0</v>
      </c>
      <c r="J1693" s="1">
        <v>45927.75057423611</v>
      </c>
      <c r="K1693" t="s">
        <v>85</v>
      </c>
      <c r="L1693">
        <f>COUNTIF($A$2:A1693,A1693)</f>
        <v>3</v>
      </c>
    </row>
    <row r="1694" spans="1:12" x14ac:dyDescent="0.3">
      <c r="A1694">
        <v>20666</v>
      </c>
      <c r="B1694" t="s">
        <v>83</v>
      </c>
      <c r="C1694" t="s">
        <v>53</v>
      </c>
      <c r="D1694" t="s">
        <v>54</v>
      </c>
      <c r="E1694">
        <v>3</v>
      </c>
      <c r="F1694">
        <v>100</v>
      </c>
      <c r="G1694">
        <v>0</v>
      </c>
      <c r="H1694">
        <v>0</v>
      </c>
      <c r="I1694">
        <v>0</v>
      </c>
      <c r="J1694" s="1">
        <v>45927.75064395833</v>
      </c>
      <c r="K1694" t="s">
        <v>85</v>
      </c>
      <c r="L1694">
        <f>COUNTIF($A$2:A1694,A1694)</f>
        <v>4</v>
      </c>
    </row>
    <row r="1695" spans="1:12" x14ac:dyDescent="0.3">
      <c r="A1695">
        <v>20666</v>
      </c>
      <c r="B1695" t="s">
        <v>83</v>
      </c>
      <c r="C1695" t="s">
        <v>57</v>
      </c>
      <c r="D1695" t="s">
        <v>58</v>
      </c>
      <c r="E1695">
        <v>9</v>
      </c>
      <c r="F1695">
        <v>96.15</v>
      </c>
      <c r="G1695">
        <v>3.85</v>
      </c>
      <c r="H1695">
        <v>0</v>
      </c>
      <c r="I1695">
        <v>0</v>
      </c>
      <c r="J1695" s="1">
        <v>45927.750621423613</v>
      </c>
      <c r="K1695" t="s">
        <v>85</v>
      </c>
      <c r="L1695">
        <f>COUNTIF($A$2:A1695,A1695)</f>
        <v>5</v>
      </c>
    </row>
    <row r="1696" spans="1:12" x14ac:dyDescent="0.3">
      <c r="A1696">
        <v>20666</v>
      </c>
      <c r="B1696" t="s">
        <v>83</v>
      </c>
      <c r="C1696" t="s">
        <v>49</v>
      </c>
      <c r="D1696" t="s">
        <v>50</v>
      </c>
      <c r="E1696">
        <v>10</v>
      </c>
      <c r="F1696">
        <v>92.31</v>
      </c>
      <c r="G1696">
        <v>7.69</v>
      </c>
      <c r="H1696">
        <v>0</v>
      </c>
      <c r="I1696">
        <v>0</v>
      </c>
      <c r="J1696" s="1">
        <v>45927.750688773151</v>
      </c>
      <c r="K1696" t="s">
        <v>85</v>
      </c>
      <c r="L1696">
        <f>COUNTIF($A$2:A1696,A1696)</f>
        <v>6</v>
      </c>
    </row>
    <row r="1697" spans="1:12" x14ac:dyDescent="0.3">
      <c r="A1697">
        <v>20666</v>
      </c>
      <c r="B1697" t="s">
        <v>83</v>
      </c>
      <c r="C1697" t="s">
        <v>40</v>
      </c>
      <c r="D1697" t="s">
        <v>41</v>
      </c>
      <c r="E1697">
        <v>4</v>
      </c>
      <c r="F1697">
        <v>92.31</v>
      </c>
      <c r="G1697">
        <v>7.69</v>
      </c>
      <c r="H1697">
        <v>0</v>
      </c>
      <c r="I1697">
        <v>0</v>
      </c>
      <c r="J1697" s="1">
        <v>45927.750753831016</v>
      </c>
      <c r="K1697" t="s">
        <v>85</v>
      </c>
      <c r="L1697">
        <f>COUNTIF($A$2:A1697,A1697)</f>
        <v>7</v>
      </c>
    </row>
    <row r="1698" spans="1:12" x14ac:dyDescent="0.3">
      <c r="A1698">
        <v>20666</v>
      </c>
      <c r="B1698" t="s">
        <v>83</v>
      </c>
      <c r="C1698" t="s">
        <v>43</v>
      </c>
      <c r="D1698" t="s">
        <v>44</v>
      </c>
      <c r="E1698">
        <v>20</v>
      </c>
      <c r="F1698">
        <v>19.23</v>
      </c>
      <c r="G1698">
        <v>80.77</v>
      </c>
      <c r="H1698">
        <v>0</v>
      </c>
      <c r="I1698">
        <v>0</v>
      </c>
      <c r="J1698" s="1">
        <v>45927.750709097221</v>
      </c>
      <c r="K1698" t="s">
        <v>85</v>
      </c>
      <c r="L1698">
        <f>COUNTIF($A$2:A1698,A1698)</f>
        <v>8</v>
      </c>
    </row>
    <row r="1699" spans="1:12" x14ac:dyDescent="0.3">
      <c r="A1699">
        <v>22221</v>
      </c>
      <c r="B1699" t="s">
        <v>887</v>
      </c>
      <c r="C1699" t="s">
        <v>379</v>
      </c>
      <c r="D1699" t="s">
        <v>380</v>
      </c>
      <c r="E1699">
        <v>1</v>
      </c>
      <c r="F1699">
        <v>96.67</v>
      </c>
      <c r="G1699">
        <v>3.33</v>
      </c>
      <c r="H1699">
        <v>0</v>
      </c>
      <c r="I1699">
        <v>0</v>
      </c>
      <c r="J1699" s="1">
        <v>45928.08417037037</v>
      </c>
      <c r="K1699" t="s">
        <v>888</v>
      </c>
      <c r="L1699">
        <f>COUNTIF($A$2:A1699,A1699)</f>
        <v>1</v>
      </c>
    </row>
    <row r="1700" spans="1:12" x14ac:dyDescent="0.3">
      <c r="A1700">
        <v>22221</v>
      </c>
      <c r="B1700" t="s">
        <v>887</v>
      </c>
      <c r="C1700" t="s">
        <v>102</v>
      </c>
      <c r="D1700" t="s">
        <v>103</v>
      </c>
      <c r="E1700">
        <v>9</v>
      </c>
      <c r="F1700">
        <v>93.33</v>
      </c>
      <c r="G1700">
        <v>3.33</v>
      </c>
      <c r="H1700">
        <v>3.33</v>
      </c>
      <c r="I1700">
        <v>0.01</v>
      </c>
      <c r="J1700" s="1">
        <v>45928.084341516202</v>
      </c>
      <c r="K1700" t="s">
        <v>888</v>
      </c>
      <c r="L1700">
        <f>COUNTIF($A$2:A1700,A1700)</f>
        <v>2</v>
      </c>
    </row>
    <row r="1701" spans="1:12" x14ac:dyDescent="0.3">
      <c r="A1701">
        <v>22221</v>
      </c>
      <c r="B1701" t="s">
        <v>887</v>
      </c>
      <c r="C1701" t="s">
        <v>106</v>
      </c>
      <c r="D1701" t="s">
        <v>107</v>
      </c>
      <c r="E1701">
        <v>0</v>
      </c>
      <c r="F1701">
        <v>93.33</v>
      </c>
      <c r="G1701">
        <v>3.33</v>
      </c>
      <c r="H1701">
        <v>3.33</v>
      </c>
      <c r="I1701">
        <v>0</v>
      </c>
      <c r="J1701" s="1">
        <v>45928.084380613429</v>
      </c>
      <c r="K1701" t="s">
        <v>888</v>
      </c>
      <c r="L1701">
        <f>COUNTIF($A$2:A1701,A1701)</f>
        <v>3</v>
      </c>
    </row>
    <row r="1702" spans="1:12" x14ac:dyDescent="0.3">
      <c r="A1702">
        <v>22221</v>
      </c>
      <c r="B1702" t="s">
        <v>887</v>
      </c>
      <c r="C1702" t="s">
        <v>108</v>
      </c>
      <c r="D1702" t="s">
        <v>109</v>
      </c>
      <c r="E1702">
        <v>0</v>
      </c>
      <c r="F1702">
        <v>90</v>
      </c>
      <c r="G1702">
        <v>6.67</v>
      </c>
      <c r="H1702">
        <v>3.33</v>
      </c>
      <c r="I1702">
        <v>0</v>
      </c>
      <c r="J1702" s="1">
        <v>45928.084403287037</v>
      </c>
      <c r="K1702" t="s">
        <v>888</v>
      </c>
      <c r="L1702">
        <f>COUNTIF($A$2:A1702,A1702)</f>
        <v>4</v>
      </c>
    </row>
    <row r="1703" spans="1:12" x14ac:dyDescent="0.3">
      <c r="A1703">
        <v>22221</v>
      </c>
      <c r="B1703" t="s">
        <v>887</v>
      </c>
      <c r="C1703" t="s">
        <v>386</v>
      </c>
      <c r="D1703" t="s">
        <v>387</v>
      </c>
      <c r="E1703">
        <v>9</v>
      </c>
      <c r="F1703">
        <v>86.67</v>
      </c>
      <c r="G1703">
        <v>13.33</v>
      </c>
      <c r="H1703">
        <v>0</v>
      </c>
      <c r="I1703">
        <v>0</v>
      </c>
      <c r="J1703" s="1">
        <v>45928.084215763891</v>
      </c>
      <c r="K1703" t="s">
        <v>888</v>
      </c>
      <c r="L1703">
        <f>COUNTIF($A$2:A1703,A1703)</f>
        <v>5</v>
      </c>
    </row>
    <row r="1704" spans="1:12" x14ac:dyDescent="0.3">
      <c r="A1704">
        <v>22221</v>
      </c>
      <c r="B1704" t="s">
        <v>887</v>
      </c>
      <c r="C1704" t="s">
        <v>100</v>
      </c>
      <c r="D1704" t="s">
        <v>101</v>
      </c>
      <c r="E1704">
        <v>12</v>
      </c>
      <c r="F1704">
        <v>86.67</v>
      </c>
      <c r="G1704">
        <v>10</v>
      </c>
      <c r="H1704">
        <v>3.33</v>
      </c>
      <c r="I1704">
        <v>0</v>
      </c>
      <c r="J1704" s="1">
        <v>45928.08432130787</v>
      </c>
      <c r="K1704" t="s">
        <v>888</v>
      </c>
      <c r="L1704">
        <f>COUNTIF($A$2:A1704,A1704)</f>
        <v>6</v>
      </c>
    </row>
    <row r="1705" spans="1:12" x14ac:dyDescent="0.3">
      <c r="A1705">
        <v>22221</v>
      </c>
      <c r="B1705" t="s">
        <v>887</v>
      </c>
      <c r="C1705" t="s">
        <v>104</v>
      </c>
      <c r="D1705" t="s">
        <v>105</v>
      </c>
      <c r="E1705">
        <v>14</v>
      </c>
      <c r="F1705">
        <v>83.33</v>
      </c>
      <c r="G1705">
        <v>13.33</v>
      </c>
      <c r="H1705">
        <v>3.33</v>
      </c>
      <c r="I1705">
        <v>0.01</v>
      </c>
      <c r="J1705" s="1">
        <v>45928.084357615742</v>
      </c>
      <c r="K1705" t="s">
        <v>888</v>
      </c>
      <c r="L1705">
        <f>COUNTIF($A$2:A1705,A1705)</f>
        <v>7</v>
      </c>
    </row>
    <row r="1706" spans="1:12" x14ac:dyDescent="0.3">
      <c r="A1706">
        <v>22221</v>
      </c>
      <c r="B1706" t="s">
        <v>887</v>
      </c>
      <c r="C1706" t="s">
        <v>555</v>
      </c>
      <c r="D1706" t="s">
        <v>556</v>
      </c>
      <c r="E1706">
        <v>12</v>
      </c>
      <c r="F1706">
        <v>80</v>
      </c>
      <c r="G1706">
        <v>20</v>
      </c>
      <c r="H1706">
        <v>0</v>
      </c>
      <c r="I1706">
        <v>0</v>
      </c>
      <c r="J1706" s="1">
        <v>45928.084279409719</v>
      </c>
      <c r="K1706" t="s">
        <v>888</v>
      </c>
      <c r="L1706">
        <f>COUNTIF($A$2:A1706,A1706)</f>
        <v>8</v>
      </c>
    </row>
    <row r="1707" spans="1:12" x14ac:dyDescent="0.3">
      <c r="A1707">
        <v>22221</v>
      </c>
      <c r="B1707" t="s">
        <v>887</v>
      </c>
      <c r="C1707" t="s">
        <v>392</v>
      </c>
      <c r="D1707" t="s">
        <v>393</v>
      </c>
      <c r="E1707">
        <v>0</v>
      </c>
      <c r="F1707">
        <v>13.33</v>
      </c>
      <c r="G1707">
        <v>86.67</v>
      </c>
      <c r="H1707">
        <v>0</v>
      </c>
      <c r="I1707">
        <v>0</v>
      </c>
      <c r="J1707" s="1">
        <v>45928.084237141207</v>
      </c>
      <c r="K1707" t="s">
        <v>888</v>
      </c>
      <c r="L1707">
        <f>COUNTIF($A$2:A1707,A1707)</f>
        <v>9</v>
      </c>
    </row>
    <row r="1708" spans="1:12" x14ac:dyDescent="0.3">
      <c r="A1708">
        <v>22221</v>
      </c>
      <c r="B1708" t="s">
        <v>887</v>
      </c>
      <c r="C1708" t="s">
        <v>553</v>
      </c>
      <c r="D1708" t="s">
        <v>554</v>
      </c>
      <c r="E1708">
        <v>0</v>
      </c>
      <c r="F1708">
        <v>10</v>
      </c>
      <c r="G1708">
        <v>90</v>
      </c>
      <c r="H1708">
        <v>0</v>
      </c>
      <c r="I1708">
        <v>0</v>
      </c>
      <c r="J1708" s="1">
        <v>45928.084262037039</v>
      </c>
      <c r="K1708" t="s">
        <v>888</v>
      </c>
      <c r="L1708">
        <f>COUNTIF($A$2:A1708,A1708)</f>
        <v>10</v>
      </c>
    </row>
    <row r="1709" spans="1:12" x14ac:dyDescent="0.3">
      <c r="A1709">
        <v>22222</v>
      </c>
      <c r="B1709" t="s">
        <v>887</v>
      </c>
      <c r="C1709" t="s">
        <v>108</v>
      </c>
      <c r="D1709" t="s">
        <v>109</v>
      </c>
      <c r="E1709">
        <v>1</v>
      </c>
      <c r="F1709">
        <v>96.67</v>
      </c>
      <c r="G1709">
        <v>3.33</v>
      </c>
      <c r="H1709">
        <v>0</v>
      </c>
      <c r="I1709">
        <v>0</v>
      </c>
      <c r="J1709" s="1">
        <v>45928.084484108796</v>
      </c>
      <c r="K1709" t="s">
        <v>889</v>
      </c>
      <c r="L1709">
        <f>COUNTIF($A$2:A1709,A1709)</f>
        <v>1</v>
      </c>
    </row>
    <row r="1710" spans="1:12" x14ac:dyDescent="0.3">
      <c r="A1710">
        <v>22222</v>
      </c>
      <c r="B1710" t="s">
        <v>887</v>
      </c>
      <c r="C1710" t="s">
        <v>102</v>
      </c>
      <c r="D1710" t="s">
        <v>103</v>
      </c>
      <c r="E1710">
        <v>5</v>
      </c>
      <c r="F1710">
        <v>93.33</v>
      </c>
      <c r="G1710">
        <v>6.67</v>
      </c>
      <c r="H1710">
        <v>0</v>
      </c>
      <c r="I1710">
        <v>0</v>
      </c>
      <c r="J1710" s="1">
        <v>45928.084560740739</v>
      </c>
      <c r="K1710" t="s">
        <v>889</v>
      </c>
      <c r="L1710">
        <f>COUNTIF($A$2:A1710,A1710)</f>
        <v>2</v>
      </c>
    </row>
    <row r="1711" spans="1:12" x14ac:dyDescent="0.3">
      <c r="A1711">
        <v>22222</v>
      </c>
      <c r="B1711" t="s">
        <v>887</v>
      </c>
      <c r="C1711" t="s">
        <v>379</v>
      </c>
      <c r="D1711" t="s">
        <v>380</v>
      </c>
      <c r="E1711">
        <v>0</v>
      </c>
      <c r="F1711">
        <v>83.33</v>
      </c>
      <c r="G1711">
        <v>10</v>
      </c>
      <c r="H1711">
        <v>6.67</v>
      </c>
      <c r="I1711">
        <v>0</v>
      </c>
      <c r="J1711" s="1">
        <v>45928.084754699077</v>
      </c>
      <c r="K1711" t="s">
        <v>889</v>
      </c>
      <c r="L1711">
        <f>COUNTIF($A$2:A1711,A1711)</f>
        <v>3</v>
      </c>
    </row>
    <row r="1712" spans="1:12" x14ac:dyDescent="0.3">
      <c r="A1712">
        <v>22222</v>
      </c>
      <c r="B1712" t="s">
        <v>887</v>
      </c>
      <c r="C1712" t="s">
        <v>104</v>
      </c>
      <c r="D1712" t="s">
        <v>105</v>
      </c>
      <c r="E1712">
        <v>13</v>
      </c>
      <c r="F1712">
        <v>80</v>
      </c>
      <c r="G1712">
        <v>20</v>
      </c>
      <c r="H1712">
        <v>0</v>
      </c>
      <c r="I1712">
        <v>0</v>
      </c>
      <c r="J1712" s="1">
        <v>45928.084518078707</v>
      </c>
      <c r="K1712" t="s">
        <v>889</v>
      </c>
      <c r="L1712">
        <f>COUNTIF($A$2:A1712,A1712)</f>
        <v>4</v>
      </c>
    </row>
    <row r="1713" spans="1:12" x14ac:dyDescent="0.3">
      <c r="A1713">
        <v>22222</v>
      </c>
      <c r="B1713" t="s">
        <v>887</v>
      </c>
      <c r="C1713" t="s">
        <v>106</v>
      </c>
      <c r="D1713" t="s">
        <v>107</v>
      </c>
      <c r="E1713">
        <v>16</v>
      </c>
      <c r="F1713">
        <v>70</v>
      </c>
      <c r="G1713">
        <v>30</v>
      </c>
      <c r="H1713">
        <v>0</v>
      </c>
      <c r="I1713">
        <v>0</v>
      </c>
      <c r="J1713" s="1">
        <v>45928.084500717596</v>
      </c>
      <c r="K1713" t="s">
        <v>889</v>
      </c>
      <c r="L1713">
        <f>COUNTIF($A$2:A1713,A1713)</f>
        <v>5</v>
      </c>
    </row>
    <row r="1714" spans="1:12" x14ac:dyDescent="0.3">
      <c r="A1714">
        <v>22222</v>
      </c>
      <c r="B1714" t="s">
        <v>887</v>
      </c>
      <c r="C1714" t="s">
        <v>555</v>
      </c>
      <c r="D1714" t="s">
        <v>556</v>
      </c>
      <c r="E1714">
        <v>22</v>
      </c>
      <c r="F1714">
        <v>60</v>
      </c>
      <c r="G1714">
        <v>36.67</v>
      </c>
      <c r="H1714">
        <v>3.33</v>
      </c>
      <c r="I1714">
        <v>0</v>
      </c>
      <c r="J1714" s="1">
        <v>45928.084619953705</v>
      </c>
      <c r="K1714" t="s">
        <v>889</v>
      </c>
      <c r="L1714">
        <f>COUNTIF($A$2:A1714,A1714)</f>
        <v>6</v>
      </c>
    </row>
    <row r="1715" spans="1:12" x14ac:dyDescent="0.3">
      <c r="A1715">
        <v>22222</v>
      </c>
      <c r="B1715" t="s">
        <v>887</v>
      </c>
      <c r="C1715" t="s">
        <v>386</v>
      </c>
      <c r="D1715" t="s">
        <v>387</v>
      </c>
      <c r="E1715">
        <v>22</v>
      </c>
      <c r="F1715">
        <v>56.67</v>
      </c>
      <c r="G1715">
        <v>40</v>
      </c>
      <c r="H1715">
        <v>3.33</v>
      </c>
      <c r="I1715">
        <v>0</v>
      </c>
      <c r="J1715" s="1">
        <v>45928.084727210648</v>
      </c>
      <c r="K1715" t="s">
        <v>889</v>
      </c>
      <c r="L1715">
        <f>COUNTIF($A$2:A1715,A1715)</f>
        <v>7</v>
      </c>
    </row>
    <row r="1716" spans="1:12" x14ac:dyDescent="0.3">
      <c r="A1716">
        <v>22222</v>
      </c>
      <c r="B1716" t="s">
        <v>887</v>
      </c>
      <c r="C1716" t="s">
        <v>100</v>
      </c>
      <c r="D1716" t="s">
        <v>101</v>
      </c>
      <c r="E1716">
        <v>23</v>
      </c>
      <c r="F1716">
        <v>53.33</v>
      </c>
      <c r="G1716">
        <v>43.33</v>
      </c>
      <c r="H1716">
        <v>3.33</v>
      </c>
      <c r="I1716">
        <v>0.01</v>
      </c>
      <c r="J1716" s="1">
        <v>45928.084579861112</v>
      </c>
      <c r="K1716" t="s">
        <v>889</v>
      </c>
      <c r="L1716">
        <f>COUNTIF($A$2:A1716,A1716)</f>
        <v>8</v>
      </c>
    </row>
    <row r="1717" spans="1:12" x14ac:dyDescent="0.3">
      <c r="A1717">
        <v>22222</v>
      </c>
      <c r="B1717" t="s">
        <v>887</v>
      </c>
      <c r="C1717" t="s">
        <v>392</v>
      </c>
      <c r="D1717" t="s">
        <v>393</v>
      </c>
      <c r="E1717">
        <v>23</v>
      </c>
      <c r="F1717">
        <v>53.33</v>
      </c>
      <c r="G1717">
        <v>43.33</v>
      </c>
      <c r="H1717">
        <v>3.33</v>
      </c>
      <c r="I1717">
        <v>0.01</v>
      </c>
      <c r="J1717" s="1">
        <v>45928.084682303241</v>
      </c>
      <c r="K1717" t="s">
        <v>889</v>
      </c>
      <c r="L1717">
        <f>COUNTIF($A$2:A1717,A1717)</f>
        <v>9</v>
      </c>
    </row>
    <row r="1718" spans="1:12" x14ac:dyDescent="0.3">
      <c r="A1718">
        <v>22222</v>
      </c>
      <c r="B1718" t="s">
        <v>887</v>
      </c>
      <c r="C1718" t="s">
        <v>553</v>
      </c>
      <c r="D1718" t="s">
        <v>554</v>
      </c>
      <c r="E1718">
        <v>25</v>
      </c>
      <c r="F1718">
        <v>40</v>
      </c>
      <c r="G1718">
        <v>56.67</v>
      </c>
      <c r="H1718">
        <v>3.33</v>
      </c>
      <c r="I1718">
        <v>0</v>
      </c>
      <c r="J1718" s="1">
        <v>45928.084665694441</v>
      </c>
      <c r="K1718" t="s">
        <v>889</v>
      </c>
      <c r="L1718">
        <f>COUNTIF($A$2:A1718,A1718)</f>
        <v>10</v>
      </c>
    </row>
    <row r="1719" spans="1:12" x14ac:dyDescent="0.3">
      <c r="A1719">
        <v>22225</v>
      </c>
      <c r="B1719" t="s">
        <v>890</v>
      </c>
      <c r="C1719" t="s">
        <v>379</v>
      </c>
      <c r="D1719" t="s">
        <v>380</v>
      </c>
      <c r="E1719">
        <v>2</v>
      </c>
      <c r="F1719">
        <v>100</v>
      </c>
      <c r="G1719">
        <v>0</v>
      </c>
      <c r="H1719">
        <v>0</v>
      </c>
      <c r="I1719">
        <v>0</v>
      </c>
      <c r="J1719" s="1">
        <v>45928.084805613427</v>
      </c>
      <c r="K1719" t="s">
        <v>891</v>
      </c>
      <c r="L1719">
        <f>COUNTIF($A$2:A1719,A1719)</f>
        <v>1</v>
      </c>
    </row>
    <row r="1720" spans="1:12" x14ac:dyDescent="0.3">
      <c r="A1720">
        <v>22225</v>
      </c>
      <c r="B1720" t="s">
        <v>890</v>
      </c>
      <c r="C1720" t="s">
        <v>382</v>
      </c>
      <c r="D1720" t="s">
        <v>383</v>
      </c>
      <c r="E1720">
        <v>5</v>
      </c>
      <c r="F1720">
        <v>100</v>
      </c>
      <c r="G1720">
        <v>0</v>
      </c>
      <c r="H1720">
        <v>0</v>
      </c>
      <c r="I1720">
        <v>0</v>
      </c>
      <c r="J1720" s="1">
        <v>45928.084824074074</v>
      </c>
      <c r="K1720" t="s">
        <v>891</v>
      </c>
      <c r="L1720">
        <f>COUNTIF($A$2:A1720,A1720)</f>
        <v>2</v>
      </c>
    </row>
    <row r="1721" spans="1:12" x14ac:dyDescent="0.3">
      <c r="A1721">
        <v>22225</v>
      </c>
      <c r="B1721" t="s">
        <v>890</v>
      </c>
      <c r="C1721" t="s">
        <v>384</v>
      </c>
      <c r="D1721" t="s">
        <v>385</v>
      </c>
      <c r="E1721">
        <v>6</v>
      </c>
      <c r="F1721">
        <v>100</v>
      </c>
      <c r="G1721">
        <v>0</v>
      </c>
      <c r="H1721">
        <v>0</v>
      </c>
      <c r="I1721">
        <v>0</v>
      </c>
      <c r="J1721" s="1">
        <v>45928.084841145836</v>
      </c>
      <c r="K1721" t="s">
        <v>891</v>
      </c>
      <c r="L1721">
        <f>COUNTIF($A$2:A1721,A1721)</f>
        <v>3</v>
      </c>
    </row>
    <row r="1722" spans="1:12" x14ac:dyDescent="0.3">
      <c r="A1722">
        <v>22225</v>
      </c>
      <c r="B1722" t="s">
        <v>890</v>
      </c>
      <c r="C1722" t="s">
        <v>472</v>
      </c>
      <c r="D1722" t="s">
        <v>473</v>
      </c>
      <c r="E1722">
        <v>3</v>
      </c>
      <c r="F1722">
        <v>96.15</v>
      </c>
      <c r="G1722">
        <v>3.85</v>
      </c>
      <c r="H1722">
        <v>0</v>
      </c>
      <c r="I1722">
        <v>0</v>
      </c>
      <c r="J1722" s="1">
        <v>45928.085010023147</v>
      </c>
      <c r="K1722" t="s">
        <v>891</v>
      </c>
      <c r="L1722">
        <f>COUNTIF($A$2:A1722,A1722)</f>
        <v>4</v>
      </c>
    </row>
    <row r="1723" spans="1:12" x14ac:dyDescent="0.3">
      <c r="A1723">
        <v>22225</v>
      </c>
      <c r="B1723" t="s">
        <v>890</v>
      </c>
      <c r="C1723" t="s">
        <v>386</v>
      </c>
      <c r="D1723" t="s">
        <v>387</v>
      </c>
      <c r="E1723">
        <v>12</v>
      </c>
      <c r="F1723">
        <v>80.77</v>
      </c>
      <c r="G1723">
        <v>19.23</v>
      </c>
      <c r="H1723">
        <v>0</v>
      </c>
      <c r="I1723">
        <v>0</v>
      </c>
      <c r="J1723" s="1">
        <v>45928.084881608796</v>
      </c>
      <c r="K1723" t="s">
        <v>891</v>
      </c>
      <c r="L1723">
        <f>COUNTIF($A$2:A1723,A1723)</f>
        <v>5</v>
      </c>
    </row>
    <row r="1724" spans="1:12" x14ac:dyDescent="0.3">
      <c r="A1724">
        <v>22225</v>
      </c>
      <c r="B1724" t="s">
        <v>890</v>
      </c>
      <c r="C1724" t="s">
        <v>470</v>
      </c>
      <c r="D1724" t="s">
        <v>471</v>
      </c>
      <c r="E1724">
        <v>16</v>
      </c>
      <c r="F1724">
        <v>61.54</v>
      </c>
      <c r="G1724">
        <v>34.619999999999997</v>
      </c>
      <c r="H1724">
        <v>3.85</v>
      </c>
      <c r="I1724">
        <v>0</v>
      </c>
      <c r="J1724" s="1">
        <v>45928.084924340277</v>
      </c>
      <c r="K1724" t="s">
        <v>891</v>
      </c>
      <c r="L1724">
        <f>COUNTIF($A$2:A1724,A1724)</f>
        <v>6</v>
      </c>
    </row>
    <row r="1725" spans="1:12" x14ac:dyDescent="0.3">
      <c r="A1725">
        <v>22225</v>
      </c>
      <c r="B1725" t="s">
        <v>890</v>
      </c>
      <c r="C1725" t="s">
        <v>655</v>
      </c>
      <c r="D1725" t="s">
        <v>656</v>
      </c>
      <c r="E1725">
        <v>16</v>
      </c>
      <c r="F1725">
        <v>61.54</v>
      </c>
      <c r="G1725">
        <v>34.619999999999997</v>
      </c>
      <c r="H1725">
        <v>3.85</v>
      </c>
      <c r="I1725">
        <v>0</v>
      </c>
      <c r="J1725" s="1">
        <v>45928.084966192131</v>
      </c>
      <c r="K1725" t="s">
        <v>891</v>
      </c>
      <c r="L1725">
        <f>COUNTIF($A$2:A1725,A1725)</f>
        <v>7</v>
      </c>
    </row>
    <row r="1726" spans="1:12" x14ac:dyDescent="0.3">
      <c r="A1726">
        <v>22226</v>
      </c>
      <c r="B1726" t="s">
        <v>890</v>
      </c>
      <c r="C1726" t="s">
        <v>472</v>
      </c>
      <c r="D1726" t="s">
        <v>473</v>
      </c>
      <c r="E1726">
        <v>1</v>
      </c>
      <c r="F1726">
        <v>100</v>
      </c>
      <c r="G1726">
        <v>0</v>
      </c>
      <c r="H1726">
        <v>0</v>
      </c>
      <c r="I1726">
        <v>0</v>
      </c>
      <c r="J1726" s="1">
        <v>45928.085072939815</v>
      </c>
      <c r="K1726" t="s">
        <v>892</v>
      </c>
      <c r="L1726">
        <f>COUNTIF($A$2:A1726,A1726)</f>
        <v>1</v>
      </c>
    </row>
    <row r="1727" spans="1:12" x14ac:dyDescent="0.3">
      <c r="A1727">
        <v>22226</v>
      </c>
      <c r="B1727" t="s">
        <v>890</v>
      </c>
      <c r="C1727" t="s">
        <v>655</v>
      </c>
      <c r="D1727" t="s">
        <v>656</v>
      </c>
      <c r="E1727">
        <v>6</v>
      </c>
      <c r="F1727">
        <v>100</v>
      </c>
      <c r="G1727">
        <v>0</v>
      </c>
      <c r="H1727">
        <v>0</v>
      </c>
      <c r="I1727">
        <v>0</v>
      </c>
      <c r="J1727" s="1">
        <v>45928.085095358794</v>
      </c>
      <c r="K1727" t="s">
        <v>892</v>
      </c>
      <c r="L1727">
        <f>COUNTIF($A$2:A1727,A1727)</f>
        <v>2</v>
      </c>
    </row>
    <row r="1728" spans="1:12" x14ac:dyDescent="0.3">
      <c r="A1728">
        <v>22226</v>
      </c>
      <c r="B1728" t="s">
        <v>890</v>
      </c>
      <c r="C1728" t="s">
        <v>470</v>
      </c>
      <c r="D1728" t="s">
        <v>471</v>
      </c>
      <c r="E1728">
        <v>5</v>
      </c>
      <c r="F1728">
        <v>100</v>
      </c>
      <c r="G1728">
        <v>0</v>
      </c>
      <c r="H1728">
        <v>0</v>
      </c>
      <c r="I1728">
        <v>0</v>
      </c>
      <c r="J1728" s="1">
        <v>45928.085115231479</v>
      </c>
      <c r="K1728" t="s">
        <v>892</v>
      </c>
      <c r="L1728">
        <f>COUNTIF($A$2:A1728,A1728)</f>
        <v>3</v>
      </c>
    </row>
    <row r="1729" spans="1:12" x14ac:dyDescent="0.3">
      <c r="A1729">
        <v>22226</v>
      </c>
      <c r="B1729" t="s">
        <v>890</v>
      </c>
      <c r="C1729" t="s">
        <v>379</v>
      </c>
      <c r="D1729" t="s">
        <v>380</v>
      </c>
      <c r="E1729">
        <v>13</v>
      </c>
      <c r="F1729">
        <v>88.46</v>
      </c>
      <c r="G1729">
        <v>7.69</v>
      </c>
      <c r="H1729">
        <v>3.85</v>
      </c>
      <c r="I1729">
        <v>0</v>
      </c>
      <c r="J1729" s="1">
        <v>45928.085273888886</v>
      </c>
      <c r="K1729" t="s">
        <v>892</v>
      </c>
      <c r="L1729">
        <f>COUNTIF($A$2:A1729,A1729)</f>
        <v>4</v>
      </c>
    </row>
    <row r="1730" spans="1:12" x14ac:dyDescent="0.3">
      <c r="A1730">
        <v>22226</v>
      </c>
      <c r="B1730" t="s">
        <v>890</v>
      </c>
      <c r="C1730" t="s">
        <v>386</v>
      </c>
      <c r="D1730" t="s">
        <v>387</v>
      </c>
      <c r="E1730">
        <v>0</v>
      </c>
      <c r="F1730">
        <v>46.15</v>
      </c>
      <c r="G1730">
        <v>50</v>
      </c>
      <c r="H1730">
        <v>3.85</v>
      </c>
      <c r="I1730">
        <v>0</v>
      </c>
      <c r="J1730" s="1">
        <v>45928.085139988427</v>
      </c>
      <c r="K1730" t="s">
        <v>892</v>
      </c>
      <c r="L1730">
        <f>COUNTIF($A$2:A1730,A1730)</f>
        <v>5</v>
      </c>
    </row>
    <row r="1731" spans="1:12" x14ac:dyDescent="0.3">
      <c r="A1731">
        <v>22226</v>
      </c>
      <c r="B1731" t="s">
        <v>890</v>
      </c>
      <c r="C1731" t="s">
        <v>384</v>
      </c>
      <c r="D1731" t="s">
        <v>385</v>
      </c>
      <c r="E1731">
        <v>18</v>
      </c>
      <c r="F1731">
        <v>42.31</v>
      </c>
      <c r="G1731">
        <v>53.85</v>
      </c>
      <c r="H1731">
        <v>3.85</v>
      </c>
      <c r="I1731">
        <v>0</v>
      </c>
      <c r="J1731" s="1">
        <v>45928.085186655095</v>
      </c>
      <c r="K1731" t="s">
        <v>892</v>
      </c>
      <c r="L1731">
        <f>COUNTIF($A$2:A1731,A1731)</f>
        <v>6</v>
      </c>
    </row>
    <row r="1732" spans="1:12" x14ac:dyDescent="0.3">
      <c r="A1732">
        <v>22226</v>
      </c>
      <c r="B1732" t="s">
        <v>890</v>
      </c>
      <c r="C1732" t="s">
        <v>382</v>
      </c>
      <c r="D1732" t="s">
        <v>383</v>
      </c>
      <c r="E1732">
        <v>19</v>
      </c>
      <c r="F1732">
        <v>38.46</v>
      </c>
      <c r="G1732">
        <v>57.69</v>
      </c>
      <c r="H1732">
        <v>3.85</v>
      </c>
      <c r="I1732">
        <v>0</v>
      </c>
      <c r="J1732" s="1">
        <v>45928.085233865742</v>
      </c>
      <c r="K1732" t="s">
        <v>892</v>
      </c>
      <c r="L1732">
        <f>COUNTIF($A$2:A1732,A1732)</f>
        <v>7</v>
      </c>
    </row>
    <row r="1733" spans="1:12" x14ac:dyDescent="0.3">
      <c r="A1733">
        <v>22301</v>
      </c>
      <c r="B1733" t="s">
        <v>83</v>
      </c>
      <c r="C1733" t="s">
        <v>114</v>
      </c>
      <c r="D1733" t="s">
        <v>115</v>
      </c>
      <c r="E1733">
        <v>0</v>
      </c>
      <c r="F1733">
        <v>100</v>
      </c>
      <c r="G1733">
        <v>0</v>
      </c>
      <c r="H1733">
        <v>0</v>
      </c>
      <c r="I1733">
        <v>0</v>
      </c>
      <c r="J1733" s="1">
        <v>45927.784259293985</v>
      </c>
      <c r="K1733" t="s">
        <v>303</v>
      </c>
      <c r="L1733">
        <f>COUNTIF($A$2:A1733,A1733)</f>
        <v>1</v>
      </c>
    </row>
    <row r="1734" spans="1:12" x14ac:dyDescent="0.3">
      <c r="A1734">
        <v>22301</v>
      </c>
      <c r="B1734" t="s">
        <v>83</v>
      </c>
      <c r="C1734" t="s">
        <v>306</v>
      </c>
      <c r="D1734" t="s">
        <v>307</v>
      </c>
      <c r="E1734">
        <v>5</v>
      </c>
      <c r="F1734">
        <v>92.31</v>
      </c>
      <c r="G1734">
        <v>7.69</v>
      </c>
      <c r="H1734">
        <v>0</v>
      </c>
      <c r="I1734">
        <v>0</v>
      </c>
      <c r="J1734" s="1">
        <v>45927.784320833336</v>
      </c>
      <c r="K1734" t="s">
        <v>303</v>
      </c>
      <c r="L1734">
        <f>COUNTIF($A$2:A1734,A1734)</f>
        <v>2</v>
      </c>
    </row>
    <row r="1735" spans="1:12" x14ac:dyDescent="0.3">
      <c r="A1735">
        <v>22301</v>
      </c>
      <c r="B1735" t="s">
        <v>83</v>
      </c>
      <c r="C1735" t="s">
        <v>312</v>
      </c>
      <c r="D1735" t="s">
        <v>313</v>
      </c>
      <c r="E1735">
        <v>7</v>
      </c>
      <c r="F1735">
        <v>88.46</v>
      </c>
      <c r="G1735">
        <v>11.54</v>
      </c>
      <c r="H1735">
        <v>0</v>
      </c>
      <c r="I1735">
        <v>0</v>
      </c>
      <c r="J1735" s="1">
        <v>45927.784422141202</v>
      </c>
      <c r="K1735" t="s">
        <v>303</v>
      </c>
      <c r="L1735">
        <f>COUNTIF($A$2:A1735,A1735)</f>
        <v>3</v>
      </c>
    </row>
    <row r="1736" spans="1:12" x14ac:dyDescent="0.3">
      <c r="A1736">
        <v>22301</v>
      </c>
      <c r="B1736" t="s">
        <v>83</v>
      </c>
      <c r="C1736" t="s">
        <v>308</v>
      </c>
      <c r="D1736" t="s">
        <v>309</v>
      </c>
      <c r="E1736">
        <v>14</v>
      </c>
      <c r="F1736">
        <v>76.92</v>
      </c>
      <c r="G1736">
        <v>19.23</v>
      </c>
      <c r="H1736">
        <v>3.85</v>
      </c>
      <c r="I1736">
        <v>0</v>
      </c>
      <c r="J1736" s="1">
        <v>45927.784365497682</v>
      </c>
      <c r="K1736" t="s">
        <v>303</v>
      </c>
      <c r="L1736">
        <f>COUNTIF($A$2:A1736,A1736)</f>
        <v>4</v>
      </c>
    </row>
    <row r="1737" spans="1:12" x14ac:dyDescent="0.3">
      <c r="A1737">
        <v>22301</v>
      </c>
      <c r="B1737" t="s">
        <v>83</v>
      </c>
      <c r="C1737" t="s">
        <v>304</v>
      </c>
      <c r="D1737" t="s">
        <v>305</v>
      </c>
      <c r="E1737">
        <v>19</v>
      </c>
      <c r="F1737">
        <v>38.46</v>
      </c>
      <c r="G1737">
        <v>61.54</v>
      </c>
      <c r="H1737">
        <v>0</v>
      </c>
      <c r="I1737">
        <v>0</v>
      </c>
      <c r="J1737" s="1">
        <v>45927.78427971065</v>
      </c>
      <c r="K1737" t="s">
        <v>303</v>
      </c>
      <c r="L1737">
        <f>COUNTIF($A$2:A1737,A1737)</f>
        <v>5</v>
      </c>
    </row>
    <row r="1738" spans="1:12" x14ac:dyDescent="0.3">
      <c r="A1738">
        <v>22301</v>
      </c>
      <c r="B1738" t="s">
        <v>83</v>
      </c>
      <c r="C1738" t="s">
        <v>310</v>
      </c>
      <c r="D1738" t="s">
        <v>311</v>
      </c>
      <c r="E1738">
        <v>10</v>
      </c>
      <c r="F1738">
        <v>26.92</v>
      </c>
      <c r="G1738">
        <v>19.23</v>
      </c>
      <c r="H1738">
        <v>0</v>
      </c>
      <c r="I1738">
        <v>53.85</v>
      </c>
      <c r="J1738" s="1">
        <v>45927.784382245372</v>
      </c>
      <c r="K1738" t="s">
        <v>303</v>
      </c>
      <c r="L1738">
        <f>COUNTIF($A$2:A1738,A1738)</f>
        <v>6</v>
      </c>
    </row>
    <row r="1739" spans="1:12" x14ac:dyDescent="0.3">
      <c r="A1739">
        <v>22302</v>
      </c>
      <c r="B1739" t="s">
        <v>83</v>
      </c>
      <c r="C1739" t="s">
        <v>312</v>
      </c>
      <c r="D1739" t="s">
        <v>313</v>
      </c>
      <c r="E1739">
        <v>1</v>
      </c>
      <c r="F1739">
        <v>100</v>
      </c>
      <c r="G1739">
        <v>0</v>
      </c>
      <c r="H1739">
        <v>0</v>
      </c>
      <c r="I1739">
        <v>0</v>
      </c>
      <c r="J1739" s="1">
        <v>45927.78445929398</v>
      </c>
      <c r="K1739" t="s">
        <v>314</v>
      </c>
      <c r="L1739">
        <f>COUNTIF($A$2:A1739,A1739)</f>
        <v>1</v>
      </c>
    </row>
    <row r="1740" spans="1:12" x14ac:dyDescent="0.3">
      <c r="A1740">
        <v>22302</v>
      </c>
      <c r="B1740" t="s">
        <v>83</v>
      </c>
      <c r="C1740" t="s">
        <v>114</v>
      </c>
      <c r="D1740" t="s">
        <v>115</v>
      </c>
      <c r="E1740">
        <v>0</v>
      </c>
      <c r="F1740">
        <v>96.15</v>
      </c>
      <c r="G1740">
        <v>3.85</v>
      </c>
      <c r="H1740">
        <v>0</v>
      </c>
      <c r="I1740">
        <v>0</v>
      </c>
      <c r="J1740" s="1">
        <v>45927.784594629629</v>
      </c>
      <c r="K1740" t="s">
        <v>314</v>
      </c>
      <c r="L1740">
        <f>COUNTIF($A$2:A1740,A1740)</f>
        <v>2</v>
      </c>
    </row>
    <row r="1741" spans="1:12" x14ac:dyDescent="0.3">
      <c r="A1741">
        <v>22302</v>
      </c>
      <c r="B1741" t="s">
        <v>83</v>
      </c>
      <c r="C1741" t="s">
        <v>308</v>
      </c>
      <c r="D1741" t="s">
        <v>309</v>
      </c>
      <c r="E1741">
        <v>11</v>
      </c>
      <c r="F1741">
        <v>84.62</v>
      </c>
      <c r="G1741">
        <v>15.38</v>
      </c>
      <c r="H1741">
        <v>0</v>
      </c>
      <c r="I1741">
        <v>0</v>
      </c>
      <c r="J1741" s="1">
        <v>45927.78451675926</v>
      </c>
      <c r="K1741" t="s">
        <v>314</v>
      </c>
      <c r="L1741">
        <f>COUNTIF($A$2:A1741,A1741)</f>
        <v>3</v>
      </c>
    </row>
    <row r="1742" spans="1:12" x14ac:dyDescent="0.3">
      <c r="A1742">
        <v>22302</v>
      </c>
      <c r="B1742" t="s">
        <v>83</v>
      </c>
      <c r="C1742" t="s">
        <v>306</v>
      </c>
      <c r="D1742" t="s">
        <v>307</v>
      </c>
      <c r="E1742">
        <v>15</v>
      </c>
      <c r="F1742">
        <v>61.54</v>
      </c>
      <c r="G1742">
        <v>38.46</v>
      </c>
      <c r="H1742">
        <v>0</v>
      </c>
      <c r="I1742">
        <v>0</v>
      </c>
      <c r="J1742" s="1">
        <v>45927.784533912039</v>
      </c>
      <c r="K1742" t="s">
        <v>314</v>
      </c>
      <c r="L1742">
        <f>COUNTIF($A$2:A1742,A1742)</f>
        <v>4</v>
      </c>
    </row>
    <row r="1743" spans="1:12" x14ac:dyDescent="0.3">
      <c r="A1743">
        <v>22302</v>
      </c>
      <c r="B1743" t="s">
        <v>83</v>
      </c>
      <c r="C1743" t="s">
        <v>304</v>
      </c>
      <c r="D1743" t="s">
        <v>305</v>
      </c>
      <c r="E1743">
        <v>21</v>
      </c>
      <c r="F1743">
        <v>46.15</v>
      </c>
      <c r="G1743">
        <v>53.85</v>
      </c>
      <c r="H1743">
        <v>0</v>
      </c>
      <c r="I1743">
        <v>0</v>
      </c>
      <c r="J1743" s="1">
        <v>45927.784550706019</v>
      </c>
      <c r="K1743" t="s">
        <v>314</v>
      </c>
      <c r="L1743">
        <f>COUNTIF($A$2:A1743,A1743)</f>
        <v>5</v>
      </c>
    </row>
    <row r="1744" spans="1:12" x14ac:dyDescent="0.3">
      <c r="A1744">
        <v>22302</v>
      </c>
      <c r="B1744" t="s">
        <v>83</v>
      </c>
      <c r="C1744" t="s">
        <v>310</v>
      </c>
      <c r="D1744" t="s">
        <v>311</v>
      </c>
      <c r="E1744">
        <v>15</v>
      </c>
      <c r="F1744">
        <v>26.92</v>
      </c>
      <c r="G1744">
        <v>19.23</v>
      </c>
      <c r="H1744">
        <v>0</v>
      </c>
      <c r="I1744">
        <v>53.85</v>
      </c>
      <c r="J1744" s="1">
        <v>45927.784475162036</v>
      </c>
      <c r="K1744" t="s">
        <v>314</v>
      </c>
      <c r="L1744">
        <f>COUNTIF($A$2:A1744,A1744)</f>
        <v>6</v>
      </c>
    </row>
    <row r="1745" spans="1:12" x14ac:dyDescent="0.3">
      <c r="A1745">
        <v>22601</v>
      </c>
      <c r="B1745" t="s">
        <v>727</v>
      </c>
      <c r="C1745" t="s">
        <v>12</v>
      </c>
      <c r="D1745" t="s">
        <v>13</v>
      </c>
      <c r="E1745">
        <v>1</v>
      </c>
      <c r="F1745">
        <v>100</v>
      </c>
      <c r="G1745">
        <v>0</v>
      </c>
      <c r="H1745">
        <v>0</v>
      </c>
      <c r="I1745">
        <v>0</v>
      </c>
      <c r="J1745" s="1">
        <v>45928.074687141205</v>
      </c>
      <c r="K1745" t="s">
        <v>728</v>
      </c>
      <c r="L1745">
        <f>COUNTIF($A$2:A1745,A1745)</f>
        <v>1</v>
      </c>
    </row>
    <row r="1746" spans="1:12" x14ac:dyDescent="0.3">
      <c r="A1746">
        <v>22601</v>
      </c>
      <c r="B1746" t="s">
        <v>727</v>
      </c>
      <c r="C1746" t="s">
        <v>17</v>
      </c>
      <c r="D1746" t="s">
        <v>18</v>
      </c>
      <c r="E1746">
        <v>0</v>
      </c>
      <c r="F1746">
        <v>75</v>
      </c>
      <c r="G1746">
        <v>0</v>
      </c>
      <c r="H1746">
        <v>25</v>
      </c>
      <c r="I1746">
        <v>0</v>
      </c>
      <c r="J1746" s="1">
        <v>45928.074711099536</v>
      </c>
      <c r="K1746" t="s">
        <v>728</v>
      </c>
      <c r="L1746">
        <f>COUNTIF($A$2:A1746,A1746)</f>
        <v>2</v>
      </c>
    </row>
    <row r="1747" spans="1:12" x14ac:dyDescent="0.3">
      <c r="A1747">
        <v>22601</v>
      </c>
      <c r="B1747" t="s">
        <v>727</v>
      </c>
      <c r="C1747" t="s">
        <v>19</v>
      </c>
      <c r="D1747" t="s">
        <v>20</v>
      </c>
      <c r="E1747">
        <v>55</v>
      </c>
      <c r="F1747">
        <v>75</v>
      </c>
      <c r="G1747">
        <v>0</v>
      </c>
      <c r="H1747">
        <v>25</v>
      </c>
      <c r="I1747">
        <v>0</v>
      </c>
      <c r="J1747" s="1">
        <v>45928.074732326386</v>
      </c>
      <c r="K1747" t="s">
        <v>728</v>
      </c>
      <c r="L1747">
        <f>COUNTIF($A$2:A1747,A1747)</f>
        <v>3</v>
      </c>
    </row>
    <row r="1748" spans="1:12" x14ac:dyDescent="0.3">
      <c r="A1748">
        <v>22601</v>
      </c>
      <c r="B1748" t="s">
        <v>727</v>
      </c>
      <c r="C1748" t="s">
        <v>21</v>
      </c>
      <c r="D1748" t="s">
        <v>22</v>
      </c>
      <c r="E1748">
        <v>0</v>
      </c>
      <c r="F1748">
        <v>75</v>
      </c>
      <c r="G1748">
        <v>0</v>
      </c>
      <c r="H1748">
        <v>25</v>
      </c>
      <c r="I1748">
        <v>0</v>
      </c>
      <c r="J1748" s="1">
        <v>45928.074757256945</v>
      </c>
      <c r="K1748" t="s">
        <v>728</v>
      </c>
      <c r="L1748">
        <f>COUNTIF($A$2:A1748,A1748)</f>
        <v>4</v>
      </c>
    </row>
    <row r="1749" spans="1:12" x14ac:dyDescent="0.3">
      <c r="A1749">
        <v>22601</v>
      </c>
      <c r="B1749" t="s">
        <v>727</v>
      </c>
      <c r="C1749" t="s">
        <v>194</v>
      </c>
      <c r="D1749" t="s">
        <v>195</v>
      </c>
      <c r="E1749">
        <v>59</v>
      </c>
      <c r="F1749">
        <v>75</v>
      </c>
      <c r="G1749">
        <v>0</v>
      </c>
      <c r="H1749">
        <v>25</v>
      </c>
      <c r="I1749">
        <v>0</v>
      </c>
      <c r="J1749" s="1">
        <v>45928.074779189817</v>
      </c>
      <c r="K1749" t="s">
        <v>728</v>
      </c>
      <c r="L1749">
        <f>COUNTIF($A$2:A1749,A1749)</f>
        <v>5</v>
      </c>
    </row>
    <row r="1750" spans="1:12" x14ac:dyDescent="0.3">
      <c r="A1750">
        <v>22601</v>
      </c>
      <c r="B1750" t="s">
        <v>727</v>
      </c>
      <c r="C1750" t="s">
        <v>731</v>
      </c>
      <c r="D1750" t="s">
        <v>732</v>
      </c>
      <c r="E1750">
        <v>59</v>
      </c>
      <c r="F1750">
        <v>75</v>
      </c>
      <c r="G1750">
        <v>0</v>
      </c>
      <c r="H1750">
        <v>25</v>
      </c>
      <c r="I1750">
        <v>0</v>
      </c>
      <c r="J1750" s="1">
        <v>45928.074846377312</v>
      </c>
      <c r="K1750" t="s">
        <v>728</v>
      </c>
      <c r="L1750">
        <f>COUNTIF($A$2:A1750,A1750)</f>
        <v>6</v>
      </c>
    </row>
    <row r="1751" spans="1:12" x14ac:dyDescent="0.3">
      <c r="A1751">
        <v>22601</v>
      </c>
      <c r="B1751" t="s">
        <v>727</v>
      </c>
      <c r="C1751" t="s">
        <v>733</v>
      </c>
      <c r="D1751" t="s">
        <v>734</v>
      </c>
      <c r="E1751">
        <v>62</v>
      </c>
      <c r="F1751">
        <v>75</v>
      </c>
      <c r="G1751">
        <v>0</v>
      </c>
      <c r="H1751">
        <v>25</v>
      </c>
      <c r="I1751">
        <v>0</v>
      </c>
      <c r="J1751" s="1">
        <v>45928.074862326386</v>
      </c>
      <c r="K1751" t="s">
        <v>728</v>
      </c>
      <c r="L1751">
        <f>COUNTIF($A$2:A1751,A1751)</f>
        <v>7</v>
      </c>
    </row>
    <row r="1752" spans="1:12" x14ac:dyDescent="0.3">
      <c r="A1752">
        <v>22601</v>
      </c>
      <c r="B1752" t="s">
        <v>727</v>
      </c>
      <c r="C1752" t="s">
        <v>735</v>
      </c>
      <c r="D1752" t="s">
        <v>736</v>
      </c>
      <c r="E1752">
        <v>0</v>
      </c>
      <c r="F1752">
        <v>75</v>
      </c>
      <c r="G1752">
        <v>0</v>
      </c>
      <c r="H1752">
        <v>25</v>
      </c>
      <c r="I1752">
        <v>0</v>
      </c>
      <c r="J1752" s="1">
        <v>45928.074883657406</v>
      </c>
      <c r="K1752" t="s">
        <v>728</v>
      </c>
      <c r="L1752">
        <f>COUNTIF($A$2:A1752,A1752)</f>
        <v>8</v>
      </c>
    </row>
    <row r="1753" spans="1:12" x14ac:dyDescent="0.3">
      <c r="A1753">
        <v>22601</v>
      </c>
      <c r="B1753" t="s">
        <v>727</v>
      </c>
      <c r="C1753" t="s">
        <v>661</v>
      </c>
      <c r="D1753" t="s">
        <v>662</v>
      </c>
      <c r="E1753">
        <v>65</v>
      </c>
      <c r="F1753">
        <v>75</v>
      </c>
      <c r="G1753">
        <v>0</v>
      </c>
      <c r="H1753">
        <v>25</v>
      </c>
      <c r="I1753">
        <v>0</v>
      </c>
      <c r="J1753" s="1">
        <v>45928.0749005787</v>
      </c>
      <c r="K1753" t="s">
        <v>728</v>
      </c>
      <c r="L1753">
        <f>COUNTIF($A$2:A1753,A1753)</f>
        <v>9</v>
      </c>
    </row>
    <row r="1754" spans="1:12" x14ac:dyDescent="0.3">
      <c r="A1754">
        <v>22601</v>
      </c>
      <c r="B1754" t="s">
        <v>727</v>
      </c>
      <c r="C1754" t="s">
        <v>659</v>
      </c>
      <c r="D1754" t="s">
        <v>660</v>
      </c>
      <c r="E1754">
        <v>64</v>
      </c>
      <c r="F1754">
        <v>75</v>
      </c>
      <c r="G1754">
        <v>0</v>
      </c>
      <c r="H1754">
        <v>25</v>
      </c>
      <c r="I1754">
        <v>0</v>
      </c>
      <c r="J1754" s="1">
        <v>45928.074920069441</v>
      </c>
      <c r="K1754" t="s">
        <v>728</v>
      </c>
      <c r="L1754">
        <f>COUNTIF($A$2:A1754,A1754)</f>
        <v>10</v>
      </c>
    </row>
    <row r="1755" spans="1:12" x14ac:dyDescent="0.3">
      <c r="A1755">
        <v>22601</v>
      </c>
      <c r="B1755" t="s">
        <v>727</v>
      </c>
      <c r="C1755" t="s">
        <v>487</v>
      </c>
      <c r="D1755" t="s">
        <v>488</v>
      </c>
      <c r="E1755">
        <v>70</v>
      </c>
      <c r="F1755">
        <v>75</v>
      </c>
      <c r="G1755">
        <v>0</v>
      </c>
      <c r="H1755">
        <v>25</v>
      </c>
      <c r="I1755">
        <v>0</v>
      </c>
      <c r="J1755" s="1">
        <v>45928.074940833336</v>
      </c>
      <c r="K1755" t="s">
        <v>728</v>
      </c>
      <c r="L1755">
        <f>COUNTIF($A$2:A1755,A1755)</f>
        <v>11</v>
      </c>
    </row>
    <row r="1756" spans="1:12" x14ac:dyDescent="0.3">
      <c r="A1756">
        <v>22601</v>
      </c>
      <c r="B1756" t="s">
        <v>727</v>
      </c>
      <c r="C1756" t="s">
        <v>485</v>
      </c>
      <c r="D1756" t="s">
        <v>486</v>
      </c>
      <c r="E1756">
        <v>66</v>
      </c>
      <c r="F1756">
        <v>75</v>
      </c>
      <c r="G1756">
        <v>0</v>
      </c>
      <c r="H1756">
        <v>25</v>
      </c>
      <c r="I1756">
        <v>0</v>
      </c>
      <c r="J1756" s="1">
        <v>45928.074960231483</v>
      </c>
      <c r="K1756" t="s">
        <v>728</v>
      </c>
      <c r="L1756">
        <f>COUNTIF($A$2:A1756,A1756)</f>
        <v>12</v>
      </c>
    </row>
    <row r="1757" spans="1:12" x14ac:dyDescent="0.3">
      <c r="A1757">
        <v>22601</v>
      </c>
      <c r="B1757" t="s">
        <v>727</v>
      </c>
      <c r="C1757" t="s">
        <v>483</v>
      </c>
      <c r="D1757" t="s">
        <v>484</v>
      </c>
      <c r="E1757">
        <v>61</v>
      </c>
      <c r="F1757">
        <v>75</v>
      </c>
      <c r="G1757">
        <v>0</v>
      </c>
      <c r="H1757">
        <v>25</v>
      </c>
      <c r="I1757">
        <v>0</v>
      </c>
      <c r="J1757" s="1">
        <v>45928.074975393516</v>
      </c>
      <c r="K1757" t="s">
        <v>728</v>
      </c>
      <c r="L1757">
        <f>COUNTIF($A$2:A1757,A1757)</f>
        <v>13</v>
      </c>
    </row>
    <row r="1758" spans="1:12" x14ac:dyDescent="0.3">
      <c r="A1758">
        <v>22601</v>
      </c>
      <c r="B1758" t="s">
        <v>727</v>
      </c>
      <c r="C1758" t="s">
        <v>481</v>
      </c>
      <c r="D1758" t="s">
        <v>482</v>
      </c>
      <c r="E1758">
        <v>61</v>
      </c>
      <c r="F1758">
        <v>75</v>
      </c>
      <c r="G1758">
        <v>0</v>
      </c>
      <c r="H1758">
        <v>25</v>
      </c>
      <c r="I1758">
        <v>0</v>
      </c>
      <c r="J1758" s="1">
        <v>45928.074993912036</v>
      </c>
      <c r="K1758" t="s">
        <v>728</v>
      </c>
      <c r="L1758">
        <f>COUNTIF($A$2:A1758,A1758)</f>
        <v>14</v>
      </c>
    </row>
    <row r="1759" spans="1:12" x14ac:dyDescent="0.3">
      <c r="A1759">
        <v>22601</v>
      </c>
      <c r="B1759" t="s">
        <v>727</v>
      </c>
      <c r="C1759" t="s">
        <v>739</v>
      </c>
      <c r="D1759" t="s">
        <v>740</v>
      </c>
      <c r="E1759">
        <v>40</v>
      </c>
      <c r="F1759">
        <v>75</v>
      </c>
      <c r="G1759">
        <v>0</v>
      </c>
      <c r="H1759">
        <v>25</v>
      </c>
      <c r="I1759">
        <v>0</v>
      </c>
      <c r="J1759" s="1">
        <v>45928.075100902781</v>
      </c>
      <c r="K1759" t="s">
        <v>728</v>
      </c>
      <c r="L1759">
        <f>COUNTIF($A$2:A1759,A1759)</f>
        <v>15</v>
      </c>
    </row>
    <row r="1760" spans="1:12" x14ac:dyDescent="0.3">
      <c r="A1760">
        <v>22601</v>
      </c>
      <c r="B1760" t="s">
        <v>727</v>
      </c>
      <c r="C1760" t="s">
        <v>192</v>
      </c>
      <c r="D1760" t="s">
        <v>193</v>
      </c>
      <c r="E1760">
        <v>63</v>
      </c>
      <c r="F1760">
        <v>50</v>
      </c>
      <c r="G1760">
        <v>25</v>
      </c>
      <c r="H1760">
        <v>25</v>
      </c>
      <c r="I1760">
        <v>0</v>
      </c>
      <c r="J1760" s="1">
        <v>45928.074795162036</v>
      </c>
      <c r="K1760" t="s">
        <v>728</v>
      </c>
      <c r="L1760">
        <f>COUNTIF($A$2:A1760,A1760)</f>
        <v>16</v>
      </c>
    </row>
    <row r="1761" spans="1:12" x14ac:dyDescent="0.3">
      <c r="A1761">
        <v>22601</v>
      </c>
      <c r="B1761" t="s">
        <v>727</v>
      </c>
      <c r="C1761" t="s">
        <v>729</v>
      </c>
      <c r="D1761" t="s">
        <v>730</v>
      </c>
      <c r="E1761">
        <v>59</v>
      </c>
      <c r="F1761">
        <v>50</v>
      </c>
      <c r="G1761">
        <v>25</v>
      </c>
      <c r="H1761">
        <v>25</v>
      </c>
      <c r="I1761">
        <v>0</v>
      </c>
      <c r="J1761" s="1">
        <v>45928.07481096065</v>
      </c>
      <c r="K1761" t="s">
        <v>728</v>
      </c>
      <c r="L1761">
        <f>COUNTIF($A$2:A1761,A1761)</f>
        <v>17</v>
      </c>
    </row>
    <row r="1762" spans="1:12" x14ac:dyDescent="0.3">
      <c r="A1762">
        <v>22601</v>
      </c>
      <c r="B1762" t="s">
        <v>727</v>
      </c>
      <c r="C1762" t="s">
        <v>476</v>
      </c>
      <c r="D1762" t="s">
        <v>476</v>
      </c>
      <c r="E1762">
        <v>54</v>
      </c>
      <c r="F1762">
        <v>50</v>
      </c>
      <c r="G1762">
        <v>25</v>
      </c>
      <c r="H1762">
        <v>25</v>
      </c>
      <c r="I1762">
        <v>0</v>
      </c>
      <c r="J1762" s="1">
        <v>45928.075010439818</v>
      </c>
      <c r="K1762" t="s">
        <v>728</v>
      </c>
      <c r="L1762">
        <f>COUNTIF($A$2:A1762,A1762)</f>
        <v>18</v>
      </c>
    </row>
    <row r="1763" spans="1:12" x14ac:dyDescent="0.3">
      <c r="A1763">
        <v>22601</v>
      </c>
      <c r="B1763" t="s">
        <v>727</v>
      </c>
      <c r="C1763" t="s">
        <v>190</v>
      </c>
      <c r="D1763" t="s">
        <v>191</v>
      </c>
      <c r="E1763">
        <v>73</v>
      </c>
      <c r="F1763">
        <v>25</v>
      </c>
      <c r="G1763">
        <v>50</v>
      </c>
      <c r="H1763">
        <v>25</v>
      </c>
      <c r="I1763">
        <v>0</v>
      </c>
      <c r="J1763" s="1">
        <v>45928.074827384262</v>
      </c>
      <c r="K1763" t="s">
        <v>728</v>
      </c>
      <c r="L1763">
        <f>COUNTIF($A$2:A1763,A1763)</f>
        <v>19</v>
      </c>
    </row>
    <row r="1764" spans="1:12" x14ac:dyDescent="0.3">
      <c r="A1764">
        <v>22601</v>
      </c>
      <c r="B1764" t="s">
        <v>727</v>
      </c>
      <c r="C1764" t="s">
        <v>474</v>
      </c>
      <c r="D1764" t="s">
        <v>475</v>
      </c>
      <c r="E1764">
        <v>67</v>
      </c>
      <c r="F1764">
        <v>25</v>
      </c>
      <c r="G1764">
        <v>50</v>
      </c>
      <c r="H1764">
        <v>25</v>
      </c>
      <c r="I1764">
        <v>0</v>
      </c>
      <c r="J1764" s="1">
        <v>45928.075027060186</v>
      </c>
      <c r="K1764" t="s">
        <v>728</v>
      </c>
      <c r="L1764">
        <f>COUNTIF($A$2:A1764,A1764)</f>
        <v>20</v>
      </c>
    </row>
    <row r="1765" spans="1:12" x14ac:dyDescent="0.3">
      <c r="A1765">
        <v>22601</v>
      </c>
      <c r="B1765" t="s">
        <v>727</v>
      </c>
      <c r="C1765" t="s">
        <v>653</v>
      </c>
      <c r="D1765" t="s">
        <v>654</v>
      </c>
      <c r="E1765">
        <v>59</v>
      </c>
      <c r="F1765">
        <v>25</v>
      </c>
      <c r="G1765">
        <v>50</v>
      </c>
      <c r="H1765">
        <v>25</v>
      </c>
      <c r="I1765">
        <v>0</v>
      </c>
      <c r="J1765" s="1">
        <v>45928.075064907411</v>
      </c>
      <c r="K1765" t="s">
        <v>728</v>
      </c>
      <c r="L1765">
        <f>COUNTIF($A$2:A1765,A1765)</f>
        <v>21</v>
      </c>
    </row>
    <row r="1766" spans="1:12" x14ac:dyDescent="0.3">
      <c r="A1766">
        <v>22601</v>
      </c>
      <c r="B1766" t="s">
        <v>727</v>
      </c>
      <c r="C1766" t="s">
        <v>472</v>
      </c>
      <c r="D1766" t="s">
        <v>473</v>
      </c>
      <c r="E1766">
        <v>66</v>
      </c>
      <c r="F1766">
        <v>0</v>
      </c>
      <c r="G1766">
        <v>75</v>
      </c>
      <c r="H1766">
        <v>25</v>
      </c>
      <c r="I1766">
        <v>0</v>
      </c>
      <c r="J1766" s="1">
        <v>45928.075044675927</v>
      </c>
      <c r="K1766" t="s">
        <v>728</v>
      </c>
      <c r="L1766">
        <f>COUNTIF($A$2:A1766,A1766)</f>
        <v>22</v>
      </c>
    </row>
    <row r="1767" spans="1:12" x14ac:dyDescent="0.3">
      <c r="A1767">
        <v>22601</v>
      </c>
      <c r="B1767" t="s">
        <v>727</v>
      </c>
      <c r="C1767" t="s">
        <v>737</v>
      </c>
      <c r="D1767" t="s">
        <v>738</v>
      </c>
      <c r="E1767">
        <v>90</v>
      </c>
      <c r="F1767">
        <v>0</v>
      </c>
      <c r="G1767">
        <v>50</v>
      </c>
      <c r="H1767">
        <v>50</v>
      </c>
      <c r="I1767">
        <v>0</v>
      </c>
      <c r="J1767" s="1">
        <v>45928.075086006946</v>
      </c>
      <c r="K1767" t="s">
        <v>728</v>
      </c>
      <c r="L1767">
        <f>COUNTIF($A$2:A1767,A1767)</f>
        <v>23</v>
      </c>
    </row>
    <row r="1768" spans="1:12" x14ac:dyDescent="0.3">
      <c r="A1768">
        <v>22602</v>
      </c>
      <c r="B1768" t="s">
        <v>727</v>
      </c>
      <c r="C1768" t="s">
        <v>739</v>
      </c>
      <c r="D1768" t="s">
        <v>740</v>
      </c>
      <c r="E1768">
        <v>2</v>
      </c>
      <c r="F1768">
        <v>100</v>
      </c>
      <c r="G1768">
        <v>0</v>
      </c>
      <c r="H1768">
        <v>0</v>
      </c>
      <c r="I1768">
        <v>0</v>
      </c>
      <c r="J1768" s="1">
        <v>45928.075155578706</v>
      </c>
      <c r="K1768" t="s">
        <v>741</v>
      </c>
      <c r="L1768">
        <f>COUNTIF($A$2:A1768,A1768)</f>
        <v>1</v>
      </c>
    </row>
    <row r="1769" spans="1:12" x14ac:dyDescent="0.3">
      <c r="A1769">
        <v>22602</v>
      </c>
      <c r="B1769" t="s">
        <v>727</v>
      </c>
      <c r="C1769" t="s">
        <v>476</v>
      </c>
      <c r="D1769" t="s">
        <v>476</v>
      </c>
      <c r="E1769">
        <v>0</v>
      </c>
      <c r="F1769">
        <v>100</v>
      </c>
      <c r="G1769">
        <v>0</v>
      </c>
      <c r="H1769">
        <v>0</v>
      </c>
      <c r="I1769">
        <v>0</v>
      </c>
      <c r="J1769" s="1">
        <v>45928.075251863425</v>
      </c>
      <c r="K1769" t="s">
        <v>741</v>
      </c>
      <c r="L1769">
        <f>COUNTIF($A$2:A1769,A1769)</f>
        <v>2</v>
      </c>
    </row>
    <row r="1770" spans="1:12" x14ac:dyDescent="0.3">
      <c r="A1770">
        <v>22602</v>
      </c>
      <c r="B1770" t="s">
        <v>727</v>
      </c>
      <c r="C1770" t="s">
        <v>661</v>
      </c>
      <c r="D1770" t="s">
        <v>662</v>
      </c>
      <c r="E1770">
        <v>0</v>
      </c>
      <c r="F1770">
        <v>100</v>
      </c>
      <c r="G1770">
        <v>0</v>
      </c>
      <c r="H1770">
        <v>0</v>
      </c>
      <c r="I1770">
        <v>0</v>
      </c>
      <c r="J1770" s="1">
        <v>45928.075371851854</v>
      </c>
      <c r="K1770" t="s">
        <v>741</v>
      </c>
      <c r="L1770">
        <f>COUNTIF($A$2:A1770,A1770)</f>
        <v>3</v>
      </c>
    </row>
    <row r="1771" spans="1:12" x14ac:dyDescent="0.3">
      <c r="A1771">
        <v>22602</v>
      </c>
      <c r="B1771" t="s">
        <v>727</v>
      </c>
      <c r="C1771" t="s">
        <v>21</v>
      </c>
      <c r="D1771" t="s">
        <v>22</v>
      </c>
      <c r="E1771">
        <v>2</v>
      </c>
      <c r="F1771">
        <v>100</v>
      </c>
      <c r="G1771">
        <v>0</v>
      </c>
      <c r="H1771">
        <v>0</v>
      </c>
      <c r="I1771">
        <v>0</v>
      </c>
      <c r="J1771" s="1">
        <v>45928.075533113428</v>
      </c>
      <c r="K1771" t="s">
        <v>741</v>
      </c>
      <c r="L1771">
        <f>COUNTIF($A$2:A1771,A1771)</f>
        <v>4</v>
      </c>
    </row>
    <row r="1772" spans="1:12" x14ac:dyDescent="0.3">
      <c r="A1772">
        <v>22602</v>
      </c>
      <c r="B1772" t="s">
        <v>727</v>
      </c>
      <c r="C1772" t="s">
        <v>19</v>
      </c>
      <c r="D1772" t="s">
        <v>20</v>
      </c>
      <c r="E1772">
        <v>5</v>
      </c>
      <c r="F1772">
        <v>100</v>
      </c>
      <c r="G1772">
        <v>0</v>
      </c>
      <c r="H1772">
        <v>0</v>
      </c>
      <c r="I1772">
        <v>0</v>
      </c>
      <c r="J1772" s="1">
        <v>45928.075551724534</v>
      </c>
      <c r="K1772" t="s">
        <v>741</v>
      </c>
      <c r="L1772">
        <f>COUNTIF($A$2:A1772,A1772)</f>
        <v>5</v>
      </c>
    </row>
    <row r="1773" spans="1:12" x14ac:dyDescent="0.3">
      <c r="A1773">
        <v>22602</v>
      </c>
      <c r="B1773" t="s">
        <v>727</v>
      </c>
      <c r="C1773" t="s">
        <v>17</v>
      </c>
      <c r="D1773" t="s">
        <v>18</v>
      </c>
      <c r="E1773">
        <v>0</v>
      </c>
      <c r="F1773">
        <v>100</v>
      </c>
      <c r="G1773">
        <v>0</v>
      </c>
      <c r="H1773">
        <v>0</v>
      </c>
      <c r="I1773">
        <v>0</v>
      </c>
      <c r="J1773" s="1">
        <v>45928.075572453701</v>
      </c>
      <c r="K1773" t="s">
        <v>741</v>
      </c>
      <c r="L1773">
        <f>COUNTIF($A$2:A1773,A1773)</f>
        <v>6</v>
      </c>
    </row>
    <row r="1774" spans="1:12" x14ac:dyDescent="0.3">
      <c r="A1774">
        <v>22602</v>
      </c>
      <c r="B1774" t="s">
        <v>727</v>
      </c>
      <c r="C1774" t="s">
        <v>485</v>
      </c>
      <c r="D1774" t="s">
        <v>486</v>
      </c>
      <c r="E1774">
        <v>17</v>
      </c>
      <c r="F1774">
        <v>75</v>
      </c>
      <c r="G1774">
        <v>25</v>
      </c>
      <c r="H1774">
        <v>0</v>
      </c>
      <c r="I1774">
        <v>0</v>
      </c>
      <c r="J1774" s="1">
        <v>45928.075314247682</v>
      </c>
      <c r="K1774" t="s">
        <v>741</v>
      </c>
      <c r="L1774">
        <f>COUNTIF($A$2:A1774,A1774)</f>
        <v>7</v>
      </c>
    </row>
    <row r="1775" spans="1:12" x14ac:dyDescent="0.3">
      <c r="A1775">
        <v>22602</v>
      </c>
      <c r="B1775" t="s">
        <v>727</v>
      </c>
      <c r="C1775" t="s">
        <v>733</v>
      </c>
      <c r="D1775" t="s">
        <v>734</v>
      </c>
      <c r="E1775">
        <v>12</v>
      </c>
      <c r="F1775">
        <v>75</v>
      </c>
      <c r="G1775">
        <v>25</v>
      </c>
      <c r="H1775">
        <v>0</v>
      </c>
      <c r="I1775">
        <v>0</v>
      </c>
      <c r="J1775" s="1">
        <v>45928.075413657411</v>
      </c>
      <c r="K1775" t="s">
        <v>741</v>
      </c>
      <c r="L1775">
        <f>COUNTIF($A$2:A1775,A1775)</f>
        <v>8</v>
      </c>
    </row>
    <row r="1776" spans="1:12" x14ac:dyDescent="0.3">
      <c r="A1776">
        <v>22602</v>
      </c>
      <c r="B1776" t="s">
        <v>727</v>
      </c>
      <c r="C1776" t="s">
        <v>190</v>
      </c>
      <c r="D1776" t="s">
        <v>191</v>
      </c>
      <c r="E1776">
        <v>4</v>
      </c>
      <c r="F1776">
        <v>75</v>
      </c>
      <c r="G1776">
        <v>25</v>
      </c>
      <c r="H1776">
        <v>0</v>
      </c>
      <c r="I1776">
        <v>0</v>
      </c>
      <c r="J1776" s="1">
        <v>45928.075460208333</v>
      </c>
      <c r="K1776" t="s">
        <v>741</v>
      </c>
      <c r="L1776">
        <f>COUNTIF($A$2:A1776,A1776)</f>
        <v>9</v>
      </c>
    </row>
    <row r="1777" spans="1:12" x14ac:dyDescent="0.3">
      <c r="A1777">
        <v>22602</v>
      </c>
      <c r="B1777" t="s">
        <v>727</v>
      </c>
      <c r="C1777" t="s">
        <v>729</v>
      </c>
      <c r="D1777" t="s">
        <v>730</v>
      </c>
      <c r="E1777">
        <v>8</v>
      </c>
      <c r="F1777">
        <v>75</v>
      </c>
      <c r="G1777">
        <v>25</v>
      </c>
      <c r="H1777">
        <v>0</v>
      </c>
      <c r="I1777">
        <v>0</v>
      </c>
      <c r="J1777" s="1">
        <v>45928.075477106482</v>
      </c>
      <c r="K1777" t="s">
        <v>741</v>
      </c>
      <c r="L1777">
        <f>COUNTIF($A$2:A1777,A1777)</f>
        <v>10</v>
      </c>
    </row>
    <row r="1778" spans="1:12" x14ac:dyDescent="0.3">
      <c r="A1778">
        <v>22602</v>
      </c>
      <c r="B1778" t="s">
        <v>727</v>
      </c>
      <c r="C1778" t="s">
        <v>192</v>
      </c>
      <c r="D1778" t="s">
        <v>193</v>
      </c>
      <c r="E1778">
        <v>8</v>
      </c>
      <c r="F1778">
        <v>75</v>
      </c>
      <c r="G1778">
        <v>25</v>
      </c>
      <c r="H1778">
        <v>0</v>
      </c>
      <c r="I1778">
        <v>0</v>
      </c>
      <c r="J1778" s="1">
        <v>45928.075495381941</v>
      </c>
      <c r="K1778" t="s">
        <v>741</v>
      </c>
      <c r="L1778">
        <f>COUNTIF($A$2:A1778,A1778)</f>
        <v>11</v>
      </c>
    </row>
    <row r="1779" spans="1:12" x14ac:dyDescent="0.3">
      <c r="A1779">
        <v>22602</v>
      </c>
      <c r="B1779" t="s">
        <v>727</v>
      </c>
      <c r="C1779" t="s">
        <v>12</v>
      </c>
      <c r="D1779" t="s">
        <v>13</v>
      </c>
      <c r="E1779">
        <v>10</v>
      </c>
      <c r="F1779">
        <v>75</v>
      </c>
      <c r="G1779">
        <v>25</v>
      </c>
      <c r="H1779">
        <v>0</v>
      </c>
      <c r="I1779">
        <v>0</v>
      </c>
      <c r="J1779" s="1">
        <v>45928.075613969908</v>
      </c>
      <c r="K1779" t="s">
        <v>741</v>
      </c>
      <c r="L1779">
        <f>COUNTIF($A$2:A1779,A1779)</f>
        <v>12</v>
      </c>
    </row>
    <row r="1780" spans="1:12" x14ac:dyDescent="0.3">
      <c r="A1780">
        <v>22602</v>
      </c>
      <c r="B1780" t="s">
        <v>727</v>
      </c>
      <c r="C1780" t="s">
        <v>653</v>
      </c>
      <c r="D1780" t="s">
        <v>654</v>
      </c>
      <c r="E1780">
        <v>18</v>
      </c>
      <c r="F1780">
        <v>50</v>
      </c>
      <c r="G1780">
        <v>50</v>
      </c>
      <c r="H1780">
        <v>0</v>
      </c>
      <c r="I1780">
        <v>0</v>
      </c>
      <c r="J1780" s="1">
        <v>45928.075192766206</v>
      </c>
      <c r="K1780" t="s">
        <v>741</v>
      </c>
      <c r="L1780">
        <f>COUNTIF($A$2:A1780,A1780)</f>
        <v>13</v>
      </c>
    </row>
    <row r="1781" spans="1:12" x14ac:dyDescent="0.3">
      <c r="A1781">
        <v>22602</v>
      </c>
      <c r="B1781" t="s">
        <v>727</v>
      </c>
      <c r="C1781" t="s">
        <v>481</v>
      </c>
      <c r="D1781" t="s">
        <v>482</v>
      </c>
      <c r="E1781">
        <v>13</v>
      </c>
      <c r="F1781">
        <v>50</v>
      </c>
      <c r="G1781">
        <v>50</v>
      </c>
      <c r="H1781">
        <v>0</v>
      </c>
      <c r="I1781">
        <v>0</v>
      </c>
      <c r="J1781" s="1">
        <v>45928.075268553242</v>
      </c>
      <c r="K1781" t="s">
        <v>741</v>
      </c>
      <c r="L1781">
        <f>COUNTIF($A$2:A1781,A1781)</f>
        <v>14</v>
      </c>
    </row>
    <row r="1782" spans="1:12" x14ac:dyDescent="0.3">
      <c r="A1782">
        <v>22602</v>
      </c>
      <c r="B1782" t="s">
        <v>727</v>
      </c>
      <c r="C1782" t="s">
        <v>483</v>
      </c>
      <c r="D1782" t="s">
        <v>484</v>
      </c>
      <c r="E1782">
        <v>0</v>
      </c>
      <c r="F1782">
        <v>50</v>
      </c>
      <c r="G1782">
        <v>50</v>
      </c>
      <c r="H1782">
        <v>0</v>
      </c>
      <c r="I1782">
        <v>0</v>
      </c>
      <c r="J1782" s="1">
        <v>45928.075293252317</v>
      </c>
      <c r="K1782" t="s">
        <v>741</v>
      </c>
      <c r="L1782">
        <f>COUNTIF($A$2:A1782,A1782)</f>
        <v>15</v>
      </c>
    </row>
    <row r="1783" spans="1:12" x14ac:dyDescent="0.3">
      <c r="A1783">
        <v>22602</v>
      </c>
      <c r="B1783" t="s">
        <v>727</v>
      </c>
      <c r="C1783" t="s">
        <v>487</v>
      </c>
      <c r="D1783" t="s">
        <v>488</v>
      </c>
      <c r="E1783">
        <v>15</v>
      </c>
      <c r="F1783">
        <v>50</v>
      </c>
      <c r="G1783">
        <v>50</v>
      </c>
      <c r="H1783">
        <v>0</v>
      </c>
      <c r="I1783">
        <v>0</v>
      </c>
      <c r="J1783" s="1">
        <v>45928.075331840279</v>
      </c>
      <c r="K1783" t="s">
        <v>741</v>
      </c>
      <c r="L1783">
        <f>COUNTIF($A$2:A1783,A1783)</f>
        <v>16</v>
      </c>
    </row>
    <row r="1784" spans="1:12" x14ac:dyDescent="0.3">
      <c r="A1784">
        <v>22602</v>
      </c>
      <c r="B1784" t="s">
        <v>727</v>
      </c>
      <c r="C1784" t="s">
        <v>659</v>
      </c>
      <c r="D1784" t="s">
        <v>660</v>
      </c>
      <c r="E1784">
        <v>21</v>
      </c>
      <c r="F1784">
        <v>50</v>
      </c>
      <c r="G1784">
        <v>50</v>
      </c>
      <c r="H1784">
        <v>0</v>
      </c>
      <c r="I1784">
        <v>0</v>
      </c>
      <c r="J1784" s="1">
        <v>45928.075351446758</v>
      </c>
      <c r="K1784" t="s">
        <v>741</v>
      </c>
      <c r="L1784">
        <f>COUNTIF($A$2:A1784,A1784)</f>
        <v>17</v>
      </c>
    </row>
    <row r="1785" spans="1:12" x14ac:dyDescent="0.3">
      <c r="A1785">
        <v>22602</v>
      </c>
      <c r="B1785" t="s">
        <v>727</v>
      </c>
      <c r="C1785" t="s">
        <v>735</v>
      </c>
      <c r="D1785" t="s">
        <v>736</v>
      </c>
      <c r="E1785">
        <v>13</v>
      </c>
      <c r="F1785">
        <v>50</v>
      </c>
      <c r="G1785">
        <v>50</v>
      </c>
      <c r="H1785">
        <v>0</v>
      </c>
      <c r="I1785">
        <v>0</v>
      </c>
      <c r="J1785" s="1">
        <v>45928.075390983795</v>
      </c>
      <c r="K1785" t="s">
        <v>741</v>
      </c>
      <c r="L1785">
        <f>COUNTIF($A$2:A1785,A1785)</f>
        <v>18</v>
      </c>
    </row>
    <row r="1786" spans="1:12" x14ac:dyDescent="0.3">
      <c r="A1786">
        <v>22602</v>
      </c>
      <c r="B1786" t="s">
        <v>727</v>
      </c>
      <c r="C1786" t="s">
        <v>194</v>
      </c>
      <c r="D1786" t="s">
        <v>195</v>
      </c>
      <c r="E1786">
        <v>12</v>
      </c>
      <c r="F1786">
        <v>50</v>
      </c>
      <c r="G1786">
        <v>50</v>
      </c>
      <c r="H1786">
        <v>0</v>
      </c>
      <c r="I1786">
        <v>0</v>
      </c>
      <c r="J1786" s="1">
        <v>45928.075513055555</v>
      </c>
      <c r="K1786" t="s">
        <v>741</v>
      </c>
      <c r="L1786">
        <f>COUNTIF($A$2:A1786,A1786)</f>
        <v>19</v>
      </c>
    </row>
    <row r="1787" spans="1:12" x14ac:dyDescent="0.3">
      <c r="A1787">
        <v>22602</v>
      </c>
      <c r="B1787" t="s">
        <v>727</v>
      </c>
      <c r="C1787" t="s">
        <v>34</v>
      </c>
      <c r="D1787" t="s">
        <v>35</v>
      </c>
      <c r="E1787">
        <v>19</v>
      </c>
      <c r="F1787">
        <v>50</v>
      </c>
      <c r="G1787">
        <v>50</v>
      </c>
      <c r="H1787">
        <v>0</v>
      </c>
      <c r="I1787">
        <v>0</v>
      </c>
      <c r="J1787" s="1">
        <v>45928.075592951391</v>
      </c>
      <c r="K1787" t="s">
        <v>741</v>
      </c>
      <c r="L1787">
        <f>COUNTIF($A$2:A1787,A1787)</f>
        <v>20</v>
      </c>
    </row>
    <row r="1788" spans="1:12" x14ac:dyDescent="0.3">
      <c r="A1788">
        <v>22602</v>
      </c>
      <c r="B1788" t="s">
        <v>727</v>
      </c>
      <c r="C1788" t="s">
        <v>472</v>
      </c>
      <c r="D1788" t="s">
        <v>473</v>
      </c>
      <c r="E1788">
        <v>30</v>
      </c>
      <c r="F1788">
        <v>25</v>
      </c>
      <c r="G1788">
        <v>75</v>
      </c>
      <c r="H1788">
        <v>0</v>
      </c>
      <c r="I1788">
        <v>0</v>
      </c>
      <c r="J1788" s="1">
        <v>45928.075209305556</v>
      </c>
      <c r="K1788" t="s">
        <v>741</v>
      </c>
      <c r="L1788">
        <f>COUNTIF($A$2:A1788,A1788)</f>
        <v>21</v>
      </c>
    </row>
    <row r="1789" spans="1:12" x14ac:dyDescent="0.3">
      <c r="A1789">
        <v>22602</v>
      </c>
      <c r="B1789" t="s">
        <v>727</v>
      </c>
      <c r="C1789" t="s">
        <v>731</v>
      </c>
      <c r="D1789" t="s">
        <v>732</v>
      </c>
      <c r="E1789">
        <v>19</v>
      </c>
      <c r="F1789">
        <v>25</v>
      </c>
      <c r="G1789">
        <v>75</v>
      </c>
      <c r="H1789">
        <v>0</v>
      </c>
      <c r="I1789">
        <v>0</v>
      </c>
      <c r="J1789" s="1">
        <v>45928.075440694447</v>
      </c>
      <c r="K1789" t="s">
        <v>741</v>
      </c>
      <c r="L1789">
        <f>COUNTIF($A$2:A1789,A1789)</f>
        <v>22</v>
      </c>
    </row>
    <row r="1790" spans="1:12" x14ac:dyDescent="0.3">
      <c r="A1790">
        <v>22602</v>
      </c>
      <c r="B1790" t="s">
        <v>727</v>
      </c>
      <c r="C1790" t="s">
        <v>737</v>
      </c>
      <c r="D1790" t="s">
        <v>738</v>
      </c>
      <c r="E1790">
        <v>0</v>
      </c>
      <c r="F1790">
        <v>0</v>
      </c>
      <c r="G1790">
        <v>100</v>
      </c>
      <c r="H1790">
        <v>0</v>
      </c>
      <c r="I1790">
        <v>0</v>
      </c>
      <c r="J1790" s="1">
        <v>45928.075175300924</v>
      </c>
      <c r="K1790" t="s">
        <v>741</v>
      </c>
      <c r="L1790">
        <f>COUNTIF($A$2:A1790,A1790)</f>
        <v>23</v>
      </c>
    </row>
    <row r="1791" spans="1:12" x14ac:dyDescent="0.3">
      <c r="A1791">
        <v>22602</v>
      </c>
      <c r="B1791" t="s">
        <v>727</v>
      </c>
      <c r="C1791" t="s">
        <v>474</v>
      </c>
      <c r="D1791" t="s">
        <v>475</v>
      </c>
      <c r="E1791">
        <v>26</v>
      </c>
      <c r="F1791">
        <v>0</v>
      </c>
      <c r="G1791">
        <v>100</v>
      </c>
      <c r="H1791">
        <v>0</v>
      </c>
      <c r="I1791">
        <v>0</v>
      </c>
      <c r="J1791" s="1">
        <v>45928.075230902781</v>
      </c>
      <c r="K1791" t="s">
        <v>741</v>
      </c>
      <c r="L1791">
        <f>COUNTIF($A$2:A1791,A1791)</f>
        <v>24</v>
      </c>
    </row>
    <row r="1792" spans="1:12" x14ac:dyDescent="0.3">
      <c r="A1792">
        <v>22651</v>
      </c>
      <c r="B1792" t="s">
        <v>437</v>
      </c>
      <c r="C1792" t="s">
        <v>461</v>
      </c>
      <c r="D1792" t="s">
        <v>462</v>
      </c>
      <c r="E1792">
        <v>1</v>
      </c>
      <c r="F1792">
        <v>100</v>
      </c>
      <c r="G1792">
        <v>0</v>
      </c>
      <c r="H1792">
        <v>0</v>
      </c>
      <c r="I1792">
        <v>0</v>
      </c>
      <c r="J1792" s="1">
        <v>45927.788889988427</v>
      </c>
      <c r="K1792" t="s">
        <v>438</v>
      </c>
      <c r="L1792">
        <f>COUNTIF($A$2:A1792,A1792)</f>
        <v>1</v>
      </c>
    </row>
    <row r="1793" spans="1:12" x14ac:dyDescent="0.3">
      <c r="A1793">
        <v>22651</v>
      </c>
      <c r="B1793" t="s">
        <v>437</v>
      </c>
      <c r="C1793" t="s">
        <v>269</v>
      </c>
      <c r="D1793" t="s">
        <v>270</v>
      </c>
      <c r="E1793">
        <v>0</v>
      </c>
      <c r="F1793">
        <v>100</v>
      </c>
      <c r="G1793">
        <v>0</v>
      </c>
      <c r="H1793">
        <v>0</v>
      </c>
      <c r="I1793">
        <v>0</v>
      </c>
      <c r="J1793" s="1">
        <v>45927.788906932874</v>
      </c>
      <c r="K1793" t="s">
        <v>438</v>
      </c>
      <c r="L1793">
        <f>COUNTIF($A$2:A1793,A1793)</f>
        <v>2</v>
      </c>
    </row>
    <row r="1794" spans="1:12" x14ac:dyDescent="0.3">
      <c r="A1794">
        <v>22651</v>
      </c>
      <c r="B1794" t="s">
        <v>437</v>
      </c>
      <c r="C1794" t="s">
        <v>12</v>
      </c>
      <c r="D1794" t="s">
        <v>13</v>
      </c>
      <c r="E1794">
        <v>3</v>
      </c>
      <c r="F1794">
        <v>96.67</v>
      </c>
      <c r="G1794">
        <v>3.33</v>
      </c>
      <c r="H1794">
        <v>0</v>
      </c>
      <c r="I1794">
        <v>0</v>
      </c>
      <c r="J1794" s="1">
        <v>45927.788581851855</v>
      </c>
      <c r="K1794" t="s">
        <v>438</v>
      </c>
      <c r="L1794">
        <f>COUNTIF($A$2:A1794,A1794)</f>
        <v>3</v>
      </c>
    </row>
    <row r="1795" spans="1:12" x14ac:dyDescent="0.3">
      <c r="A1795">
        <v>22651</v>
      </c>
      <c r="B1795" t="s">
        <v>437</v>
      </c>
      <c r="C1795" t="s">
        <v>439</v>
      </c>
      <c r="D1795" t="s">
        <v>440</v>
      </c>
      <c r="E1795">
        <v>8</v>
      </c>
      <c r="F1795">
        <v>90</v>
      </c>
      <c r="G1795">
        <v>10</v>
      </c>
      <c r="H1795">
        <v>0</v>
      </c>
      <c r="I1795">
        <v>0</v>
      </c>
      <c r="J1795" s="1">
        <v>45927.788602222223</v>
      </c>
      <c r="K1795" t="s">
        <v>438</v>
      </c>
      <c r="L1795">
        <f>COUNTIF($A$2:A1795,A1795)</f>
        <v>4</v>
      </c>
    </row>
    <row r="1796" spans="1:12" x14ac:dyDescent="0.3">
      <c r="A1796">
        <v>22651</v>
      </c>
      <c r="B1796" t="s">
        <v>437</v>
      </c>
      <c r="C1796" t="s">
        <v>451</v>
      </c>
      <c r="D1796" t="s">
        <v>452</v>
      </c>
      <c r="E1796">
        <v>11</v>
      </c>
      <c r="F1796">
        <v>80</v>
      </c>
      <c r="G1796">
        <v>20</v>
      </c>
      <c r="H1796">
        <v>0</v>
      </c>
      <c r="I1796">
        <v>0</v>
      </c>
      <c r="J1796" s="1">
        <v>45927.788781504627</v>
      </c>
      <c r="K1796" t="s">
        <v>438</v>
      </c>
      <c r="L1796">
        <f>COUNTIF($A$2:A1796,A1796)</f>
        <v>5</v>
      </c>
    </row>
    <row r="1797" spans="1:12" x14ac:dyDescent="0.3">
      <c r="A1797">
        <v>22651</v>
      </c>
      <c r="B1797" t="s">
        <v>437</v>
      </c>
      <c r="C1797" t="s">
        <v>459</v>
      </c>
      <c r="D1797" t="s">
        <v>460</v>
      </c>
      <c r="E1797">
        <v>8</v>
      </c>
      <c r="F1797">
        <v>80</v>
      </c>
      <c r="G1797">
        <v>20</v>
      </c>
      <c r="H1797">
        <v>0</v>
      </c>
      <c r="I1797">
        <v>0</v>
      </c>
      <c r="J1797" s="1">
        <v>45927.788873287034</v>
      </c>
      <c r="K1797" t="s">
        <v>438</v>
      </c>
      <c r="L1797">
        <f>COUNTIF($A$2:A1797,A1797)</f>
        <v>6</v>
      </c>
    </row>
    <row r="1798" spans="1:12" x14ac:dyDescent="0.3">
      <c r="A1798">
        <v>22651</v>
      </c>
      <c r="B1798" t="s">
        <v>437</v>
      </c>
      <c r="C1798" t="s">
        <v>21</v>
      </c>
      <c r="D1798" t="s">
        <v>22</v>
      </c>
      <c r="E1798">
        <v>12</v>
      </c>
      <c r="F1798">
        <v>73.33</v>
      </c>
      <c r="G1798">
        <v>26.67</v>
      </c>
      <c r="H1798">
        <v>0</v>
      </c>
      <c r="I1798">
        <v>0</v>
      </c>
      <c r="J1798" s="1">
        <v>45927.788678993056</v>
      </c>
      <c r="K1798" t="s">
        <v>438</v>
      </c>
      <c r="L1798">
        <f>COUNTIF($A$2:A1798,A1798)</f>
        <v>7</v>
      </c>
    </row>
    <row r="1799" spans="1:12" x14ac:dyDescent="0.3">
      <c r="A1799">
        <v>22651</v>
      </c>
      <c r="B1799" t="s">
        <v>437</v>
      </c>
      <c r="C1799" t="s">
        <v>445</v>
      </c>
      <c r="D1799" t="s">
        <v>446</v>
      </c>
      <c r="E1799">
        <v>14</v>
      </c>
      <c r="F1799">
        <v>70</v>
      </c>
      <c r="G1799">
        <v>30</v>
      </c>
      <c r="H1799">
        <v>0</v>
      </c>
      <c r="I1799">
        <v>0</v>
      </c>
      <c r="J1799" s="1">
        <v>45927.788730405089</v>
      </c>
      <c r="K1799" t="s">
        <v>438</v>
      </c>
      <c r="L1799">
        <f>COUNTIF($A$2:A1799,A1799)</f>
        <v>8</v>
      </c>
    </row>
    <row r="1800" spans="1:12" x14ac:dyDescent="0.3">
      <c r="A1800">
        <v>22651</v>
      </c>
      <c r="B1800" t="s">
        <v>437</v>
      </c>
      <c r="C1800" t="s">
        <v>17</v>
      </c>
      <c r="D1800" t="s">
        <v>18</v>
      </c>
      <c r="E1800">
        <v>15</v>
      </c>
      <c r="F1800">
        <v>66.67</v>
      </c>
      <c r="G1800">
        <v>33.33</v>
      </c>
      <c r="H1800">
        <v>0</v>
      </c>
      <c r="I1800">
        <v>0</v>
      </c>
      <c r="J1800" s="1">
        <v>45927.788622349537</v>
      </c>
      <c r="K1800" t="s">
        <v>438</v>
      </c>
      <c r="L1800">
        <f>COUNTIF($A$2:A1800,A1800)</f>
        <v>9</v>
      </c>
    </row>
    <row r="1801" spans="1:12" x14ac:dyDescent="0.3">
      <c r="A1801">
        <v>22651</v>
      </c>
      <c r="B1801" t="s">
        <v>437</v>
      </c>
      <c r="C1801" t="s">
        <v>23</v>
      </c>
      <c r="D1801" t="s">
        <v>24</v>
      </c>
      <c r="E1801">
        <v>14</v>
      </c>
      <c r="F1801">
        <v>66.67</v>
      </c>
      <c r="G1801">
        <v>33.33</v>
      </c>
      <c r="H1801">
        <v>0</v>
      </c>
      <c r="I1801">
        <v>0</v>
      </c>
      <c r="J1801" s="1">
        <v>45927.788709953704</v>
      </c>
      <c r="K1801" t="s">
        <v>438</v>
      </c>
      <c r="L1801">
        <f>COUNTIF($A$2:A1801,A1801)</f>
        <v>10</v>
      </c>
    </row>
    <row r="1802" spans="1:12" x14ac:dyDescent="0.3">
      <c r="A1802">
        <v>22651</v>
      </c>
      <c r="B1802" t="s">
        <v>437</v>
      </c>
      <c r="C1802" t="s">
        <v>447</v>
      </c>
      <c r="D1802" t="s">
        <v>448</v>
      </c>
      <c r="E1802">
        <v>13</v>
      </c>
      <c r="F1802">
        <v>66.67</v>
      </c>
      <c r="G1802">
        <v>33.33</v>
      </c>
      <c r="H1802">
        <v>0</v>
      </c>
      <c r="I1802">
        <v>0</v>
      </c>
      <c r="J1802" s="1">
        <v>45927.788748877312</v>
      </c>
      <c r="K1802" t="s">
        <v>438</v>
      </c>
      <c r="L1802">
        <f>COUNTIF($A$2:A1802,A1802)</f>
        <v>11</v>
      </c>
    </row>
    <row r="1803" spans="1:12" x14ac:dyDescent="0.3">
      <c r="A1803">
        <v>22651</v>
      </c>
      <c r="B1803" t="s">
        <v>437</v>
      </c>
      <c r="C1803" t="s">
        <v>449</v>
      </c>
      <c r="D1803" t="s">
        <v>450</v>
      </c>
      <c r="E1803">
        <v>13</v>
      </c>
      <c r="F1803">
        <v>66.67</v>
      </c>
      <c r="G1803">
        <v>33.33</v>
      </c>
      <c r="H1803">
        <v>0</v>
      </c>
      <c r="I1803">
        <v>0</v>
      </c>
      <c r="J1803" s="1">
        <v>45927.788764490739</v>
      </c>
      <c r="K1803" t="s">
        <v>438</v>
      </c>
      <c r="L1803">
        <f>COUNTIF($A$2:A1803,A1803)</f>
        <v>12</v>
      </c>
    </row>
    <row r="1804" spans="1:12" x14ac:dyDescent="0.3">
      <c r="A1804">
        <v>22651</v>
      </c>
      <c r="B1804" t="s">
        <v>437</v>
      </c>
      <c r="C1804" t="s">
        <v>453</v>
      </c>
      <c r="D1804" t="s">
        <v>454</v>
      </c>
      <c r="E1804">
        <v>14</v>
      </c>
      <c r="F1804">
        <v>63.33</v>
      </c>
      <c r="G1804">
        <v>36.67</v>
      </c>
      <c r="H1804">
        <v>0</v>
      </c>
      <c r="I1804">
        <v>0</v>
      </c>
      <c r="J1804" s="1">
        <v>45927.788816400462</v>
      </c>
      <c r="K1804" t="s">
        <v>438</v>
      </c>
      <c r="L1804">
        <f>COUNTIF($A$2:A1804,A1804)</f>
        <v>13</v>
      </c>
    </row>
    <row r="1805" spans="1:12" x14ac:dyDescent="0.3">
      <c r="A1805">
        <v>22651</v>
      </c>
      <c r="B1805" t="s">
        <v>437</v>
      </c>
      <c r="C1805" t="s">
        <v>457</v>
      </c>
      <c r="D1805" t="s">
        <v>458</v>
      </c>
      <c r="E1805">
        <v>13</v>
      </c>
      <c r="F1805">
        <v>60</v>
      </c>
      <c r="G1805">
        <v>40</v>
      </c>
      <c r="H1805">
        <v>0</v>
      </c>
      <c r="I1805">
        <v>0</v>
      </c>
      <c r="J1805" s="1">
        <v>45927.788856805557</v>
      </c>
      <c r="K1805" t="s">
        <v>438</v>
      </c>
      <c r="L1805">
        <f>COUNTIF($A$2:A1805,A1805)</f>
        <v>14</v>
      </c>
    </row>
    <row r="1806" spans="1:12" x14ac:dyDescent="0.3">
      <c r="A1806">
        <v>22651</v>
      </c>
      <c r="B1806" t="s">
        <v>437</v>
      </c>
      <c r="C1806" t="s">
        <v>443</v>
      </c>
      <c r="D1806" t="s">
        <v>444</v>
      </c>
      <c r="E1806">
        <v>17</v>
      </c>
      <c r="F1806">
        <v>53.33</v>
      </c>
      <c r="G1806">
        <v>46.67</v>
      </c>
      <c r="H1806">
        <v>0</v>
      </c>
      <c r="I1806">
        <v>0</v>
      </c>
      <c r="J1806" s="1">
        <v>45927.788694143521</v>
      </c>
      <c r="K1806" t="s">
        <v>438</v>
      </c>
      <c r="L1806">
        <f>COUNTIF($A$2:A1806,A1806)</f>
        <v>15</v>
      </c>
    </row>
    <row r="1807" spans="1:12" x14ac:dyDescent="0.3">
      <c r="A1807">
        <v>22651</v>
      </c>
      <c r="B1807" t="s">
        <v>437</v>
      </c>
      <c r="C1807" t="s">
        <v>455</v>
      </c>
      <c r="D1807" t="s">
        <v>456</v>
      </c>
      <c r="E1807">
        <v>0</v>
      </c>
      <c r="F1807">
        <v>53.33</v>
      </c>
      <c r="G1807">
        <v>46.67</v>
      </c>
      <c r="H1807">
        <v>0</v>
      </c>
      <c r="I1807">
        <v>0</v>
      </c>
      <c r="J1807" s="1">
        <v>45927.788840208334</v>
      </c>
      <c r="K1807" t="s">
        <v>438</v>
      </c>
      <c r="L1807">
        <f>COUNTIF($A$2:A1807,A1807)</f>
        <v>16</v>
      </c>
    </row>
    <row r="1808" spans="1:12" x14ac:dyDescent="0.3">
      <c r="A1808">
        <v>22651</v>
      </c>
      <c r="B1808" t="s">
        <v>437</v>
      </c>
      <c r="C1808" t="s">
        <v>19</v>
      </c>
      <c r="D1808" t="s">
        <v>20</v>
      </c>
      <c r="E1808">
        <v>18</v>
      </c>
      <c r="F1808">
        <v>50</v>
      </c>
      <c r="G1808">
        <v>50</v>
      </c>
      <c r="H1808">
        <v>0</v>
      </c>
      <c r="I1808">
        <v>0</v>
      </c>
      <c r="J1808" s="1">
        <v>45927.78863949074</v>
      </c>
      <c r="K1808" t="s">
        <v>438</v>
      </c>
      <c r="L1808">
        <f>COUNTIF($A$2:A1808,A1808)</f>
        <v>17</v>
      </c>
    </row>
    <row r="1809" spans="1:12" x14ac:dyDescent="0.3">
      <c r="A1809">
        <v>22651</v>
      </c>
      <c r="B1809" t="s">
        <v>437</v>
      </c>
      <c r="C1809" t="s">
        <v>57</v>
      </c>
      <c r="D1809" t="s">
        <v>58</v>
      </c>
      <c r="E1809">
        <v>17</v>
      </c>
      <c r="F1809">
        <v>46.67</v>
      </c>
      <c r="G1809">
        <v>53.33</v>
      </c>
      <c r="H1809">
        <v>0</v>
      </c>
      <c r="I1809">
        <v>0</v>
      </c>
      <c r="J1809" s="1">
        <v>45927.788796840279</v>
      </c>
      <c r="K1809" t="s">
        <v>438</v>
      </c>
      <c r="L1809">
        <f>COUNTIF($A$2:A1809,A1809)</f>
        <v>18</v>
      </c>
    </row>
    <row r="1810" spans="1:12" x14ac:dyDescent="0.3">
      <c r="A1810">
        <v>22651</v>
      </c>
      <c r="B1810" t="s">
        <v>437</v>
      </c>
      <c r="C1810" t="s">
        <v>441</v>
      </c>
      <c r="D1810" t="s">
        <v>442</v>
      </c>
      <c r="E1810">
        <v>24</v>
      </c>
      <c r="F1810">
        <v>16.670000000000002</v>
      </c>
      <c r="G1810">
        <v>83.33</v>
      </c>
      <c r="H1810">
        <v>0</v>
      </c>
      <c r="I1810">
        <v>0</v>
      </c>
      <c r="J1810" s="1">
        <v>45927.788659687503</v>
      </c>
      <c r="K1810" t="s">
        <v>438</v>
      </c>
      <c r="L1810">
        <f>COUNTIF($A$2:A1810,A1810)</f>
        <v>19</v>
      </c>
    </row>
    <row r="1811" spans="1:12" x14ac:dyDescent="0.3">
      <c r="A1811">
        <v>22652</v>
      </c>
      <c r="B1811" t="s">
        <v>437</v>
      </c>
      <c r="C1811" t="s">
        <v>269</v>
      </c>
      <c r="D1811" t="s">
        <v>270</v>
      </c>
      <c r="E1811">
        <v>1</v>
      </c>
      <c r="F1811">
        <v>100</v>
      </c>
      <c r="G1811">
        <v>0</v>
      </c>
      <c r="H1811">
        <v>0</v>
      </c>
      <c r="I1811">
        <v>0</v>
      </c>
      <c r="J1811" s="1">
        <v>45927.788942245374</v>
      </c>
      <c r="K1811" t="s">
        <v>463</v>
      </c>
      <c r="L1811">
        <f>COUNTIF($A$2:A1811,A1811)</f>
        <v>1</v>
      </c>
    </row>
    <row r="1812" spans="1:12" x14ac:dyDescent="0.3">
      <c r="A1812">
        <v>22652</v>
      </c>
      <c r="B1812" t="s">
        <v>437</v>
      </c>
      <c r="C1812" t="s">
        <v>461</v>
      </c>
      <c r="D1812" t="s">
        <v>462</v>
      </c>
      <c r="E1812">
        <v>3</v>
      </c>
      <c r="F1812">
        <v>100</v>
      </c>
      <c r="G1812">
        <v>0</v>
      </c>
      <c r="H1812">
        <v>0</v>
      </c>
      <c r="I1812">
        <v>0</v>
      </c>
      <c r="J1812" s="1">
        <v>45927.788962210645</v>
      </c>
      <c r="K1812" t="s">
        <v>463</v>
      </c>
      <c r="L1812">
        <f>COUNTIF($A$2:A1812,A1812)</f>
        <v>2</v>
      </c>
    </row>
    <row r="1813" spans="1:12" x14ac:dyDescent="0.3">
      <c r="A1813">
        <v>22652</v>
      </c>
      <c r="B1813" t="s">
        <v>437</v>
      </c>
      <c r="C1813" t="s">
        <v>459</v>
      </c>
      <c r="D1813" t="s">
        <v>460</v>
      </c>
      <c r="E1813">
        <v>1</v>
      </c>
      <c r="F1813">
        <v>100</v>
      </c>
      <c r="G1813">
        <v>0</v>
      </c>
      <c r="H1813">
        <v>0</v>
      </c>
      <c r="I1813">
        <v>0</v>
      </c>
      <c r="J1813" s="1">
        <v>45927.788982569444</v>
      </c>
      <c r="K1813" t="s">
        <v>463</v>
      </c>
      <c r="L1813">
        <f>COUNTIF($A$2:A1813,A1813)</f>
        <v>3</v>
      </c>
    </row>
    <row r="1814" spans="1:12" x14ac:dyDescent="0.3">
      <c r="A1814">
        <v>22652</v>
      </c>
      <c r="B1814" t="s">
        <v>437</v>
      </c>
      <c r="C1814" t="s">
        <v>457</v>
      </c>
      <c r="D1814" t="s">
        <v>458</v>
      </c>
      <c r="E1814">
        <v>2</v>
      </c>
      <c r="F1814">
        <v>100</v>
      </c>
      <c r="G1814">
        <v>0</v>
      </c>
      <c r="H1814">
        <v>0</v>
      </c>
      <c r="I1814">
        <v>0</v>
      </c>
      <c r="J1814" s="1">
        <v>45927.788997858799</v>
      </c>
      <c r="K1814" t="s">
        <v>463</v>
      </c>
      <c r="L1814">
        <f>COUNTIF($A$2:A1814,A1814)</f>
        <v>4</v>
      </c>
    </row>
    <row r="1815" spans="1:12" x14ac:dyDescent="0.3">
      <c r="A1815">
        <v>22652</v>
      </c>
      <c r="B1815" t="s">
        <v>437</v>
      </c>
      <c r="C1815" t="s">
        <v>455</v>
      </c>
      <c r="D1815" t="s">
        <v>456</v>
      </c>
      <c r="E1815">
        <v>7</v>
      </c>
      <c r="F1815">
        <v>96.67</v>
      </c>
      <c r="G1815">
        <v>3.33</v>
      </c>
      <c r="H1815">
        <v>0</v>
      </c>
      <c r="I1815">
        <v>0</v>
      </c>
      <c r="J1815" s="1">
        <v>45927.789039444448</v>
      </c>
      <c r="K1815" t="s">
        <v>463</v>
      </c>
      <c r="L1815">
        <f>COUNTIF($A$2:A1815,A1815)</f>
        <v>5</v>
      </c>
    </row>
    <row r="1816" spans="1:12" x14ac:dyDescent="0.3">
      <c r="A1816">
        <v>22652</v>
      </c>
      <c r="B1816" t="s">
        <v>437</v>
      </c>
      <c r="C1816" t="s">
        <v>57</v>
      </c>
      <c r="D1816" t="s">
        <v>58</v>
      </c>
      <c r="E1816">
        <v>5</v>
      </c>
      <c r="F1816">
        <v>96.67</v>
      </c>
      <c r="G1816">
        <v>3.33</v>
      </c>
      <c r="H1816">
        <v>0</v>
      </c>
      <c r="I1816">
        <v>0</v>
      </c>
      <c r="J1816" s="1">
        <v>45927.789100324073</v>
      </c>
      <c r="K1816" t="s">
        <v>463</v>
      </c>
      <c r="L1816">
        <f>COUNTIF($A$2:A1816,A1816)</f>
        <v>6</v>
      </c>
    </row>
    <row r="1817" spans="1:12" x14ac:dyDescent="0.3">
      <c r="A1817">
        <v>22652</v>
      </c>
      <c r="B1817" t="s">
        <v>437</v>
      </c>
      <c r="C1817" t="s">
        <v>23</v>
      </c>
      <c r="D1817" t="s">
        <v>24</v>
      </c>
      <c r="E1817">
        <v>5</v>
      </c>
      <c r="F1817">
        <v>96.67</v>
      </c>
      <c r="G1817">
        <v>3.33</v>
      </c>
      <c r="H1817">
        <v>0</v>
      </c>
      <c r="I1817">
        <v>0</v>
      </c>
      <c r="J1817" s="1">
        <v>45927.789214398152</v>
      </c>
      <c r="K1817" t="s">
        <v>463</v>
      </c>
      <c r="L1817">
        <f>COUNTIF($A$2:A1817,A1817)</f>
        <v>7</v>
      </c>
    </row>
    <row r="1818" spans="1:12" x14ac:dyDescent="0.3">
      <c r="A1818">
        <v>22652</v>
      </c>
      <c r="B1818" t="s">
        <v>437</v>
      </c>
      <c r="C1818" t="s">
        <v>21</v>
      </c>
      <c r="D1818" t="s">
        <v>22</v>
      </c>
      <c r="E1818">
        <v>3</v>
      </c>
      <c r="F1818">
        <v>96.67</v>
      </c>
      <c r="G1818">
        <v>3.33</v>
      </c>
      <c r="H1818">
        <v>0</v>
      </c>
      <c r="I1818">
        <v>0</v>
      </c>
      <c r="J1818" s="1">
        <v>45927.789302152778</v>
      </c>
      <c r="K1818" t="s">
        <v>463</v>
      </c>
      <c r="L1818">
        <f>COUNTIF($A$2:A1818,A1818)</f>
        <v>8</v>
      </c>
    </row>
    <row r="1819" spans="1:12" x14ac:dyDescent="0.3">
      <c r="A1819">
        <v>22652</v>
      </c>
      <c r="B1819" t="s">
        <v>437</v>
      </c>
      <c r="C1819" t="s">
        <v>441</v>
      </c>
      <c r="D1819" t="s">
        <v>442</v>
      </c>
      <c r="E1819">
        <v>5</v>
      </c>
      <c r="F1819">
        <v>93.33</v>
      </c>
      <c r="G1819">
        <v>6.67</v>
      </c>
      <c r="H1819">
        <v>0</v>
      </c>
      <c r="I1819">
        <v>0</v>
      </c>
      <c r="J1819" s="1">
        <v>45927.789343275464</v>
      </c>
      <c r="K1819" t="s">
        <v>463</v>
      </c>
      <c r="L1819">
        <f>COUNTIF($A$2:A1819,A1819)</f>
        <v>9</v>
      </c>
    </row>
    <row r="1820" spans="1:12" x14ac:dyDescent="0.3">
      <c r="A1820">
        <v>22652</v>
      </c>
      <c r="B1820" t="s">
        <v>437</v>
      </c>
      <c r="C1820" t="s">
        <v>12</v>
      </c>
      <c r="D1820" t="s">
        <v>13</v>
      </c>
      <c r="E1820">
        <v>1</v>
      </c>
      <c r="F1820">
        <v>93.33</v>
      </c>
      <c r="G1820">
        <v>6.67</v>
      </c>
      <c r="H1820">
        <v>0</v>
      </c>
      <c r="I1820">
        <v>0</v>
      </c>
      <c r="J1820" s="1">
        <v>45927.789456168983</v>
      </c>
      <c r="K1820" t="s">
        <v>463</v>
      </c>
      <c r="L1820">
        <f>COUNTIF($A$2:A1820,A1820)</f>
        <v>10</v>
      </c>
    </row>
    <row r="1821" spans="1:12" x14ac:dyDescent="0.3">
      <c r="A1821">
        <v>22652</v>
      </c>
      <c r="B1821" t="s">
        <v>437</v>
      </c>
      <c r="C1821" t="s">
        <v>443</v>
      </c>
      <c r="D1821" t="s">
        <v>444</v>
      </c>
      <c r="E1821">
        <v>6</v>
      </c>
      <c r="F1821">
        <v>86.67</v>
      </c>
      <c r="G1821">
        <v>13.33</v>
      </c>
      <c r="H1821">
        <v>0</v>
      </c>
      <c r="I1821">
        <v>0</v>
      </c>
      <c r="J1821" s="1">
        <v>45927.789258958335</v>
      </c>
      <c r="K1821" t="s">
        <v>463</v>
      </c>
      <c r="L1821">
        <f>COUNTIF($A$2:A1821,A1821)</f>
        <v>11</v>
      </c>
    </row>
    <row r="1822" spans="1:12" x14ac:dyDescent="0.3">
      <c r="A1822">
        <v>22652</v>
      </c>
      <c r="B1822" t="s">
        <v>437</v>
      </c>
      <c r="C1822" t="s">
        <v>451</v>
      </c>
      <c r="D1822" t="s">
        <v>452</v>
      </c>
      <c r="E1822">
        <v>7</v>
      </c>
      <c r="F1822">
        <v>83.33</v>
      </c>
      <c r="G1822">
        <v>16.670000000000002</v>
      </c>
      <c r="H1822">
        <v>0</v>
      </c>
      <c r="I1822">
        <v>0</v>
      </c>
      <c r="J1822" s="1">
        <v>45927.789120740737</v>
      </c>
      <c r="K1822" t="s">
        <v>463</v>
      </c>
      <c r="L1822">
        <f>COUNTIF($A$2:A1822,A1822)</f>
        <v>12</v>
      </c>
    </row>
    <row r="1823" spans="1:12" x14ac:dyDescent="0.3">
      <c r="A1823">
        <v>22652</v>
      </c>
      <c r="B1823" t="s">
        <v>437</v>
      </c>
      <c r="C1823" t="s">
        <v>19</v>
      </c>
      <c r="D1823" t="s">
        <v>20</v>
      </c>
      <c r="E1823">
        <v>7</v>
      </c>
      <c r="F1823">
        <v>83.33</v>
      </c>
      <c r="G1823">
        <v>16.670000000000002</v>
      </c>
      <c r="H1823">
        <v>0</v>
      </c>
      <c r="I1823">
        <v>0</v>
      </c>
      <c r="J1823" s="1">
        <v>45927.789360682873</v>
      </c>
      <c r="K1823" t="s">
        <v>463</v>
      </c>
      <c r="L1823">
        <f>COUNTIF($A$2:A1823,A1823)</f>
        <v>13</v>
      </c>
    </row>
    <row r="1824" spans="1:12" x14ac:dyDescent="0.3">
      <c r="A1824">
        <v>22652</v>
      </c>
      <c r="B1824" t="s">
        <v>437</v>
      </c>
      <c r="C1824" t="s">
        <v>17</v>
      </c>
      <c r="D1824" t="s">
        <v>18</v>
      </c>
      <c r="E1824">
        <v>10</v>
      </c>
      <c r="F1824">
        <v>83.33</v>
      </c>
      <c r="G1824">
        <v>16.670000000000002</v>
      </c>
      <c r="H1824">
        <v>0</v>
      </c>
      <c r="I1824">
        <v>0</v>
      </c>
      <c r="J1824" s="1">
        <v>45927.789375231485</v>
      </c>
      <c r="K1824" t="s">
        <v>463</v>
      </c>
      <c r="L1824">
        <f>COUNTIF($A$2:A1824,A1824)</f>
        <v>14</v>
      </c>
    </row>
    <row r="1825" spans="1:12" x14ac:dyDescent="0.3">
      <c r="A1825">
        <v>22652</v>
      </c>
      <c r="B1825" t="s">
        <v>437</v>
      </c>
      <c r="C1825" t="s">
        <v>453</v>
      </c>
      <c r="D1825" t="s">
        <v>454</v>
      </c>
      <c r="E1825">
        <v>11</v>
      </c>
      <c r="F1825">
        <v>73.33</v>
      </c>
      <c r="G1825">
        <v>26.67</v>
      </c>
      <c r="H1825">
        <v>0</v>
      </c>
      <c r="I1825">
        <v>0</v>
      </c>
      <c r="J1825" s="1">
        <v>45927.789055821762</v>
      </c>
      <c r="K1825" t="s">
        <v>463</v>
      </c>
      <c r="L1825">
        <f>COUNTIF($A$2:A1825,A1825)</f>
        <v>15</v>
      </c>
    </row>
    <row r="1826" spans="1:12" x14ac:dyDescent="0.3">
      <c r="A1826">
        <v>22652</v>
      </c>
      <c r="B1826" t="s">
        <v>437</v>
      </c>
      <c r="C1826" t="s">
        <v>449</v>
      </c>
      <c r="D1826" t="s">
        <v>450</v>
      </c>
      <c r="E1826">
        <v>11</v>
      </c>
      <c r="F1826">
        <v>70</v>
      </c>
      <c r="G1826">
        <v>30</v>
      </c>
      <c r="H1826">
        <v>0</v>
      </c>
      <c r="I1826">
        <v>0</v>
      </c>
      <c r="J1826" s="1">
        <v>45927.78913582176</v>
      </c>
      <c r="K1826" t="s">
        <v>463</v>
      </c>
      <c r="L1826">
        <f>COUNTIF($A$2:A1826,A1826)</f>
        <v>16</v>
      </c>
    </row>
    <row r="1827" spans="1:12" x14ac:dyDescent="0.3">
      <c r="A1827">
        <v>22652</v>
      </c>
      <c r="B1827" t="s">
        <v>437</v>
      </c>
      <c r="C1827" t="s">
        <v>439</v>
      </c>
      <c r="D1827" t="s">
        <v>440</v>
      </c>
      <c r="E1827">
        <v>12</v>
      </c>
      <c r="F1827">
        <v>66.67</v>
      </c>
      <c r="G1827">
        <v>33.33</v>
      </c>
      <c r="H1827">
        <v>0</v>
      </c>
      <c r="I1827">
        <v>0</v>
      </c>
      <c r="J1827" s="1">
        <v>45927.789392615741</v>
      </c>
      <c r="K1827" t="s">
        <v>463</v>
      </c>
      <c r="L1827">
        <f>COUNTIF($A$2:A1827,A1827)</f>
        <v>17</v>
      </c>
    </row>
    <row r="1828" spans="1:12" x14ac:dyDescent="0.3">
      <c r="A1828">
        <v>22652</v>
      </c>
      <c r="B1828" t="s">
        <v>437</v>
      </c>
      <c r="C1828" t="s">
        <v>447</v>
      </c>
      <c r="D1828" t="s">
        <v>448</v>
      </c>
      <c r="E1828">
        <v>13</v>
      </c>
      <c r="F1828">
        <v>63.33</v>
      </c>
      <c r="G1828">
        <v>36.67</v>
      </c>
      <c r="H1828">
        <v>0</v>
      </c>
      <c r="I1828">
        <v>0</v>
      </c>
      <c r="J1828" s="1">
        <v>45927.789154270831</v>
      </c>
      <c r="K1828" t="s">
        <v>463</v>
      </c>
      <c r="L1828">
        <f>COUNTIF($A$2:A1828,A1828)</f>
        <v>18</v>
      </c>
    </row>
    <row r="1829" spans="1:12" x14ac:dyDescent="0.3">
      <c r="A1829">
        <v>22652</v>
      </c>
      <c r="B1829" t="s">
        <v>437</v>
      </c>
      <c r="C1829" t="s">
        <v>445</v>
      </c>
      <c r="D1829" t="s">
        <v>446</v>
      </c>
      <c r="E1829">
        <v>13</v>
      </c>
      <c r="F1829">
        <v>63.33</v>
      </c>
      <c r="G1829">
        <v>36.67</v>
      </c>
      <c r="H1829">
        <v>0</v>
      </c>
      <c r="I1829">
        <v>0</v>
      </c>
      <c r="J1829" s="1">
        <v>45927.789172916666</v>
      </c>
      <c r="K1829" t="s">
        <v>463</v>
      </c>
      <c r="L1829">
        <f>COUNTIF($A$2:A1829,A1829)</f>
        <v>19</v>
      </c>
    </row>
    <row r="1830" spans="1:12" x14ac:dyDescent="0.3">
      <c r="A1830">
        <v>22652</v>
      </c>
      <c r="B1830" t="s">
        <v>437</v>
      </c>
      <c r="C1830" t="s">
        <v>34</v>
      </c>
      <c r="D1830" t="s">
        <v>35</v>
      </c>
      <c r="E1830">
        <v>18</v>
      </c>
      <c r="F1830">
        <v>46.67</v>
      </c>
      <c r="G1830">
        <v>53.33</v>
      </c>
      <c r="H1830">
        <v>0</v>
      </c>
      <c r="I1830">
        <v>0</v>
      </c>
      <c r="J1830" s="1">
        <v>45927.789411319442</v>
      </c>
      <c r="K1830" t="s">
        <v>463</v>
      </c>
      <c r="L1830">
        <f>COUNTIF($A$2:A1830,A1830)</f>
        <v>20</v>
      </c>
    </row>
    <row r="1831" spans="1:12" x14ac:dyDescent="0.3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s="1">
        <v>0</v>
      </c>
      <c r="K1831">
        <v>0</v>
      </c>
      <c r="L1831">
        <f>COUNTIF($A$2:A1831,A1831)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EB99-0824-4110-B7F3-E9F2EE8642BF}">
  <dimension ref="A3:D34"/>
  <sheetViews>
    <sheetView tabSelected="1" zoomScale="85" workbookViewId="0">
      <selection activeCell="F3" sqref="F3"/>
    </sheetView>
  </sheetViews>
  <sheetFormatPr defaultRowHeight="14.4" x14ac:dyDescent="0.3"/>
  <cols>
    <col min="1" max="1" width="32.109375" bestFit="1" customWidth="1"/>
    <col min="2" max="2" width="31.109375" bestFit="1" customWidth="1"/>
    <col min="3" max="3" width="20.77734375" bestFit="1" customWidth="1"/>
    <col min="4" max="4" width="32.88671875" bestFit="1" customWidth="1"/>
  </cols>
  <sheetData>
    <row r="3" spans="1:4" x14ac:dyDescent="0.3">
      <c r="A3" s="2" t="s">
        <v>0</v>
      </c>
      <c r="B3" s="2" t="s">
        <v>1093</v>
      </c>
      <c r="C3" s="2" t="s">
        <v>3</v>
      </c>
      <c r="D3" t="s">
        <v>1092</v>
      </c>
    </row>
    <row r="4" spans="1:4" x14ac:dyDescent="0.3">
      <c r="A4">
        <v>11013</v>
      </c>
      <c r="B4">
        <v>1</v>
      </c>
      <c r="C4" t="s">
        <v>466</v>
      </c>
    </row>
    <row r="5" spans="1:4" x14ac:dyDescent="0.3">
      <c r="A5">
        <v>11013</v>
      </c>
      <c r="B5">
        <v>2</v>
      </c>
      <c r="C5" t="s">
        <v>385</v>
      </c>
      <c r="D5">
        <v>26</v>
      </c>
    </row>
    <row r="6" spans="1:4" x14ac:dyDescent="0.3">
      <c r="A6">
        <v>11013</v>
      </c>
      <c r="B6">
        <v>3</v>
      </c>
      <c r="C6" t="s">
        <v>387</v>
      </c>
      <c r="D6">
        <v>30</v>
      </c>
    </row>
    <row r="7" spans="1:4" x14ac:dyDescent="0.3">
      <c r="A7">
        <v>11013</v>
      </c>
      <c r="B7">
        <v>4</v>
      </c>
      <c r="C7" t="s">
        <v>471</v>
      </c>
    </row>
    <row r="8" spans="1:4" x14ac:dyDescent="0.3">
      <c r="A8">
        <v>11013</v>
      </c>
      <c r="B8">
        <v>5</v>
      </c>
      <c r="C8" t="s">
        <v>656</v>
      </c>
      <c r="D8">
        <v>60</v>
      </c>
    </row>
    <row r="9" spans="1:4" x14ac:dyDescent="0.3">
      <c r="A9">
        <v>11013</v>
      </c>
      <c r="B9">
        <v>6</v>
      </c>
      <c r="C9" t="s">
        <v>473</v>
      </c>
      <c r="D9">
        <v>51</v>
      </c>
    </row>
    <row r="10" spans="1:4" x14ac:dyDescent="0.3">
      <c r="A10">
        <v>11013</v>
      </c>
      <c r="B10">
        <v>7</v>
      </c>
      <c r="C10" t="s">
        <v>896</v>
      </c>
      <c r="D10">
        <v>63</v>
      </c>
    </row>
    <row r="11" spans="1:4" x14ac:dyDescent="0.3">
      <c r="A11">
        <v>11013</v>
      </c>
      <c r="B11">
        <v>8</v>
      </c>
      <c r="C11" t="s">
        <v>898</v>
      </c>
      <c r="D11">
        <v>67</v>
      </c>
    </row>
    <row r="12" spans="1:4" x14ac:dyDescent="0.3">
      <c r="A12">
        <v>11013</v>
      </c>
      <c r="B12">
        <v>9</v>
      </c>
      <c r="C12" t="s">
        <v>475</v>
      </c>
      <c r="D12">
        <v>66</v>
      </c>
    </row>
    <row r="13" spans="1:4" x14ac:dyDescent="0.3">
      <c r="A13">
        <v>11013</v>
      </c>
      <c r="B13">
        <v>10</v>
      </c>
      <c r="C13" t="s">
        <v>658</v>
      </c>
      <c r="D13">
        <v>54</v>
      </c>
    </row>
    <row r="14" spans="1:4" x14ac:dyDescent="0.3">
      <c r="A14">
        <v>11013</v>
      </c>
      <c r="B14">
        <v>11</v>
      </c>
      <c r="C14" t="s">
        <v>476</v>
      </c>
      <c r="D14">
        <v>26</v>
      </c>
    </row>
    <row r="15" spans="1:4" x14ac:dyDescent="0.3">
      <c r="A15">
        <v>11013</v>
      </c>
      <c r="B15">
        <v>12</v>
      </c>
      <c r="C15" t="s">
        <v>478</v>
      </c>
      <c r="D15">
        <v>31</v>
      </c>
    </row>
    <row r="16" spans="1:4" x14ac:dyDescent="0.3">
      <c r="A16">
        <v>11013</v>
      </c>
      <c r="B16">
        <v>13</v>
      </c>
      <c r="C16" t="s">
        <v>900</v>
      </c>
      <c r="D16">
        <v>29</v>
      </c>
    </row>
    <row r="17" spans="1:4" x14ac:dyDescent="0.3">
      <c r="A17">
        <v>11013</v>
      </c>
      <c r="B17">
        <v>14</v>
      </c>
      <c r="C17" t="s">
        <v>482</v>
      </c>
      <c r="D17">
        <v>28</v>
      </c>
    </row>
    <row r="18" spans="1:4" x14ac:dyDescent="0.3">
      <c r="A18">
        <v>11013</v>
      </c>
      <c r="B18">
        <v>15</v>
      </c>
      <c r="C18" t="s">
        <v>484</v>
      </c>
      <c r="D18">
        <v>31</v>
      </c>
    </row>
    <row r="19" spans="1:4" x14ac:dyDescent="0.3">
      <c r="A19">
        <v>11013</v>
      </c>
      <c r="B19">
        <v>16</v>
      </c>
      <c r="C19" t="s">
        <v>486</v>
      </c>
      <c r="D19">
        <v>36</v>
      </c>
    </row>
    <row r="20" spans="1:4" x14ac:dyDescent="0.3">
      <c r="A20">
        <v>11013</v>
      </c>
      <c r="B20">
        <v>17</v>
      </c>
      <c r="C20" t="s">
        <v>488</v>
      </c>
      <c r="D20">
        <v>29</v>
      </c>
    </row>
    <row r="21" spans="1:4" x14ac:dyDescent="0.3">
      <c r="A21">
        <v>11013</v>
      </c>
      <c r="B21">
        <v>18</v>
      </c>
      <c r="C21" t="s">
        <v>660</v>
      </c>
      <c r="D21">
        <v>28</v>
      </c>
    </row>
    <row r="22" spans="1:4" x14ac:dyDescent="0.3">
      <c r="A22">
        <v>11013</v>
      </c>
      <c r="B22">
        <v>19</v>
      </c>
      <c r="C22" t="s">
        <v>662</v>
      </c>
      <c r="D22">
        <v>18</v>
      </c>
    </row>
    <row r="23" spans="1:4" x14ac:dyDescent="0.3">
      <c r="A23">
        <v>11013</v>
      </c>
      <c r="B23">
        <v>20</v>
      </c>
      <c r="C23" t="s">
        <v>736</v>
      </c>
    </row>
    <row r="24" spans="1:4" x14ac:dyDescent="0.3">
      <c r="A24">
        <v>11013</v>
      </c>
      <c r="B24">
        <v>21</v>
      </c>
      <c r="C24" t="s">
        <v>734</v>
      </c>
    </row>
    <row r="25" spans="1:4" x14ac:dyDescent="0.3">
      <c r="A25">
        <v>11013</v>
      </c>
      <c r="B25">
        <v>22</v>
      </c>
      <c r="C25" t="s">
        <v>902</v>
      </c>
    </row>
    <row r="26" spans="1:4" x14ac:dyDescent="0.3">
      <c r="A26">
        <v>11013</v>
      </c>
      <c r="B26">
        <v>23</v>
      </c>
      <c r="C26" t="s">
        <v>904</v>
      </c>
      <c r="D26">
        <v>30</v>
      </c>
    </row>
    <row r="27" spans="1:4" x14ac:dyDescent="0.3">
      <c r="A27">
        <v>11013</v>
      </c>
      <c r="B27">
        <v>24</v>
      </c>
      <c r="C27" t="s">
        <v>906</v>
      </c>
      <c r="D27">
        <v>14</v>
      </c>
    </row>
    <row r="28" spans="1:4" x14ac:dyDescent="0.3">
      <c r="A28">
        <v>11013</v>
      </c>
      <c r="B28">
        <v>25</v>
      </c>
      <c r="C28" t="s">
        <v>908</v>
      </c>
    </row>
    <row r="29" spans="1:4" x14ac:dyDescent="0.3">
      <c r="A29">
        <v>11013</v>
      </c>
      <c r="B29">
        <v>26</v>
      </c>
      <c r="C29" t="s">
        <v>910</v>
      </c>
      <c r="D29">
        <v>61</v>
      </c>
    </row>
    <row r="30" spans="1:4" x14ac:dyDescent="0.3">
      <c r="A30">
        <v>11013</v>
      </c>
      <c r="B30">
        <v>27</v>
      </c>
      <c r="C30" t="s">
        <v>24</v>
      </c>
    </row>
    <row r="31" spans="1:4" x14ac:dyDescent="0.3">
      <c r="A31">
        <v>11013</v>
      </c>
      <c r="B31">
        <v>28</v>
      </c>
      <c r="C31" t="s">
        <v>26</v>
      </c>
      <c r="D31">
        <v>26</v>
      </c>
    </row>
    <row r="32" spans="1:4" x14ac:dyDescent="0.3">
      <c r="A32">
        <v>11013</v>
      </c>
      <c r="B32">
        <v>29</v>
      </c>
      <c r="C32" t="s">
        <v>28</v>
      </c>
      <c r="D32">
        <v>31</v>
      </c>
    </row>
    <row r="33" spans="1:4" x14ac:dyDescent="0.3">
      <c r="A33">
        <v>11013</v>
      </c>
      <c r="B33">
        <v>30</v>
      </c>
      <c r="C33" t="s">
        <v>32</v>
      </c>
    </row>
    <row r="34" spans="1:4" x14ac:dyDescent="0.3">
      <c r="A34" t="s">
        <v>1091</v>
      </c>
      <c r="D34">
        <v>37.954545454545453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1B96-6462-45B9-9929-C0A178D534EA}">
  <dimension ref="A1:M1830"/>
  <sheetViews>
    <sheetView zoomScale="103" workbookViewId="0">
      <selection activeCell="G20" sqref="G20"/>
    </sheetView>
  </sheetViews>
  <sheetFormatPr defaultRowHeight="14.4" x14ac:dyDescent="0.3"/>
  <cols>
    <col min="1" max="1" width="14.77734375" bestFit="1" customWidth="1"/>
    <col min="2" max="2" width="20.77734375" bestFit="1" customWidth="1"/>
    <col min="3" max="3" width="14.109375" bestFit="1" customWidth="1"/>
    <col min="4" max="4" width="26.109375" bestFit="1" customWidth="1"/>
    <col min="5" max="5" width="23.5546875" bestFit="1" customWidth="1"/>
    <col min="6" max="6" width="15.6640625" bestFit="1" customWidth="1"/>
    <col min="7" max="7" width="17" bestFit="1" customWidth="1"/>
    <col min="8" max="8" width="21.21875" bestFit="1" customWidth="1"/>
    <col min="9" max="9" width="24.109375" bestFit="1" customWidth="1"/>
    <col min="10" max="10" width="15.44140625" bestFit="1" customWidth="1"/>
    <col min="11" max="11" width="59.21875" bestFit="1" customWidth="1"/>
    <col min="12" max="12" width="16.33203125" customWidth="1"/>
    <col min="13" max="13" width="12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1094</v>
      </c>
      <c r="M1" t="s">
        <v>1093</v>
      </c>
    </row>
    <row r="2" spans="1:13" x14ac:dyDescent="0.3">
      <c r="A2">
        <v>12673</v>
      </c>
      <c r="B2" t="s">
        <v>11</v>
      </c>
      <c r="C2" t="s">
        <v>12</v>
      </c>
      <c r="D2" t="s">
        <v>13</v>
      </c>
      <c r="E2">
        <v>2</v>
      </c>
      <c r="F2">
        <v>98.9</v>
      </c>
      <c r="G2">
        <v>0.27</v>
      </c>
      <c r="H2">
        <v>0</v>
      </c>
      <c r="I2">
        <v>0.83</v>
      </c>
      <c r="J2" s="1">
        <v>45927.746964895836</v>
      </c>
      <c r="K2" t="s">
        <v>14</v>
      </c>
      <c r="L2">
        <f t="shared" ref="L2:L65" si="0">ROW()-1</f>
        <v>1</v>
      </c>
      <c r="M2">
        <f>COUNTIF($A$2:A2,A2)</f>
        <v>1</v>
      </c>
    </row>
    <row r="3" spans="1:13" x14ac:dyDescent="0.3">
      <c r="A3">
        <v>12673</v>
      </c>
      <c r="B3" t="s">
        <v>11</v>
      </c>
      <c r="C3" t="s">
        <v>15</v>
      </c>
      <c r="D3" t="s">
        <v>16</v>
      </c>
      <c r="E3">
        <v>0</v>
      </c>
      <c r="F3">
        <v>0.27</v>
      </c>
      <c r="G3">
        <v>0</v>
      </c>
      <c r="H3">
        <v>0</v>
      </c>
      <c r="I3">
        <v>99.73</v>
      </c>
      <c r="J3" s="1">
        <v>45927.746982557874</v>
      </c>
      <c r="K3" t="s">
        <v>14</v>
      </c>
      <c r="L3">
        <f t="shared" si="0"/>
        <v>2</v>
      </c>
      <c r="M3">
        <f>COUNTIF($A$2:A3,A3)</f>
        <v>2</v>
      </c>
    </row>
    <row r="4" spans="1:13" x14ac:dyDescent="0.3">
      <c r="A4">
        <v>12673</v>
      </c>
      <c r="B4" t="s">
        <v>11</v>
      </c>
      <c r="C4" t="s">
        <v>17</v>
      </c>
      <c r="D4" t="s">
        <v>18</v>
      </c>
      <c r="E4">
        <v>16</v>
      </c>
      <c r="F4">
        <v>55.34</v>
      </c>
      <c r="G4">
        <v>44.38</v>
      </c>
      <c r="H4">
        <v>0.27</v>
      </c>
      <c r="I4">
        <v>0.01</v>
      </c>
      <c r="J4" s="1">
        <v>45927.746998518516</v>
      </c>
      <c r="K4" t="s">
        <v>14</v>
      </c>
      <c r="L4">
        <f t="shared" si="0"/>
        <v>3</v>
      </c>
      <c r="M4">
        <f>COUNTIF($A$2:A4,A4)</f>
        <v>3</v>
      </c>
    </row>
    <row r="5" spans="1:13" x14ac:dyDescent="0.3">
      <c r="A5">
        <v>12673</v>
      </c>
      <c r="B5" t="s">
        <v>11</v>
      </c>
      <c r="C5" t="s">
        <v>19</v>
      </c>
      <c r="D5" t="s">
        <v>20</v>
      </c>
      <c r="E5">
        <v>17</v>
      </c>
      <c r="F5">
        <v>48.49</v>
      </c>
      <c r="G5">
        <v>49.86</v>
      </c>
      <c r="H5">
        <v>1.64</v>
      </c>
      <c r="I5">
        <v>0.01</v>
      </c>
      <c r="J5" s="1">
        <v>45927.747015335648</v>
      </c>
      <c r="K5" t="s">
        <v>14</v>
      </c>
      <c r="L5">
        <f t="shared" si="0"/>
        <v>4</v>
      </c>
      <c r="M5">
        <f>COUNTIF($A$2:A5,A5)</f>
        <v>4</v>
      </c>
    </row>
    <row r="6" spans="1:13" x14ac:dyDescent="0.3">
      <c r="A6">
        <v>12673</v>
      </c>
      <c r="B6" t="s">
        <v>11</v>
      </c>
      <c r="C6" t="s">
        <v>21</v>
      </c>
      <c r="D6" t="s">
        <v>22</v>
      </c>
      <c r="F6">
        <v>70.959999999999994</v>
      </c>
      <c r="G6">
        <v>27.67</v>
      </c>
      <c r="H6">
        <v>1.37</v>
      </c>
      <c r="I6">
        <v>0</v>
      </c>
      <c r="J6" s="1">
        <v>45927.747043807867</v>
      </c>
      <c r="K6" t="s">
        <v>14</v>
      </c>
      <c r="L6">
        <f t="shared" si="0"/>
        <v>5</v>
      </c>
      <c r="M6">
        <f>COUNTIF($A$2:A6,A6)</f>
        <v>5</v>
      </c>
    </row>
    <row r="7" spans="1:13" x14ac:dyDescent="0.3">
      <c r="A7">
        <v>12673</v>
      </c>
      <c r="B7" t="s">
        <v>11</v>
      </c>
      <c r="C7" t="s">
        <v>23</v>
      </c>
      <c r="D7" t="s">
        <v>24</v>
      </c>
      <c r="E7">
        <v>25</v>
      </c>
      <c r="F7">
        <v>23.01</v>
      </c>
      <c r="G7">
        <v>74.790000000000006</v>
      </c>
      <c r="H7">
        <v>2.19</v>
      </c>
      <c r="I7">
        <v>0.01</v>
      </c>
      <c r="J7" s="1">
        <v>45927.747063009258</v>
      </c>
      <c r="K7" t="s">
        <v>14</v>
      </c>
      <c r="L7">
        <f t="shared" si="0"/>
        <v>6</v>
      </c>
      <c r="M7">
        <f>COUNTIF($A$2:A7,A7)</f>
        <v>6</v>
      </c>
    </row>
    <row r="8" spans="1:13" x14ac:dyDescent="0.3">
      <c r="A8">
        <v>12673</v>
      </c>
      <c r="B8" t="s">
        <v>11</v>
      </c>
      <c r="C8" t="s">
        <v>25</v>
      </c>
      <c r="D8" t="s">
        <v>26</v>
      </c>
      <c r="E8">
        <v>25</v>
      </c>
      <c r="F8">
        <v>21.37</v>
      </c>
      <c r="G8">
        <v>76.44</v>
      </c>
      <c r="H8">
        <v>2.19</v>
      </c>
      <c r="I8">
        <v>0</v>
      </c>
      <c r="J8" s="1">
        <v>45927.747104074071</v>
      </c>
      <c r="K8" t="s">
        <v>14</v>
      </c>
      <c r="L8">
        <f t="shared" si="0"/>
        <v>7</v>
      </c>
      <c r="M8">
        <f>COUNTIF($A$2:A8,A8)</f>
        <v>7</v>
      </c>
    </row>
    <row r="9" spans="1:13" x14ac:dyDescent="0.3">
      <c r="A9">
        <v>12673</v>
      </c>
      <c r="B9" t="s">
        <v>11</v>
      </c>
      <c r="C9" t="s">
        <v>27</v>
      </c>
      <c r="D9" t="s">
        <v>28</v>
      </c>
      <c r="E9">
        <v>24</v>
      </c>
      <c r="F9">
        <v>22.74</v>
      </c>
      <c r="G9">
        <v>75.34</v>
      </c>
      <c r="H9">
        <v>1.92</v>
      </c>
      <c r="I9">
        <v>0</v>
      </c>
      <c r="J9" s="1">
        <v>45927.747148148148</v>
      </c>
      <c r="K9" t="s">
        <v>14</v>
      </c>
      <c r="L9">
        <f t="shared" si="0"/>
        <v>8</v>
      </c>
      <c r="M9">
        <f>COUNTIF($A$2:A9,A9)</f>
        <v>8</v>
      </c>
    </row>
    <row r="10" spans="1:13" x14ac:dyDescent="0.3">
      <c r="A10">
        <v>12673</v>
      </c>
      <c r="B10" t="s">
        <v>11</v>
      </c>
      <c r="C10" t="s">
        <v>29</v>
      </c>
      <c r="D10" t="s">
        <v>30</v>
      </c>
      <c r="E10">
        <v>13</v>
      </c>
      <c r="F10">
        <v>70.680000000000007</v>
      </c>
      <c r="G10">
        <v>28.49</v>
      </c>
      <c r="H10">
        <v>0.82</v>
      </c>
      <c r="I10">
        <v>0.01</v>
      </c>
      <c r="J10" s="1">
        <v>45927.747167824076</v>
      </c>
      <c r="K10" t="s">
        <v>14</v>
      </c>
      <c r="L10">
        <f t="shared" si="0"/>
        <v>9</v>
      </c>
      <c r="M10">
        <f>COUNTIF($A$2:A10,A10)</f>
        <v>9</v>
      </c>
    </row>
    <row r="11" spans="1:13" x14ac:dyDescent="0.3">
      <c r="A11">
        <v>12673</v>
      </c>
      <c r="B11" t="s">
        <v>11</v>
      </c>
      <c r="C11" t="s">
        <v>31</v>
      </c>
      <c r="D11" t="s">
        <v>32</v>
      </c>
      <c r="F11">
        <v>96.16</v>
      </c>
      <c r="G11">
        <v>3.56</v>
      </c>
      <c r="H11">
        <v>0.27</v>
      </c>
      <c r="I11">
        <v>0.01</v>
      </c>
      <c r="J11" s="1">
        <v>45927.747185798609</v>
      </c>
      <c r="K11" t="s">
        <v>14</v>
      </c>
      <c r="L11">
        <f t="shared" si="0"/>
        <v>10</v>
      </c>
      <c r="M11">
        <f>COUNTIF($A$2:A11,A11)</f>
        <v>10</v>
      </c>
    </row>
    <row r="12" spans="1:13" x14ac:dyDescent="0.3">
      <c r="A12">
        <v>12674</v>
      </c>
      <c r="B12" t="s">
        <v>11</v>
      </c>
      <c r="C12" t="s">
        <v>31</v>
      </c>
      <c r="D12" t="s">
        <v>32</v>
      </c>
      <c r="E12">
        <v>5</v>
      </c>
      <c r="F12">
        <v>97.26</v>
      </c>
      <c r="G12">
        <v>2.4700000000000002</v>
      </c>
      <c r="H12">
        <v>0.27</v>
      </c>
      <c r="I12">
        <v>0</v>
      </c>
      <c r="J12" s="1">
        <v>45927.747250497683</v>
      </c>
      <c r="K12" t="s">
        <v>33</v>
      </c>
      <c r="L12">
        <f t="shared" si="0"/>
        <v>11</v>
      </c>
      <c r="M12">
        <f>COUNTIF($A$2:A12,A12)</f>
        <v>1</v>
      </c>
    </row>
    <row r="13" spans="1:13" x14ac:dyDescent="0.3">
      <c r="A13">
        <v>12674</v>
      </c>
      <c r="B13" t="s">
        <v>11</v>
      </c>
      <c r="C13" t="s">
        <v>27</v>
      </c>
      <c r="D13" t="s">
        <v>28</v>
      </c>
      <c r="F13">
        <v>81.92</v>
      </c>
      <c r="G13">
        <v>17.53</v>
      </c>
      <c r="H13">
        <v>0.55000000000000004</v>
      </c>
      <c r="I13">
        <v>0</v>
      </c>
      <c r="J13" s="1">
        <v>45927.747278657407</v>
      </c>
      <c r="K13" t="s">
        <v>33</v>
      </c>
      <c r="L13">
        <f t="shared" si="0"/>
        <v>12</v>
      </c>
      <c r="M13">
        <f>COUNTIF($A$2:A13,A13)</f>
        <v>2</v>
      </c>
    </row>
    <row r="14" spans="1:13" x14ac:dyDescent="0.3">
      <c r="A14">
        <v>12674</v>
      </c>
      <c r="B14" t="s">
        <v>11</v>
      </c>
      <c r="C14" t="s">
        <v>25</v>
      </c>
      <c r="D14" t="s">
        <v>26</v>
      </c>
      <c r="E14">
        <v>21</v>
      </c>
      <c r="F14">
        <v>35.340000000000003</v>
      </c>
      <c r="G14">
        <v>64.11</v>
      </c>
      <c r="H14">
        <v>0.55000000000000004</v>
      </c>
      <c r="I14">
        <v>0</v>
      </c>
      <c r="J14" s="1">
        <v>45927.747320462964</v>
      </c>
      <c r="K14" t="s">
        <v>33</v>
      </c>
      <c r="L14">
        <f t="shared" si="0"/>
        <v>13</v>
      </c>
      <c r="M14">
        <f>COUNTIF($A$2:A14,A14)</f>
        <v>3</v>
      </c>
    </row>
    <row r="15" spans="1:13" x14ac:dyDescent="0.3">
      <c r="A15">
        <v>12674</v>
      </c>
      <c r="B15" t="s">
        <v>11</v>
      </c>
      <c r="C15" t="s">
        <v>23</v>
      </c>
      <c r="D15" t="s">
        <v>24</v>
      </c>
      <c r="E15">
        <v>24</v>
      </c>
      <c r="F15">
        <v>27.67</v>
      </c>
      <c r="G15">
        <v>71.510000000000005</v>
      </c>
      <c r="H15">
        <v>0.82</v>
      </c>
      <c r="I15">
        <v>0</v>
      </c>
      <c r="J15" s="1">
        <v>45927.747364988427</v>
      </c>
      <c r="K15" t="s">
        <v>33</v>
      </c>
      <c r="L15">
        <f t="shared" si="0"/>
        <v>14</v>
      </c>
      <c r="M15">
        <f>COUNTIF($A$2:A15,A15)</f>
        <v>4</v>
      </c>
    </row>
    <row r="16" spans="1:13" x14ac:dyDescent="0.3">
      <c r="A16">
        <v>12674</v>
      </c>
      <c r="B16" t="s">
        <v>11</v>
      </c>
      <c r="C16" t="s">
        <v>21</v>
      </c>
      <c r="D16" t="s">
        <v>22</v>
      </c>
      <c r="E16">
        <v>7</v>
      </c>
      <c r="F16">
        <v>93.15</v>
      </c>
      <c r="G16">
        <v>6.3</v>
      </c>
      <c r="H16">
        <v>0.55000000000000004</v>
      </c>
      <c r="I16">
        <v>0</v>
      </c>
      <c r="J16" s="1">
        <v>45927.747405972223</v>
      </c>
      <c r="K16" t="s">
        <v>33</v>
      </c>
      <c r="L16">
        <f t="shared" si="0"/>
        <v>15</v>
      </c>
      <c r="M16">
        <f>COUNTIF($A$2:A16,A16)</f>
        <v>5</v>
      </c>
    </row>
    <row r="17" spans="1:13" x14ac:dyDescent="0.3">
      <c r="A17">
        <v>12674</v>
      </c>
      <c r="B17" t="s">
        <v>11</v>
      </c>
      <c r="C17" t="s">
        <v>19</v>
      </c>
      <c r="D17" t="s">
        <v>20</v>
      </c>
      <c r="E17">
        <v>14</v>
      </c>
      <c r="F17">
        <v>74.790000000000006</v>
      </c>
      <c r="G17">
        <v>24.38</v>
      </c>
      <c r="H17">
        <v>0.82</v>
      </c>
      <c r="I17">
        <v>0.01</v>
      </c>
      <c r="J17" s="1">
        <v>45927.74742266204</v>
      </c>
      <c r="K17" t="s">
        <v>33</v>
      </c>
      <c r="L17">
        <f t="shared" si="0"/>
        <v>16</v>
      </c>
      <c r="M17">
        <f>COUNTIF($A$2:A17,A17)</f>
        <v>6</v>
      </c>
    </row>
    <row r="18" spans="1:13" x14ac:dyDescent="0.3">
      <c r="A18">
        <v>12674</v>
      </c>
      <c r="B18" t="s">
        <v>11</v>
      </c>
      <c r="C18" t="s">
        <v>17</v>
      </c>
      <c r="D18" t="s">
        <v>18</v>
      </c>
      <c r="E18">
        <v>28</v>
      </c>
      <c r="F18">
        <v>17.260000000000002</v>
      </c>
      <c r="G18">
        <v>80.55</v>
      </c>
      <c r="H18">
        <v>2.19</v>
      </c>
      <c r="I18">
        <v>0</v>
      </c>
      <c r="J18" s="1">
        <v>45927.74746608796</v>
      </c>
      <c r="K18" t="s">
        <v>33</v>
      </c>
      <c r="L18">
        <f t="shared" si="0"/>
        <v>17</v>
      </c>
      <c r="M18">
        <f>COUNTIF($A$2:A18,A18)</f>
        <v>7</v>
      </c>
    </row>
    <row r="19" spans="1:13" x14ac:dyDescent="0.3">
      <c r="A19">
        <v>12674</v>
      </c>
      <c r="B19" t="s">
        <v>11</v>
      </c>
      <c r="C19" t="s">
        <v>34</v>
      </c>
      <c r="D19" t="s">
        <v>35</v>
      </c>
      <c r="E19">
        <v>32</v>
      </c>
      <c r="F19">
        <v>9.86</v>
      </c>
      <c r="G19">
        <v>86.58</v>
      </c>
      <c r="H19">
        <v>3.01</v>
      </c>
      <c r="I19">
        <v>0.55000000000000004</v>
      </c>
      <c r="J19" s="1">
        <v>45927.747486793982</v>
      </c>
      <c r="K19" t="s">
        <v>33</v>
      </c>
      <c r="L19">
        <f t="shared" si="0"/>
        <v>18</v>
      </c>
      <c r="M19">
        <f>COUNTIF($A$2:A19,A19)</f>
        <v>8</v>
      </c>
    </row>
    <row r="20" spans="1:13" x14ac:dyDescent="0.3">
      <c r="A20">
        <v>12674</v>
      </c>
      <c r="B20" t="s">
        <v>11</v>
      </c>
      <c r="C20" t="s">
        <v>12</v>
      </c>
      <c r="D20" t="s">
        <v>13</v>
      </c>
      <c r="F20">
        <v>94.52</v>
      </c>
      <c r="G20">
        <v>3.56</v>
      </c>
      <c r="H20">
        <v>1.37</v>
      </c>
      <c r="I20">
        <v>0.55000000000000004</v>
      </c>
      <c r="J20" s="1">
        <v>45927.747519745368</v>
      </c>
      <c r="K20" t="s">
        <v>33</v>
      </c>
      <c r="L20">
        <f t="shared" si="0"/>
        <v>19</v>
      </c>
      <c r="M20">
        <f>COUNTIF($A$2:A20,A20)</f>
        <v>9</v>
      </c>
    </row>
    <row r="21" spans="1:13" x14ac:dyDescent="0.3">
      <c r="A21">
        <v>12681</v>
      </c>
      <c r="B21" t="s">
        <v>36</v>
      </c>
      <c r="C21" t="s">
        <v>12</v>
      </c>
      <c r="D21" t="s">
        <v>13</v>
      </c>
      <c r="E21">
        <v>4</v>
      </c>
      <c r="F21">
        <v>100</v>
      </c>
      <c r="G21">
        <v>0</v>
      </c>
      <c r="H21">
        <v>0</v>
      </c>
      <c r="I21">
        <v>0</v>
      </c>
      <c r="J21" s="1">
        <v>45927.747563807869</v>
      </c>
      <c r="K21" t="s">
        <v>37</v>
      </c>
      <c r="L21">
        <f t="shared" si="0"/>
        <v>20</v>
      </c>
      <c r="M21">
        <f>COUNTIF($A$2:A21,A21)</f>
        <v>1</v>
      </c>
    </row>
    <row r="22" spans="1:13" x14ac:dyDescent="0.3">
      <c r="A22">
        <v>12681</v>
      </c>
      <c r="B22" t="s">
        <v>36</v>
      </c>
      <c r="C22" t="s">
        <v>17</v>
      </c>
      <c r="D22" t="s">
        <v>18</v>
      </c>
      <c r="E22">
        <v>15</v>
      </c>
      <c r="F22">
        <v>60</v>
      </c>
      <c r="G22">
        <v>40</v>
      </c>
      <c r="H22">
        <v>0</v>
      </c>
      <c r="I22">
        <v>0</v>
      </c>
      <c r="J22" s="1">
        <v>45927.747581400465</v>
      </c>
      <c r="K22" t="s">
        <v>37</v>
      </c>
      <c r="L22">
        <f t="shared" si="0"/>
        <v>21</v>
      </c>
      <c r="M22">
        <f>COUNTIF($A$2:A22,A22)</f>
        <v>2</v>
      </c>
    </row>
    <row r="23" spans="1:13" x14ac:dyDescent="0.3">
      <c r="A23">
        <v>12681</v>
      </c>
      <c r="B23" t="s">
        <v>36</v>
      </c>
      <c r="C23" t="s">
        <v>19</v>
      </c>
      <c r="D23" t="s">
        <v>20</v>
      </c>
      <c r="E23">
        <v>11</v>
      </c>
      <c r="F23">
        <v>80</v>
      </c>
      <c r="G23">
        <v>20</v>
      </c>
      <c r="H23">
        <v>0</v>
      </c>
      <c r="I23">
        <v>0</v>
      </c>
      <c r="J23" s="1">
        <v>45927.747601493058</v>
      </c>
      <c r="K23" t="s">
        <v>37</v>
      </c>
      <c r="L23">
        <f t="shared" si="0"/>
        <v>22</v>
      </c>
      <c r="M23">
        <f>COUNTIF($A$2:A23,A23)</f>
        <v>3</v>
      </c>
    </row>
    <row r="24" spans="1:13" x14ac:dyDescent="0.3">
      <c r="A24">
        <v>12681</v>
      </c>
      <c r="B24" t="s">
        <v>36</v>
      </c>
      <c r="C24" t="s">
        <v>23</v>
      </c>
      <c r="D24" t="s">
        <v>24</v>
      </c>
      <c r="F24">
        <v>100</v>
      </c>
      <c r="G24">
        <v>0</v>
      </c>
      <c r="H24">
        <v>0</v>
      </c>
      <c r="I24">
        <v>0</v>
      </c>
      <c r="J24" s="1">
        <v>45927.74762321759</v>
      </c>
      <c r="K24" t="s">
        <v>37</v>
      </c>
      <c r="L24">
        <f t="shared" si="0"/>
        <v>23</v>
      </c>
      <c r="M24">
        <f>COUNTIF($A$2:A24,A24)</f>
        <v>4</v>
      </c>
    </row>
    <row r="25" spans="1:13" x14ac:dyDescent="0.3">
      <c r="A25">
        <v>12681</v>
      </c>
      <c r="B25" t="s">
        <v>36</v>
      </c>
      <c r="C25" t="s">
        <v>25</v>
      </c>
      <c r="D25" t="s">
        <v>26</v>
      </c>
      <c r="F25">
        <v>80</v>
      </c>
      <c r="G25">
        <v>20</v>
      </c>
      <c r="H25">
        <v>0</v>
      </c>
      <c r="I25">
        <v>0</v>
      </c>
      <c r="J25" s="1">
        <v>45927.74764548611</v>
      </c>
      <c r="K25" t="s">
        <v>37</v>
      </c>
      <c r="L25">
        <f t="shared" si="0"/>
        <v>24</v>
      </c>
      <c r="M25">
        <f>COUNTIF($A$2:A25,A25)</f>
        <v>5</v>
      </c>
    </row>
    <row r="26" spans="1:13" x14ac:dyDescent="0.3">
      <c r="A26">
        <v>12681</v>
      </c>
      <c r="B26" t="s">
        <v>36</v>
      </c>
      <c r="C26" t="s">
        <v>27</v>
      </c>
      <c r="D26" t="s">
        <v>28</v>
      </c>
      <c r="E26">
        <v>8</v>
      </c>
      <c r="F26">
        <v>80</v>
      </c>
      <c r="G26">
        <v>20</v>
      </c>
      <c r="H26">
        <v>0</v>
      </c>
      <c r="I26">
        <v>0</v>
      </c>
      <c r="J26" s="1">
        <v>45927.747664409719</v>
      </c>
      <c r="K26" t="s">
        <v>37</v>
      </c>
      <c r="L26">
        <f t="shared" si="0"/>
        <v>25</v>
      </c>
      <c r="M26">
        <f>COUNTIF($A$2:A26,A26)</f>
        <v>6</v>
      </c>
    </row>
    <row r="27" spans="1:13" x14ac:dyDescent="0.3">
      <c r="A27">
        <v>12681</v>
      </c>
      <c r="B27" t="s">
        <v>36</v>
      </c>
      <c r="C27" t="s">
        <v>29</v>
      </c>
      <c r="D27" t="s">
        <v>30</v>
      </c>
      <c r="E27">
        <v>7</v>
      </c>
      <c r="F27">
        <v>80</v>
      </c>
      <c r="G27">
        <v>20</v>
      </c>
      <c r="H27">
        <v>0</v>
      </c>
      <c r="I27">
        <v>0</v>
      </c>
      <c r="J27" s="1">
        <v>45927.747682372683</v>
      </c>
      <c r="K27" t="s">
        <v>37</v>
      </c>
      <c r="L27">
        <f t="shared" si="0"/>
        <v>26</v>
      </c>
      <c r="M27">
        <f>COUNTIF($A$2:A27,A27)</f>
        <v>7</v>
      </c>
    </row>
    <row r="28" spans="1:13" x14ac:dyDescent="0.3">
      <c r="A28">
        <v>12681</v>
      </c>
      <c r="B28" t="s">
        <v>36</v>
      </c>
      <c r="C28" t="s">
        <v>31</v>
      </c>
      <c r="D28" t="s">
        <v>32</v>
      </c>
      <c r="E28">
        <v>0</v>
      </c>
      <c r="F28">
        <v>100</v>
      </c>
      <c r="G28">
        <v>0</v>
      </c>
      <c r="H28">
        <v>0</v>
      </c>
      <c r="I28">
        <v>0</v>
      </c>
      <c r="J28" s="1">
        <v>45927.747698912041</v>
      </c>
      <c r="K28" t="s">
        <v>37</v>
      </c>
      <c r="L28">
        <f t="shared" si="0"/>
        <v>27</v>
      </c>
      <c r="M28">
        <f>COUNTIF($A$2:A28,A28)</f>
        <v>8</v>
      </c>
    </row>
    <row r="29" spans="1:13" x14ac:dyDescent="0.3">
      <c r="A29">
        <v>12682</v>
      </c>
      <c r="B29" t="s">
        <v>36</v>
      </c>
      <c r="C29" t="s">
        <v>31</v>
      </c>
      <c r="D29" t="s">
        <v>32</v>
      </c>
      <c r="E29">
        <v>3</v>
      </c>
      <c r="F29">
        <v>100</v>
      </c>
      <c r="G29">
        <v>0</v>
      </c>
      <c r="H29">
        <v>0</v>
      </c>
      <c r="I29">
        <v>0</v>
      </c>
      <c r="J29" s="1">
        <v>45927.747744236112</v>
      </c>
      <c r="K29" t="s">
        <v>38</v>
      </c>
      <c r="L29">
        <f t="shared" si="0"/>
        <v>28</v>
      </c>
      <c r="M29">
        <f>COUNTIF($A$2:A29,A29)</f>
        <v>1</v>
      </c>
    </row>
    <row r="30" spans="1:13" x14ac:dyDescent="0.3">
      <c r="A30">
        <v>12682</v>
      </c>
      <c r="B30" t="s">
        <v>36</v>
      </c>
      <c r="C30" t="s">
        <v>27</v>
      </c>
      <c r="D30" t="s">
        <v>28</v>
      </c>
      <c r="E30">
        <v>16</v>
      </c>
      <c r="F30">
        <v>40</v>
      </c>
      <c r="G30">
        <v>60</v>
      </c>
      <c r="H30">
        <v>0</v>
      </c>
      <c r="I30">
        <v>0</v>
      </c>
      <c r="J30" s="1">
        <v>45927.747765185188</v>
      </c>
      <c r="K30" t="s">
        <v>38</v>
      </c>
      <c r="L30">
        <f t="shared" si="0"/>
        <v>29</v>
      </c>
      <c r="M30">
        <f>COUNTIF($A$2:A30,A30)</f>
        <v>2</v>
      </c>
    </row>
    <row r="31" spans="1:13" x14ac:dyDescent="0.3">
      <c r="A31">
        <v>12682</v>
      </c>
      <c r="B31" t="s">
        <v>36</v>
      </c>
      <c r="C31" t="s">
        <v>25</v>
      </c>
      <c r="D31" t="s">
        <v>26</v>
      </c>
      <c r="E31">
        <v>43</v>
      </c>
      <c r="F31">
        <v>0</v>
      </c>
      <c r="G31">
        <v>100</v>
      </c>
      <c r="H31">
        <v>0</v>
      </c>
      <c r="I31">
        <v>0</v>
      </c>
      <c r="J31" s="1">
        <v>45927.747782175924</v>
      </c>
      <c r="K31" t="s">
        <v>38</v>
      </c>
      <c r="L31">
        <f t="shared" si="0"/>
        <v>30</v>
      </c>
      <c r="M31">
        <f>COUNTIF($A$2:A31,A31)</f>
        <v>3</v>
      </c>
    </row>
    <row r="32" spans="1:13" x14ac:dyDescent="0.3">
      <c r="A32">
        <v>12682</v>
      </c>
      <c r="B32" t="s">
        <v>36</v>
      </c>
      <c r="C32" t="s">
        <v>23</v>
      </c>
      <c r="D32" t="s">
        <v>24</v>
      </c>
      <c r="E32">
        <v>41</v>
      </c>
      <c r="F32">
        <v>0</v>
      </c>
      <c r="G32">
        <v>100</v>
      </c>
      <c r="H32">
        <v>0</v>
      </c>
      <c r="I32">
        <v>0</v>
      </c>
      <c r="J32" s="1">
        <v>45927.747804282408</v>
      </c>
      <c r="K32" t="s">
        <v>38</v>
      </c>
      <c r="L32">
        <f t="shared" si="0"/>
        <v>31</v>
      </c>
      <c r="M32">
        <f>COUNTIF($A$2:A32,A32)</f>
        <v>4</v>
      </c>
    </row>
    <row r="33" spans="1:13" x14ac:dyDescent="0.3">
      <c r="A33">
        <v>12682</v>
      </c>
      <c r="B33" t="s">
        <v>36</v>
      </c>
      <c r="C33" t="s">
        <v>19</v>
      </c>
      <c r="D33" t="s">
        <v>20</v>
      </c>
      <c r="E33">
        <v>1</v>
      </c>
      <c r="F33">
        <v>100</v>
      </c>
      <c r="G33">
        <v>0</v>
      </c>
      <c r="H33">
        <v>0</v>
      </c>
      <c r="I33">
        <v>0</v>
      </c>
      <c r="J33" s="1">
        <v>45927.747827546293</v>
      </c>
      <c r="K33" t="s">
        <v>38</v>
      </c>
      <c r="L33">
        <f t="shared" si="0"/>
        <v>32</v>
      </c>
      <c r="M33">
        <f>COUNTIF($A$2:A33,A33)</f>
        <v>5</v>
      </c>
    </row>
    <row r="34" spans="1:13" x14ac:dyDescent="0.3">
      <c r="A34">
        <v>12682</v>
      </c>
      <c r="B34" t="s">
        <v>36</v>
      </c>
      <c r="C34" t="s">
        <v>17</v>
      </c>
      <c r="D34" t="s">
        <v>18</v>
      </c>
      <c r="F34">
        <v>100</v>
      </c>
      <c r="G34">
        <v>0</v>
      </c>
      <c r="H34">
        <v>0</v>
      </c>
      <c r="I34">
        <v>0</v>
      </c>
      <c r="J34" s="1">
        <v>45927.747858125003</v>
      </c>
      <c r="K34" t="s">
        <v>38</v>
      </c>
      <c r="L34">
        <f t="shared" si="0"/>
        <v>33</v>
      </c>
      <c r="M34">
        <f>COUNTIF($A$2:A34,A34)</f>
        <v>6</v>
      </c>
    </row>
    <row r="35" spans="1:13" x14ac:dyDescent="0.3">
      <c r="A35">
        <v>12682</v>
      </c>
      <c r="B35" t="s">
        <v>36</v>
      </c>
      <c r="C35" t="s">
        <v>34</v>
      </c>
      <c r="D35" t="s">
        <v>35</v>
      </c>
      <c r="E35">
        <v>11</v>
      </c>
      <c r="F35">
        <v>80</v>
      </c>
      <c r="G35">
        <v>20</v>
      </c>
      <c r="H35">
        <v>0</v>
      </c>
      <c r="I35">
        <v>0</v>
      </c>
      <c r="J35" s="1">
        <v>45927.747881342591</v>
      </c>
      <c r="K35" t="s">
        <v>38</v>
      </c>
      <c r="L35">
        <f t="shared" si="0"/>
        <v>34</v>
      </c>
      <c r="M35">
        <f>COUNTIF($A$2:A35,A35)</f>
        <v>7</v>
      </c>
    </row>
    <row r="36" spans="1:13" x14ac:dyDescent="0.3">
      <c r="A36">
        <v>12682</v>
      </c>
      <c r="B36" t="s">
        <v>36</v>
      </c>
      <c r="C36" t="s">
        <v>12</v>
      </c>
      <c r="D36" t="s">
        <v>13</v>
      </c>
      <c r="E36">
        <v>9</v>
      </c>
      <c r="F36">
        <v>100</v>
      </c>
      <c r="G36">
        <v>0</v>
      </c>
      <c r="H36">
        <v>0</v>
      </c>
      <c r="I36">
        <v>0</v>
      </c>
      <c r="J36" s="1">
        <v>45927.747901585652</v>
      </c>
      <c r="K36" t="s">
        <v>38</v>
      </c>
      <c r="L36">
        <f t="shared" si="0"/>
        <v>35</v>
      </c>
      <c r="M36">
        <f>COUNTIF($A$2:A36,A36)</f>
        <v>8</v>
      </c>
    </row>
    <row r="37" spans="1:13" x14ac:dyDescent="0.3">
      <c r="A37">
        <v>12637</v>
      </c>
      <c r="B37" t="s">
        <v>39</v>
      </c>
      <c r="C37" t="s">
        <v>40</v>
      </c>
      <c r="D37" t="s">
        <v>41</v>
      </c>
      <c r="E37">
        <v>2</v>
      </c>
      <c r="F37">
        <v>99.45</v>
      </c>
      <c r="G37">
        <v>0.55000000000000004</v>
      </c>
      <c r="H37">
        <v>0</v>
      </c>
      <c r="I37">
        <v>0</v>
      </c>
      <c r="J37" s="1">
        <v>45927.74796803241</v>
      </c>
      <c r="K37" t="s">
        <v>42</v>
      </c>
      <c r="L37">
        <f t="shared" si="0"/>
        <v>36</v>
      </c>
      <c r="M37">
        <f>COUNTIF($A$2:A37,A37)</f>
        <v>1</v>
      </c>
    </row>
    <row r="38" spans="1:13" x14ac:dyDescent="0.3">
      <c r="A38">
        <v>12637</v>
      </c>
      <c r="B38" t="s">
        <v>39</v>
      </c>
      <c r="C38" t="s">
        <v>43</v>
      </c>
      <c r="D38" t="s">
        <v>44</v>
      </c>
      <c r="E38">
        <v>4</v>
      </c>
      <c r="F38">
        <v>99.18</v>
      </c>
      <c r="G38">
        <v>0.82</v>
      </c>
      <c r="H38">
        <v>0</v>
      </c>
      <c r="I38">
        <v>0</v>
      </c>
      <c r="J38" s="1">
        <v>45927.748014189812</v>
      </c>
      <c r="K38" t="s">
        <v>42</v>
      </c>
      <c r="L38">
        <f t="shared" si="0"/>
        <v>37</v>
      </c>
      <c r="M38">
        <f>COUNTIF($A$2:A38,A38)</f>
        <v>2</v>
      </c>
    </row>
    <row r="39" spans="1:13" x14ac:dyDescent="0.3">
      <c r="A39">
        <v>12637</v>
      </c>
      <c r="B39" t="s">
        <v>39</v>
      </c>
      <c r="C39" t="s">
        <v>45</v>
      </c>
      <c r="D39" t="s">
        <v>46</v>
      </c>
      <c r="F39">
        <v>98.9</v>
      </c>
      <c r="G39">
        <v>1.1000000000000001</v>
      </c>
      <c r="H39">
        <v>0</v>
      </c>
      <c r="I39">
        <v>0</v>
      </c>
      <c r="J39" s="1">
        <v>45927.748054247684</v>
      </c>
      <c r="K39" t="s">
        <v>42</v>
      </c>
      <c r="L39">
        <f t="shared" si="0"/>
        <v>38</v>
      </c>
      <c r="M39">
        <f>COUNTIF($A$2:A39,A39)</f>
        <v>3</v>
      </c>
    </row>
    <row r="40" spans="1:13" x14ac:dyDescent="0.3">
      <c r="A40">
        <v>12637</v>
      </c>
      <c r="B40" t="s">
        <v>39</v>
      </c>
      <c r="C40" t="s">
        <v>47</v>
      </c>
      <c r="D40" t="s">
        <v>48</v>
      </c>
      <c r="F40">
        <v>16.16</v>
      </c>
      <c r="G40">
        <v>0.27</v>
      </c>
      <c r="H40">
        <v>0</v>
      </c>
      <c r="I40">
        <v>83.56</v>
      </c>
      <c r="J40" s="1">
        <v>45927.748088993052</v>
      </c>
      <c r="K40" t="s">
        <v>42</v>
      </c>
      <c r="L40">
        <f t="shared" si="0"/>
        <v>39</v>
      </c>
      <c r="M40">
        <f>COUNTIF($A$2:A40,A40)</f>
        <v>4</v>
      </c>
    </row>
    <row r="41" spans="1:13" x14ac:dyDescent="0.3">
      <c r="A41">
        <v>12637</v>
      </c>
      <c r="B41" t="s">
        <v>39</v>
      </c>
      <c r="C41" t="s">
        <v>49</v>
      </c>
      <c r="D41" t="s">
        <v>50</v>
      </c>
      <c r="E41">
        <v>6</v>
      </c>
      <c r="F41">
        <v>95.07</v>
      </c>
      <c r="G41">
        <v>4.66</v>
      </c>
      <c r="H41">
        <v>0.27</v>
      </c>
      <c r="I41">
        <v>0</v>
      </c>
      <c r="J41" s="1">
        <v>45927.748136550923</v>
      </c>
      <c r="K41" t="s">
        <v>42</v>
      </c>
      <c r="L41">
        <f t="shared" si="0"/>
        <v>40</v>
      </c>
      <c r="M41">
        <f>COUNTIF($A$2:A41,A41)</f>
        <v>5</v>
      </c>
    </row>
    <row r="42" spans="1:13" x14ac:dyDescent="0.3">
      <c r="A42">
        <v>12637</v>
      </c>
      <c r="B42" t="s">
        <v>39</v>
      </c>
      <c r="C42" t="s">
        <v>51</v>
      </c>
      <c r="D42" t="s">
        <v>52</v>
      </c>
      <c r="E42">
        <v>7</v>
      </c>
      <c r="F42">
        <v>96.44</v>
      </c>
      <c r="G42">
        <v>3.29</v>
      </c>
      <c r="H42">
        <v>0.27</v>
      </c>
      <c r="I42">
        <v>0</v>
      </c>
      <c r="J42" s="1">
        <v>45927.748184930555</v>
      </c>
      <c r="K42" t="s">
        <v>42</v>
      </c>
      <c r="L42">
        <f t="shared" si="0"/>
        <v>41</v>
      </c>
      <c r="M42">
        <f>COUNTIF($A$2:A42,A42)</f>
        <v>6</v>
      </c>
    </row>
    <row r="43" spans="1:13" x14ac:dyDescent="0.3">
      <c r="A43">
        <v>12637</v>
      </c>
      <c r="B43" t="s">
        <v>39</v>
      </c>
      <c r="C43" t="s">
        <v>53</v>
      </c>
      <c r="D43" t="s">
        <v>54</v>
      </c>
      <c r="E43">
        <v>8</v>
      </c>
      <c r="F43">
        <v>84.93</v>
      </c>
      <c r="G43">
        <v>14.79</v>
      </c>
      <c r="H43">
        <v>0.27</v>
      </c>
      <c r="I43">
        <v>0.01</v>
      </c>
      <c r="J43" s="1">
        <v>45927.748206550925</v>
      </c>
      <c r="K43" t="s">
        <v>42</v>
      </c>
      <c r="L43">
        <f t="shared" si="0"/>
        <v>42</v>
      </c>
      <c r="M43">
        <f>COUNTIF($A$2:A43,A43)</f>
        <v>7</v>
      </c>
    </row>
    <row r="44" spans="1:13" x14ac:dyDescent="0.3">
      <c r="A44">
        <v>12637</v>
      </c>
      <c r="B44" t="s">
        <v>39</v>
      </c>
      <c r="C44" t="s">
        <v>55</v>
      </c>
      <c r="D44" t="s">
        <v>56</v>
      </c>
      <c r="E44">
        <v>14</v>
      </c>
      <c r="F44">
        <v>63.29</v>
      </c>
      <c r="G44">
        <v>36.44</v>
      </c>
      <c r="H44">
        <v>0.27</v>
      </c>
      <c r="I44">
        <v>0</v>
      </c>
      <c r="J44" s="1">
        <v>45927.748255613427</v>
      </c>
      <c r="K44" t="s">
        <v>42</v>
      </c>
      <c r="L44">
        <f t="shared" si="0"/>
        <v>43</v>
      </c>
      <c r="M44">
        <f>COUNTIF($A$2:A44,A44)</f>
        <v>8</v>
      </c>
    </row>
    <row r="45" spans="1:13" x14ac:dyDescent="0.3">
      <c r="A45">
        <v>12637</v>
      </c>
      <c r="B45" t="s">
        <v>39</v>
      </c>
      <c r="C45" t="s">
        <v>57</v>
      </c>
      <c r="D45" t="s">
        <v>58</v>
      </c>
      <c r="E45">
        <v>17</v>
      </c>
      <c r="F45">
        <v>55.62</v>
      </c>
      <c r="G45">
        <v>43.56</v>
      </c>
      <c r="H45">
        <v>0.82</v>
      </c>
      <c r="I45">
        <v>0</v>
      </c>
      <c r="J45" s="1">
        <v>45927.748302152781</v>
      </c>
      <c r="K45" t="s">
        <v>42</v>
      </c>
      <c r="L45">
        <f t="shared" si="0"/>
        <v>44</v>
      </c>
      <c r="M45">
        <f>COUNTIF($A$2:A45,A45)</f>
        <v>9</v>
      </c>
    </row>
    <row r="46" spans="1:13" x14ac:dyDescent="0.3">
      <c r="A46">
        <v>12637</v>
      </c>
      <c r="B46" t="s">
        <v>39</v>
      </c>
      <c r="C46" t="s">
        <v>59</v>
      </c>
      <c r="D46" t="s">
        <v>60</v>
      </c>
      <c r="E46">
        <v>19</v>
      </c>
      <c r="F46">
        <v>44.66</v>
      </c>
      <c r="G46">
        <v>54.52</v>
      </c>
      <c r="H46">
        <v>0.82</v>
      </c>
      <c r="I46">
        <v>0</v>
      </c>
      <c r="J46" s="1">
        <v>45927.748350462964</v>
      </c>
      <c r="K46" t="s">
        <v>42</v>
      </c>
      <c r="L46">
        <f t="shared" si="0"/>
        <v>45</v>
      </c>
      <c r="M46">
        <f>COUNTIF($A$2:A46,A46)</f>
        <v>10</v>
      </c>
    </row>
    <row r="47" spans="1:13" x14ac:dyDescent="0.3">
      <c r="A47">
        <v>12637</v>
      </c>
      <c r="B47" t="s">
        <v>39</v>
      </c>
      <c r="C47" t="s">
        <v>61</v>
      </c>
      <c r="D47" t="s">
        <v>62</v>
      </c>
      <c r="E47">
        <v>21</v>
      </c>
      <c r="F47">
        <v>33.700000000000003</v>
      </c>
      <c r="G47">
        <v>65.209999999999994</v>
      </c>
      <c r="H47">
        <v>1.1000000000000001</v>
      </c>
      <c r="I47">
        <v>0</v>
      </c>
      <c r="J47" s="1">
        <v>45927.748396747687</v>
      </c>
      <c r="K47" t="s">
        <v>42</v>
      </c>
      <c r="L47">
        <f t="shared" si="0"/>
        <v>46</v>
      </c>
      <c r="M47">
        <f>COUNTIF($A$2:A47,A47)</f>
        <v>11</v>
      </c>
    </row>
    <row r="48" spans="1:13" x14ac:dyDescent="0.3">
      <c r="A48">
        <v>12637</v>
      </c>
      <c r="B48" t="s">
        <v>39</v>
      </c>
      <c r="C48" t="s">
        <v>63</v>
      </c>
      <c r="D48" t="s">
        <v>64</v>
      </c>
      <c r="F48">
        <v>98.36</v>
      </c>
      <c r="G48">
        <v>1.64</v>
      </c>
      <c r="H48">
        <v>0</v>
      </c>
      <c r="I48">
        <v>0</v>
      </c>
      <c r="J48" s="1">
        <v>45927.748440497686</v>
      </c>
      <c r="K48" t="s">
        <v>42</v>
      </c>
      <c r="L48">
        <f t="shared" si="0"/>
        <v>47</v>
      </c>
      <c r="M48">
        <f>COUNTIF($A$2:A48,A48)</f>
        <v>12</v>
      </c>
    </row>
    <row r="49" spans="1:13" x14ac:dyDescent="0.3">
      <c r="A49">
        <v>12638</v>
      </c>
      <c r="B49" t="s">
        <v>39</v>
      </c>
      <c r="C49" t="s">
        <v>63</v>
      </c>
      <c r="D49" t="s">
        <v>64</v>
      </c>
      <c r="E49">
        <v>1</v>
      </c>
      <c r="F49">
        <v>100</v>
      </c>
      <c r="G49">
        <v>0</v>
      </c>
      <c r="H49">
        <v>0</v>
      </c>
      <c r="I49">
        <v>0</v>
      </c>
      <c r="J49" s="1">
        <v>45927.748484085649</v>
      </c>
      <c r="K49" t="s">
        <v>65</v>
      </c>
      <c r="L49">
        <f t="shared" si="0"/>
        <v>48</v>
      </c>
      <c r="M49">
        <f>COUNTIF($A$2:A49,A49)</f>
        <v>1</v>
      </c>
    </row>
    <row r="50" spans="1:13" x14ac:dyDescent="0.3">
      <c r="A50">
        <v>12638</v>
      </c>
      <c r="B50" t="s">
        <v>39</v>
      </c>
      <c r="C50" t="s">
        <v>61</v>
      </c>
      <c r="D50" t="s">
        <v>62</v>
      </c>
      <c r="E50">
        <v>6</v>
      </c>
      <c r="F50">
        <v>95.89</v>
      </c>
      <c r="G50">
        <v>4.1100000000000003</v>
      </c>
      <c r="H50">
        <v>0</v>
      </c>
      <c r="I50">
        <v>0</v>
      </c>
      <c r="J50" s="1">
        <v>45927.748528263888</v>
      </c>
      <c r="K50" t="s">
        <v>65</v>
      </c>
      <c r="L50">
        <f t="shared" si="0"/>
        <v>49</v>
      </c>
      <c r="M50">
        <f>COUNTIF($A$2:A50,A50)</f>
        <v>2</v>
      </c>
    </row>
    <row r="51" spans="1:13" x14ac:dyDescent="0.3">
      <c r="A51">
        <v>12638</v>
      </c>
      <c r="B51" t="s">
        <v>39</v>
      </c>
      <c r="C51" t="s">
        <v>59</v>
      </c>
      <c r="D51" t="s">
        <v>60</v>
      </c>
      <c r="E51">
        <v>10</v>
      </c>
      <c r="F51">
        <v>91.78</v>
      </c>
      <c r="G51">
        <v>8.2200000000000006</v>
      </c>
      <c r="H51">
        <v>0</v>
      </c>
      <c r="I51">
        <v>0</v>
      </c>
      <c r="J51" s="1">
        <v>45927.748574120371</v>
      </c>
      <c r="K51" t="s">
        <v>65</v>
      </c>
      <c r="L51">
        <f t="shared" si="0"/>
        <v>50</v>
      </c>
      <c r="M51">
        <f>COUNTIF($A$2:A51,A51)</f>
        <v>3</v>
      </c>
    </row>
    <row r="52" spans="1:13" x14ac:dyDescent="0.3">
      <c r="A52">
        <v>12638</v>
      </c>
      <c r="B52" t="s">
        <v>39</v>
      </c>
      <c r="C52" t="s">
        <v>57</v>
      </c>
      <c r="D52" t="s">
        <v>58</v>
      </c>
      <c r="E52">
        <v>7</v>
      </c>
      <c r="F52">
        <v>96.44</v>
      </c>
      <c r="G52">
        <v>3.56</v>
      </c>
      <c r="H52">
        <v>0</v>
      </c>
      <c r="I52">
        <v>0</v>
      </c>
      <c r="J52" s="1">
        <v>45927.748621307874</v>
      </c>
      <c r="K52" t="s">
        <v>65</v>
      </c>
      <c r="L52">
        <f t="shared" si="0"/>
        <v>51</v>
      </c>
      <c r="M52">
        <f>COUNTIF($A$2:A52,A52)</f>
        <v>4</v>
      </c>
    </row>
    <row r="53" spans="1:13" x14ac:dyDescent="0.3">
      <c r="A53">
        <v>12638</v>
      </c>
      <c r="B53" t="s">
        <v>39</v>
      </c>
      <c r="C53" t="s">
        <v>55</v>
      </c>
      <c r="D53" t="s">
        <v>56</v>
      </c>
      <c r="E53">
        <v>8</v>
      </c>
      <c r="F53">
        <v>93.7</v>
      </c>
      <c r="G53">
        <v>6.3</v>
      </c>
      <c r="H53">
        <v>0</v>
      </c>
      <c r="I53">
        <v>0</v>
      </c>
      <c r="J53" s="1">
        <v>45927.748668206019</v>
      </c>
      <c r="K53" t="s">
        <v>65</v>
      </c>
      <c r="L53">
        <f t="shared" si="0"/>
        <v>52</v>
      </c>
      <c r="M53">
        <f>COUNTIF($A$2:A53,A53)</f>
        <v>5</v>
      </c>
    </row>
    <row r="54" spans="1:13" x14ac:dyDescent="0.3">
      <c r="A54">
        <v>12638</v>
      </c>
      <c r="B54" t="s">
        <v>39</v>
      </c>
      <c r="C54" t="s">
        <v>53</v>
      </c>
      <c r="D54" t="s">
        <v>54</v>
      </c>
      <c r="E54">
        <v>6</v>
      </c>
      <c r="F54">
        <v>95.89</v>
      </c>
      <c r="G54">
        <v>4.1100000000000003</v>
      </c>
      <c r="H54">
        <v>0</v>
      </c>
      <c r="I54">
        <v>0</v>
      </c>
      <c r="J54" s="1">
        <v>45927.748717326387</v>
      </c>
      <c r="K54" t="s">
        <v>65</v>
      </c>
      <c r="L54">
        <f t="shared" si="0"/>
        <v>53</v>
      </c>
      <c r="M54">
        <f>COUNTIF($A$2:A54,A54)</f>
        <v>6</v>
      </c>
    </row>
    <row r="55" spans="1:13" x14ac:dyDescent="0.3">
      <c r="A55">
        <v>12638</v>
      </c>
      <c r="B55" t="s">
        <v>39</v>
      </c>
      <c r="C55" t="s">
        <v>51</v>
      </c>
      <c r="D55" t="s">
        <v>52</v>
      </c>
      <c r="E55">
        <v>21</v>
      </c>
      <c r="F55">
        <v>36.99</v>
      </c>
      <c r="G55">
        <v>62.47</v>
      </c>
      <c r="H55">
        <v>0.55000000000000004</v>
      </c>
      <c r="I55">
        <v>0</v>
      </c>
      <c r="J55" s="1">
        <v>45927.748762824071</v>
      </c>
      <c r="K55" t="s">
        <v>65</v>
      </c>
      <c r="L55">
        <f t="shared" si="0"/>
        <v>54</v>
      </c>
      <c r="M55">
        <f>COUNTIF($A$2:A55,A55)</f>
        <v>7</v>
      </c>
    </row>
    <row r="56" spans="1:13" x14ac:dyDescent="0.3">
      <c r="A56">
        <v>12638</v>
      </c>
      <c r="B56" t="s">
        <v>39</v>
      </c>
      <c r="C56" t="s">
        <v>49</v>
      </c>
      <c r="D56" t="s">
        <v>50</v>
      </c>
      <c r="E56">
        <v>12</v>
      </c>
      <c r="F56">
        <v>84.38</v>
      </c>
      <c r="G56">
        <v>14.79</v>
      </c>
      <c r="H56">
        <v>0.82</v>
      </c>
      <c r="I56">
        <v>0.01</v>
      </c>
      <c r="J56" s="1">
        <v>45927.748781909722</v>
      </c>
      <c r="K56" t="s">
        <v>65</v>
      </c>
      <c r="L56">
        <f t="shared" si="0"/>
        <v>55</v>
      </c>
      <c r="M56">
        <f>COUNTIF($A$2:A56,A56)</f>
        <v>8</v>
      </c>
    </row>
    <row r="57" spans="1:13" x14ac:dyDescent="0.3">
      <c r="A57">
        <v>12638</v>
      </c>
      <c r="B57" t="s">
        <v>39</v>
      </c>
      <c r="C57" t="s">
        <v>47</v>
      </c>
      <c r="D57" t="s">
        <v>48</v>
      </c>
      <c r="E57">
        <v>16</v>
      </c>
      <c r="F57">
        <v>10.41</v>
      </c>
      <c r="G57">
        <v>5.75</v>
      </c>
      <c r="H57">
        <v>0.55000000000000004</v>
      </c>
      <c r="I57">
        <v>83.29</v>
      </c>
      <c r="J57" s="1">
        <v>45927.748802118054</v>
      </c>
      <c r="K57" t="s">
        <v>65</v>
      </c>
      <c r="L57">
        <f t="shared" si="0"/>
        <v>56</v>
      </c>
      <c r="M57">
        <f>COUNTIF($A$2:A57,A57)</f>
        <v>9</v>
      </c>
    </row>
    <row r="58" spans="1:13" x14ac:dyDescent="0.3">
      <c r="A58">
        <v>12638</v>
      </c>
      <c r="B58" t="s">
        <v>39</v>
      </c>
      <c r="C58" t="s">
        <v>45</v>
      </c>
      <c r="D58" t="s">
        <v>46</v>
      </c>
      <c r="E58">
        <v>18</v>
      </c>
      <c r="F58">
        <v>49.04</v>
      </c>
      <c r="G58">
        <v>48.77</v>
      </c>
      <c r="H58">
        <v>1.92</v>
      </c>
      <c r="I58">
        <v>0.27</v>
      </c>
      <c r="J58" s="1">
        <v>45927.748825243056</v>
      </c>
      <c r="K58" t="s">
        <v>65</v>
      </c>
      <c r="L58">
        <f t="shared" si="0"/>
        <v>57</v>
      </c>
      <c r="M58">
        <f>COUNTIF($A$2:A58,A58)</f>
        <v>10</v>
      </c>
    </row>
    <row r="59" spans="1:13" x14ac:dyDescent="0.3">
      <c r="A59">
        <v>12638</v>
      </c>
      <c r="B59" t="s">
        <v>39</v>
      </c>
      <c r="C59" t="s">
        <v>43</v>
      </c>
      <c r="D59" t="s">
        <v>44</v>
      </c>
      <c r="E59">
        <v>23</v>
      </c>
      <c r="F59">
        <v>32.33</v>
      </c>
      <c r="G59">
        <v>64.930000000000007</v>
      </c>
      <c r="H59">
        <v>2.4700000000000002</v>
      </c>
      <c r="I59">
        <v>0.27</v>
      </c>
      <c r="J59" s="1">
        <v>45927.748846273149</v>
      </c>
      <c r="K59" t="s">
        <v>65</v>
      </c>
      <c r="L59">
        <f t="shared" si="0"/>
        <v>58</v>
      </c>
      <c r="M59">
        <f>COUNTIF($A$2:A59,A59)</f>
        <v>11</v>
      </c>
    </row>
    <row r="60" spans="1:13" x14ac:dyDescent="0.3">
      <c r="A60">
        <v>12638</v>
      </c>
      <c r="B60" t="s">
        <v>39</v>
      </c>
      <c r="C60" t="s">
        <v>66</v>
      </c>
      <c r="D60" t="s">
        <v>67</v>
      </c>
      <c r="E60">
        <v>7</v>
      </c>
      <c r="F60">
        <v>93.15</v>
      </c>
      <c r="G60">
        <v>5.75</v>
      </c>
      <c r="H60">
        <v>0.82</v>
      </c>
      <c r="I60">
        <v>0.28000000000000003</v>
      </c>
      <c r="J60" s="1">
        <v>45927.748865694448</v>
      </c>
      <c r="K60" t="s">
        <v>65</v>
      </c>
      <c r="L60">
        <f t="shared" si="0"/>
        <v>59</v>
      </c>
      <c r="M60">
        <f>COUNTIF($A$2:A60,A60)</f>
        <v>12</v>
      </c>
    </row>
    <row r="61" spans="1:13" x14ac:dyDescent="0.3">
      <c r="A61">
        <v>12638</v>
      </c>
      <c r="B61" t="s">
        <v>39</v>
      </c>
      <c r="C61" t="s">
        <v>40</v>
      </c>
      <c r="D61" t="s">
        <v>41</v>
      </c>
      <c r="F61">
        <v>95.07</v>
      </c>
      <c r="G61">
        <v>3.84</v>
      </c>
      <c r="H61">
        <v>1.1000000000000001</v>
      </c>
      <c r="I61">
        <v>0</v>
      </c>
      <c r="J61" s="1">
        <v>45927.748904837965</v>
      </c>
      <c r="K61" t="s">
        <v>65</v>
      </c>
      <c r="L61">
        <f t="shared" si="0"/>
        <v>60</v>
      </c>
      <c r="M61">
        <f>COUNTIF($A$2:A61,A61)</f>
        <v>13</v>
      </c>
    </row>
    <row r="62" spans="1:13" x14ac:dyDescent="0.3">
      <c r="A62">
        <v>12631</v>
      </c>
      <c r="B62" t="s">
        <v>68</v>
      </c>
      <c r="C62" t="s">
        <v>40</v>
      </c>
      <c r="D62" t="s">
        <v>41</v>
      </c>
      <c r="E62">
        <v>3</v>
      </c>
      <c r="F62">
        <v>99.45</v>
      </c>
      <c r="G62">
        <v>0.27</v>
      </c>
      <c r="H62">
        <v>0.27</v>
      </c>
      <c r="I62">
        <v>0.01</v>
      </c>
      <c r="J62" s="1">
        <v>45927.748946446758</v>
      </c>
      <c r="K62" t="s">
        <v>69</v>
      </c>
      <c r="L62">
        <f t="shared" si="0"/>
        <v>61</v>
      </c>
      <c r="M62">
        <f>COUNTIF($A$2:A62,A62)</f>
        <v>1</v>
      </c>
    </row>
    <row r="63" spans="1:13" x14ac:dyDescent="0.3">
      <c r="A63">
        <v>12631</v>
      </c>
      <c r="B63" t="s">
        <v>68</v>
      </c>
      <c r="C63" t="s">
        <v>43</v>
      </c>
      <c r="D63" t="s">
        <v>44</v>
      </c>
      <c r="E63">
        <v>6</v>
      </c>
      <c r="F63">
        <v>97.26</v>
      </c>
      <c r="G63">
        <v>2.19</v>
      </c>
      <c r="H63">
        <v>0.55000000000000004</v>
      </c>
      <c r="I63">
        <v>0</v>
      </c>
      <c r="J63" s="1">
        <v>45927.748991388886</v>
      </c>
      <c r="K63" t="s">
        <v>69</v>
      </c>
      <c r="L63">
        <f t="shared" si="0"/>
        <v>62</v>
      </c>
      <c r="M63">
        <f>COUNTIF($A$2:A63,A63)</f>
        <v>2</v>
      </c>
    </row>
    <row r="64" spans="1:13" x14ac:dyDescent="0.3">
      <c r="A64">
        <v>12631</v>
      </c>
      <c r="B64" t="s">
        <v>68</v>
      </c>
      <c r="C64" t="s">
        <v>45</v>
      </c>
      <c r="D64" t="s">
        <v>46</v>
      </c>
      <c r="E64">
        <v>7</v>
      </c>
      <c r="F64">
        <v>96.16</v>
      </c>
      <c r="G64">
        <v>3.29</v>
      </c>
      <c r="H64">
        <v>0.55000000000000004</v>
      </c>
      <c r="I64">
        <v>0</v>
      </c>
      <c r="J64" s="1">
        <v>45927.749037476853</v>
      </c>
      <c r="K64" t="s">
        <v>69</v>
      </c>
      <c r="L64">
        <f t="shared" si="0"/>
        <v>63</v>
      </c>
      <c r="M64">
        <f>COUNTIF($A$2:A64,A64)</f>
        <v>3</v>
      </c>
    </row>
    <row r="65" spans="1:13" x14ac:dyDescent="0.3">
      <c r="A65">
        <v>12631</v>
      </c>
      <c r="B65" t="s">
        <v>68</v>
      </c>
      <c r="C65" t="s">
        <v>47</v>
      </c>
      <c r="D65" t="s">
        <v>48</v>
      </c>
      <c r="E65">
        <v>11</v>
      </c>
      <c r="F65">
        <v>82.47</v>
      </c>
      <c r="G65">
        <v>16.989999999999998</v>
      </c>
      <c r="H65">
        <v>0.55000000000000004</v>
      </c>
      <c r="I65">
        <v>0</v>
      </c>
      <c r="J65" s="1">
        <v>45927.749082615737</v>
      </c>
      <c r="K65" t="s">
        <v>69</v>
      </c>
      <c r="L65">
        <f t="shared" si="0"/>
        <v>64</v>
      </c>
      <c r="M65">
        <f>COUNTIF($A$2:A65,A65)</f>
        <v>4</v>
      </c>
    </row>
    <row r="66" spans="1:13" x14ac:dyDescent="0.3">
      <c r="A66">
        <v>12631</v>
      </c>
      <c r="B66" t="s">
        <v>68</v>
      </c>
      <c r="C66" t="s">
        <v>70</v>
      </c>
      <c r="D66" t="s">
        <v>71</v>
      </c>
      <c r="E66">
        <v>17</v>
      </c>
      <c r="F66">
        <v>59.45</v>
      </c>
      <c r="G66">
        <v>40</v>
      </c>
      <c r="H66">
        <v>0.55000000000000004</v>
      </c>
      <c r="I66">
        <v>0</v>
      </c>
      <c r="J66" s="1">
        <v>45927.749129062497</v>
      </c>
      <c r="K66" t="s">
        <v>69</v>
      </c>
      <c r="L66">
        <f t="shared" ref="L66:L129" si="1">ROW()-1</f>
        <v>65</v>
      </c>
      <c r="M66">
        <f>COUNTIF($A$2:A66,A66)</f>
        <v>5</v>
      </c>
    </row>
    <row r="67" spans="1:13" x14ac:dyDescent="0.3">
      <c r="A67">
        <v>12631</v>
      </c>
      <c r="B67" t="s">
        <v>68</v>
      </c>
      <c r="C67" t="s">
        <v>49</v>
      </c>
      <c r="D67" t="s">
        <v>50</v>
      </c>
      <c r="E67">
        <v>10</v>
      </c>
      <c r="F67">
        <v>82.74</v>
      </c>
      <c r="G67">
        <v>16.71</v>
      </c>
      <c r="H67">
        <v>0.55000000000000004</v>
      </c>
      <c r="I67">
        <v>0</v>
      </c>
      <c r="J67" s="1">
        <v>45927.749176597223</v>
      </c>
      <c r="K67" t="s">
        <v>69</v>
      </c>
      <c r="L67">
        <f t="shared" si="1"/>
        <v>66</v>
      </c>
      <c r="M67">
        <f>COUNTIF($A$2:A67,A67)</f>
        <v>6</v>
      </c>
    </row>
    <row r="68" spans="1:13" x14ac:dyDescent="0.3">
      <c r="A68">
        <v>12631</v>
      </c>
      <c r="B68" t="s">
        <v>68</v>
      </c>
      <c r="C68" t="s">
        <v>51</v>
      </c>
      <c r="D68" t="s">
        <v>52</v>
      </c>
      <c r="E68">
        <v>12</v>
      </c>
      <c r="F68">
        <v>75.62</v>
      </c>
      <c r="G68">
        <v>23.56</v>
      </c>
      <c r="H68">
        <v>0.82</v>
      </c>
      <c r="I68">
        <v>0</v>
      </c>
      <c r="J68" s="1">
        <v>45927.749224409723</v>
      </c>
      <c r="K68" t="s">
        <v>69</v>
      </c>
      <c r="L68">
        <f t="shared" si="1"/>
        <v>67</v>
      </c>
      <c r="M68">
        <f>COUNTIF($A$2:A68,A68)</f>
        <v>7</v>
      </c>
    </row>
    <row r="69" spans="1:13" x14ac:dyDescent="0.3">
      <c r="A69">
        <v>12631</v>
      </c>
      <c r="B69" t="s">
        <v>68</v>
      </c>
      <c r="C69" t="s">
        <v>53</v>
      </c>
      <c r="D69" t="s">
        <v>54</v>
      </c>
      <c r="E69">
        <v>11</v>
      </c>
      <c r="F69">
        <v>78.36</v>
      </c>
      <c r="G69">
        <v>20.55</v>
      </c>
      <c r="H69">
        <v>1.1000000000000001</v>
      </c>
      <c r="I69">
        <v>0</v>
      </c>
      <c r="J69" s="1">
        <v>45927.749271817127</v>
      </c>
      <c r="K69" t="s">
        <v>69</v>
      </c>
      <c r="L69">
        <f t="shared" si="1"/>
        <v>68</v>
      </c>
      <c r="M69">
        <f>COUNTIF($A$2:A69,A69)</f>
        <v>8</v>
      </c>
    </row>
    <row r="70" spans="1:13" x14ac:dyDescent="0.3">
      <c r="A70">
        <v>12631</v>
      </c>
      <c r="B70" t="s">
        <v>68</v>
      </c>
      <c r="C70" t="s">
        <v>57</v>
      </c>
      <c r="D70" t="s">
        <v>58</v>
      </c>
      <c r="E70">
        <v>13</v>
      </c>
      <c r="F70">
        <v>72.05</v>
      </c>
      <c r="G70">
        <v>26.58</v>
      </c>
      <c r="H70">
        <v>1.37</v>
      </c>
      <c r="I70">
        <v>0</v>
      </c>
      <c r="J70" s="1">
        <v>45927.749315127316</v>
      </c>
      <c r="K70" t="s">
        <v>69</v>
      </c>
      <c r="L70">
        <f t="shared" si="1"/>
        <v>69</v>
      </c>
      <c r="M70">
        <f>COUNTIF($A$2:A70,A70)</f>
        <v>9</v>
      </c>
    </row>
    <row r="71" spans="1:13" x14ac:dyDescent="0.3">
      <c r="A71">
        <v>12631</v>
      </c>
      <c r="B71" t="s">
        <v>68</v>
      </c>
      <c r="C71" t="s">
        <v>72</v>
      </c>
      <c r="D71" t="s">
        <v>73</v>
      </c>
      <c r="E71">
        <v>16</v>
      </c>
      <c r="F71">
        <v>58.36</v>
      </c>
      <c r="G71">
        <v>40.270000000000003</v>
      </c>
      <c r="H71">
        <v>1.37</v>
      </c>
      <c r="I71">
        <v>0</v>
      </c>
      <c r="J71" s="1">
        <v>45927.749358067129</v>
      </c>
      <c r="K71" t="s">
        <v>69</v>
      </c>
      <c r="L71">
        <f t="shared" si="1"/>
        <v>70</v>
      </c>
      <c r="M71">
        <f>COUNTIF($A$2:A71,A71)</f>
        <v>10</v>
      </c>
    </row>
    <row r="72" spans="1:13" x14ac:dyDescent="0.3">
      <c r="A72">
        <v>12631</v>
      </c>
      <c r="B72" t="s">
        <v>68</v>
      </c>
      <c r="C72" t="s">
        <v>63</v>
      </c>
      <c r="D72" t="s">
        <v>64</v>
      </c>
      <c r="E72">
        <v>13</v>
      </c>
      <c r="F72">
        <v>68.22</v>
      </c>
      <c r="G72">
        <v>30.68</v>
      </c>
      <c r="H72">
        <v>1.1000000000000001</v>
      </c>
      <c r="I72">
        <v>0</v>
      </c>
      <c r="J72" s="1">
        <v>45927.749404490743</v>
      </c>
      <c r="K72" t="s">
        <v>69</v>
      </c>
      <c r="L72">
        <f t="shared" si="1"/>
        <v>71</v>
      </c>
      <c r="M72">
        <f>COUNTIF($A$2:A72,A72)</f>
        <v>11</v>
      </c>
    </row>
    <row r="73" spans="1:13" x14ac:dyDescent="0.3">
      <c r="A73">
        <v>12631</v>
      </c>
      <c r="B73" t="s">
        <v>68</v>
      </c>
      <c r="C73" t="s">
        <v>74</v>
      </c>
      <c r="D73" t="s">
        <v>75</v>
      </c>
      <c r="E73">
        <v>16</v>
      </c>
      <c r="F73">
        <v>61.64</v>
      </c>
      <c r="G73">
        <v>37.53</v>
      </c>
      <c r="H73">
        <v>0.82</v>
      </c>
      <c r="I73">
        <v>0.01</v>
      </c>
      <c r="J73" s="1">
        <v>45927.749423518515</v>
      </c>
      <c r="K73" t="s">
        <v>69</v>
      </c>
      <c r="L73">
        <f t="shared" si="1"/>
        <v>72</v>
      </c>
      <c r="M73">
        <f>COUNTIF($A$2:A73,A73)</f>
        <v>12</v>
      </c>
    </row>
    <row r="74" spans="1:13" x14ac:dyDescent="0.3">
      <c r="A74">
        <v>12631</v>
      </c>
      <c r="B74" t="s">
        <v>68</v>
      </c>
      <c r="C74" t="s">
        <v>76</v>
      </c>
      <c r="D74" t="s">
        <v>77</v>
      </c>
      <c r="E74">
        <v>15</v>
      </c>
      <c r="F74">
        <v>60.55</v>
      </c>
      <c r="G74">
        <v>38.36</v>
      </c>
      <c r="H74">
        <v>1.1000000000000001</v>
      </c>
      <c r="I74">
        <v>0</v>
      </c>
      <c r="J74" s="1">
        <v>45927.749471226853</v>
      </c>
      <c r="K74" t="s">
        <v>69</v>
      </c>
      <c r="L74">
        <f t="shared" si="1"/>
        <v>73</v>
      </c>
      <c r="M74">
        <f>COUNTIF($A$2:A74,A74)</f>
        <v>13</v>
      </c>
    </row>
    <row r="75" spans="1:13" x14ac:dyDescent="0.3">
      <c r="A75">
        <v>12631</v>
      </c>
      <c r="B75" t="s">
        <v>68</v>
      </c>
      <c r="C75" t="s">
        <v>78</v>
      </c>
      <c r="D75" t="s">
        <v>79</v>
      </c>
      <c r="E75">
        <v>17</v>
      </c>
      <c r="F75">
        <v>56.44</v>
      </c>
      <c r="G75">
        <v>42.47</v>
      </c>
      <c r="H75">
        <v>1.1000000000000001</v>
      </c>
      <c r="I75">
        <v>0</v>
      </c>
      <c r="J75" s="1">
        <v>45927.749517800927</v>
      </c>
      <c r="K75" t="s">
        <v>69</v>
      </c>
      <c r="L75">
        <f t="shared" si="1"/>
        <v>74</v>
      </c>
      <c r="M75">
        <f>COUNTIF($A$2:A75,A75)</f>
        <v>14</v>
      </c>
    </row>
    <row r="76" spans="1:13" x14ac:dyDescent="0.3">
      <c r="A76">
        <v>12631</v>
      </c>
      <c r="B76" t="s">
        <v>68</v>
      </c>
      <c r="C76" t="s">
        <v>80</v>
      </c>
      <c r="D76" t="s">
        <v>81</v>
      </c>
      <c r="F76">
        <v>98.63</v>
      </c>
      <c r="G76">
        <v>0.82</v>
      </c>
      <c r="H76">
        <v>0.55000000000000004</v>
      </c>
      <c r="I76">
        <v>0</v>
      </c>
      <c r="J76" s="1">
        <v>45927.749562083336</v>
      </c>
      <c r="K76" t="s">
        <v>69</v>
      </c>
      <c r="L76">
        <f t="shared" si="1"/>
        <v>75</v>
      </c>
      <c r="M76">
        <f>COUNTIF($A$2:A76,A76)</f>
        <v>15</v>
      </c>
    </row>
    <row r="77" spans="1:13" x14ac:dyDescent="0.3">
      <c r="A77">
        <v>12632</v>
      </c>
      <c r="B77" t="s">
        <v>68</v>
      </c>
      <c r="C77" t="s">
        <v>80</v>
      </c>
      <c r="D77" t="s">
        <v>81</v>
      </c>
      <c r="E77">
        <v>3</v>
      </c>
      <c r="F77">
        <v>99.18</v>
      </c>
      <c r="G77">
        <v>0.82</v>
      </c>
      <c r="H77">
        <v>0</v>
      </c>
      <c r="I77">
        <v>0</v>
      </c>
      <c r="J77" s="1">
        <v>45927.749633217594</v>
      </c>
      <c r="K77" t="s">
        <v>82</v>
      </c>
      <c r="L77">
        <f t="shared" si="1"/>
        <v>76</v>
      </c>
      <c r="M77">
        <f>COUNTIF($A$2:A77,A77)</f>
        <v>1</v>
      </c>
    </row>
    <row r="78" spans="1:13" x14ac:dyDescent="0.3">
      <c r="A78">
        <v>12632</v>
      </c>
      <c r="B78" t="s">
        <v>68</v>
      </c>
      <c r="C78" t="s">
        <v>78</v>
      </c>
      <c r="D78" t="s">
        <v>79</v>
      </c>
      <c r="E78">
        <v>8</v>
      </c>
      <c r="F78">
        <v>96.16</v>
      </c>
      <c r="G78">
        <v>3.84</v>
      </c>
      <c r="H78">
        <v>0</v>
      </c>
      <c r="I78">
        <v>0</v>
      </c>
      <c r="J78" s="1">
        <v>45927.74967690972</v>
      </c>
      <c r="K78" t="s">
        <v>82</v>
      </c>
      <c r="L78">
        <f t="shared" si="1"/>
        <v>77</v>
      </c>
      <c r="M78">
        <f>COUNTIF($A$2:A78,A78)</f>
        <v>2</v>
      </c>
    </row>
    <row r="79" spans="1:13" x14ac:dyDescent="0.3">
      <c r="A79">
        <v>12632</v>
      </c>
      <c r="B79" t="s">
        <v>68</v>
      </c>
      <c r="C79" t="s">
        <v>76</v>
      </c>
      <c r="D79" t="s">
        <v>77</v>
      </c>
      <c r="E79">
        <v>9</v>
      </c>
      <c r="F79">
        <v>90.96</v>
      </c>
      <c r="G79">
        <v>9.0399999999999991</v>
      </c>
      <c r="H79">
        <v>0</v>
      </c>
      <c r="I79">
        <v>0</v>
      </c>
      <c r="J79" s="1">
        <v>45927.749722916669</v>
      </c>
      <c r="K79" t="s">
        <v>82</v>
      </c>
      <c r="L79">
        <f t="shared" si="1"/>
        <v>78</v>
      </c>
      <c r="M79">
        <f>COUNTIF($A$2:A79,A79)</f>
        <v>3</v>
      </c>
    </row>
    <row r="80" spans="1:13" x14ac:dyDescent="0.3">
      <c r="A80">
        <v>12632</v>
      </c>
      <c r="B80" t="s">
        <v>68</v>
      </c>
      <c r="C80" t="s">
        <v>74</v>
      </c>
      <c r="D80" t="s">
        <v>75</v>
      </c>
      <c r="E80">
        <v>7</v>
      </c>
      <c r="F80">
        <v>96.16</v>
      </c>
      <c r="G80">
        <v>3.84</v>
      </c>
      <c r="H80">
        <v>0</v>
      </c>
      <c r="I80">
        <v>0</v>
      </c>
      <c r="J80" s="1">
        <v>45927.749769224538</v>
      </c>
      <c r="K80" t="s">
        <v>82</v>
      </c>
      <c r="L80">
        <f t="shared" si="1"/>
        <v>79</v>
      </c>
      <c r="M80">
        <f>COUNTIF($A$2:A80,A80)</f>
        <v>4</v>
      </c>
    </row>
    <row r="81" spans="1:13" x14ac:dyDescent="0.3">
      <c r="A81">
        <v>12632</v>
      </c>
      <c r="B81" t="s">
        <v>68</v>
      </c>
      <c r="C81" t="s">
        <v>63</v>
      </c>
      <c r="D81" t="s">
        <v>64</v>
      </c>
      <c r="E81">
        <v>11</v>
      </c>
      <c r="F81">
        <v>78.900000000000006</v>
      </c>
      <c r="G81">
        <v>21.1</v>
      </c>
      <c r="H81">
        <v>0</v>
      </c>
      <c r="I81">
        <v>0</v>
      </c>
      <c r="J81" s="1">
        <v>45927.749818495373</v>
      </c>
      <c r="K81" t="s">
        <v>82</v>
      </c>
      <c r="L81">
        <f t="shared" si="1"/>
        <v>80</v>
      </c>
      <c r="M81">
        <f>COUNTIF($A$2:A81,A81)</f>
        <v>5</v>
      </c>
    </row>
    <row r="82" spans="1:13" x14ac:dyDescent="0.3">
      <c r="A82">
        <v>12632</v>
      </c>
      <c r="B82" t="s">
        <v>68</v>
      </c>
      <c r="C82" t="s">
        <v>72</v>
      </c>
      <c r="D82" t="s">
        <v>73</v>
      </c>
      <c r="E82">
        <v>13</v>
      </c>
      <c r="F82">
        <v>71.23</v>
      </c>
      <c r="G82">
        <v>28.77</v>
      </c>
      <c r="H82">
        <v>0</v>
      </c>
      <c r="I82">
        <v>0</v>
      </c>
      <c r="J82" s="1">
        <v>45927.74986314815</v>
      </c>
      <c r="K82" t="s">
        <v>82</v>
      </c>
      <c r="L82">
        <f t="shared" si="1"/>
        <v>81</v>
      </c>
      <c r="M82">
        <f>COUNTIF($A$2:A82,A82)</f>
        <v>6</v>
      </c>
    </row>
    <row r="83" spans="1:13" x14ac:dyDescent="0.3">
      <c r="A83">
        <v>12632</v>
      </c>
      <c r="B83" t="s">
        <v>68</v>
      </c>
      <c r="C83" t="s">
        <v>57</v>
      </c>
      <c r="D83" t="s">
        <v>58</v>
      </c>
      <c r="E83">
        <v>9</v>
      </c>
      <c r="F83">
        <v>85.21</v>
      </c>
      <c r="G83">
        <v>14.79</v>
      </c>
      <c r="H83">
        <v>0</v>
      </c>
      <c r="I83">
        <v>0</v>
      </c>
      <c r="J83" s="1">
        <v>45927.749907604164</v>
      </c>
      <c r="K83" t="s">
        <v>82</v>
      </c>
      <c r="L83">
        <f t="shared" si="1"/>
        <v>82</v>
      </c>
      <c r="M83">
        <f>COUNTIF($A$2:A83,A83)</f>
        <v>7</v>
      </c>
    </row>
    <row r="84" spans="1:13" x14ac:dyDescent="0.3">
      <c r="A84">
        <v>12632</v>
      </c>
      <c r="B84" t="s">
        <v>68</v>
      </c>
      <c r="C84" t="s">
        <v>53</v>
      </c>
      <c r="D84" t="s">
        <v>54</v>
      </c>
      <c r="E84">
        <v>7</v>
      </c>
      <c r="F84">
        <v>91.78</v>
      </c>
      <c r="G84">
        <v>8.2200000000000006</v>
      </c>
      <c r="H84">
        <v>0</v>
      </c>
      <c r="I84">
        <v>0</v>
      </c>
      <c r="J84" s="1">
        <v>45927.749957569446</v>
      </c>
      <c r="K84" t="s">
        <v>82</v>
      </c>
      <c r="L84">
        <f t="shared" si="1"/>
        <v>83</v>
      </c>
      <c r="M84">
        <f>COUNTIF($A$2:A84,A84)</f>
        <v>8</v>
      </c>
    </row>
    <row r="85" spans="1:13" x14ac:dyDescent="0.3">
      <c r="A85">
        <v>12632</v>
      </c>
      <c r="B85" t="s">
        <v>68</v>
      </c>
      <c r="C85" t="s">
        <v>51</v>
      </c>
      <c r="D85" t="s">
        <v>52</v>
      </c>
      <c r="E85">
        <v>22</v>
      </c>
      <c r="F85">
        <v>36.159999999999997</v>
      </c>
      <c r="G85">
        <v>62.74</v>
      </c>
      <c r="H85">
        <v>1.1000000000000001</v>
      </c>
      <c r="I85">
        <v>0</v>
      </c>
      <c r="J85" s="1">
        <v>45927.750006516202</v>
      </c>
      <c r="K85" t="s">
        <v>82</v>
      </c>
      <c r="L85">
        <f t="shared" si="1"/>
        <v>84</v>
      </c>
      <c r="M85">
        <f>COUNTIF($A$2:A85,A85)</f>
        <v>9</v>
      </c>
    </row>
    <row r="86" spans="1:13" x14ac:dyDescent="0.3">
      <c r="A86">
        <v>12632</v>
      </c>
      <c r="B86" t="s">
        <v>68</v>
      </c>
      <c r="C86" t="s">
        <v>49</v>
      </c>
      <c r="D86" t="s">
        <v>50</v>
      </c>
      <c r="E86">
        <v>16</v>
      </c>
      <c r="F86">
        <v>54.79</v>
      </c>
      <c r="G86">
        <v>43.56</v>
      </c>
      <c r="H86">
        <v>1.64</v>
      </c>
      <c r="I86">
        <v>0.01</v>
      </c>
      <c r="J86" s="1">
        <v>45927.75002835648</v>
      </c>
      <c r="K86" t="s">
        <v>82</v>
      </c>
      <c r="L86">
        <f t="shared" si="1"/>
        <v>85</v>
      </c>
      <c r="M86">
        <f>COUNTIF($A$2:A86,A86)</f>
        <v>10</v>
      </c>
    </row>
    <row r="87" spans="1:13" x14ac:dyDescent="0.3">
      <c r="A87">
        <v>12632</v>
      </c>
      <c r="B87" t="s">
        <v>68</v>
      </c>
      <c r="C87" t="s">
        <v>70</v>
      </c>
      <c r="D87" t="s">
        <v>71</v>
      </c>
      <c r="E87">
        <v>19</v>
      </c>
      <c r="F87">
        <v>39.18</v>
      </c>
      <c r="G87">
        <v>58.9</v>
      </c>
      <c r="H87">
        <v>1.64</v>
      </c>
      <c r="I87">
        <v>0.28000000000000003</v>
      </c>
      <c r="J87" s="1">
        <v>45927.750052407406</v>
      </c>
      <c r="K87" t="s">
        <v>82</v>
      </c>
      <c r="L87">
        <f t="shared" si="1"/>
        <v>86</v>
      </c>
      <c r="M87">
        <f>COUNTIF($A$2:A87,A87)</f>
        <v>11</v>
      </c>
    </row>
    <row r="88" spans="1:13" x14ac:dyDescent="0.3">
      <c r="A88">
        <v>12632</v>
      </c>
      <c r="B88" t="s">
        <v>68</v>
      </c>
      <c r="C88" t="s">
        <v>47</v>
      </c>
      <c r="D88" t="s">
        <v>48</v>
      </c>
      <c r="E88">
        <v>20</v>
      </c>
      <c r="F88">
        <v>37.53</v>
      </c>
      <c r="G88">
        <v>60.55</v>
      </c>
      <c r="H88">
        <v>1.64</v>
      </c>
      <c r="I88">
        <v>0.28000000000000003</v>
      </c>
      <c r="J88" s="1">
        <v>45927.750072835646</v>
      </c>
      <c r="K88" t="s">
        <v>82</v>
      </c>
      <c r="L88">
        <f t="shared" si="1"/>
        <v>87</v>
      </c>
      <c r="M88">
        <f>COUNTIF($A$2:A88,A88)</f>
        <v>12</v>
      </c>
    </row>
    <row r="89" spans="1:13" x14ac:dyDescent="0.3">
      <c r="A89">
        <v>12632</v>
      </c>
      <c r="B89" t="s">
        <v>68</v>
      </c>
      <c r="C89" t="s">
        <v>45</v>
      </c>
      <c r="D89" t="s">
        <v>46</v>
      </c>
      <c r="E89">
        <v>19</v>
      </c>
      <c r="F89">
        <v>44.38</v>
      </c>
      <c r="G89">
        <v>53.42</v>
      </c>
      <c r="H89">
        <v>1.92</v>
      </c>
      <c r="I89">
        <v>0.28000000000000003</v>
      </c>
      <c r="J89" s="1">
        <v>45927.750097083335</v>
      </c>
      <c r="K89" t="s">
        <v>82</v>
      </c>
      <c r="L89">
        <f t="shared" si="1"/>
        <v>88</v>
      </c>
      <c r="M89">
        <f>COUNTIF($A$2:A89,A89)</f>
        <v>13</v>
      </c>
    </row>
    <row r="90" spans="1:13" x14ac:dyDescent="0.3">
      <c r="A90">
        <v>12632</v>
      </c>
      <c r="B90" t="s">
        <v>68</v>
      </c>
      <c r="C90" t="s">
        <v>43</v>
      </c>
      <c r="D90" t="s">
        <v>44</v>
      </c>
      <c r="E90">
        <v>24</v>
      </c>
      <c r="F90">
        <v>27.12</v>
      </c>
      <c r="G90">
        <v>69.59</v>
      </c>
      <c r="H90">
        <v>2.74</v>
      </c>
      <c r="I90">
        <v>0.55000000000000004</v>
      </c>
      <c r="J90" s="1">
        <v>45927.750117013886</v>
      </c>
      <c r="K90" t="s">
        <v>82</v>
      </c>
      <c r="L90">
        <f t="shared" si="1"/>
        <v>89</v>
      </c>
      <c r="M90">
        <f>COUNTIF($A$2:A90,A90)</f>
        <v>14</v>
      </c>
    </row>
    <row r="91" spans="1:13" x14ac:dyDescent="0.3">
      <c r="A91">
        <v>12632</v>
      </c>
      <c r="B91" t="s">
        <v>68</v>
      </c>
      <c r="C91" t="s">
        <v>66</v>
      </c>
      <c r="D91" t="s">
        <v>67</v>
      </c>
      <c r="E91">
        <v>9</v>
      </c>
      <c r="F91">
        <v>89.32</v>
      </c>
      <c r="G91">
        <v>9.0399999999999991</v>
      </c>
      <c r="H91">
        <v>1.1000000000000001</v>
      </c>
      <c r="I91">
        <v>0.54</v>
      </c>
      <c r="J91" s="1">
        <v>45927.750137280091</v>
      </c>
      <c r="K91" t="s">
        <v>82</v>
      </c>
      <c r="L91">
        <f t="shared" si="1"/>
        <v>90</v>
      </c>
      <c r="M91">
        <f>COUNTIF($A$2:A91,A91)</f>
        <v>15</v>
      </c>
    </row>
    <row r="92" spans="1:13" x14ac:dyDescent="0.3">
      <c r="A92">
        <v>12632</v>
      </c>
      <c r="B92" t="s">
        <v>68</v>
      </c>
      <c r="C92" t="s">
        <v>40</v>
      </c>
      <c r="D92" t="s">
        <v>41</v>
      </c>
      <c r="F92">
        <v>94.52</v>
      </c>
      <c r="G92">
        <v>3.01</v>
      </c>
      <c r="H92">
        <v>2.19</v>
      </c>
      <c r="I92">
        <v>0.28000000000000003</v>
      </c>
      <c r="J92" s="1">
        <v>45927.750156817128</v>
      </c>
      <c r="K92" t="s">
        <v>82</v>
      </c>
      <c r="L92">
        <f t="shared" si="1"/>
        <v>91</v>
      </c>
      <c r="M92">
        <f>COUNTIF($A$2:A92,A92)</f>
        <v>16</v>
      </c>
    </row>
    <row r="93" spans="1:13" x14ac:dyDescent="0.3">
      <c r="A93">
        <v>20665</v>
      </c>
      <c r="B93" t="s">
        <v>83</v>
      </c>
      <c r="C93" t="s">
        <v>40</v>
      </c>
      <c r="D93" t="s">
        <v>41</v>
      </c>
      <c r="E93">
        <v>1</v>
      </c>
      <c r="F93">
        <v>100</v>
      </c>
      <c r="G93">
        <v>0</v>
      </c>
      <c r="H93">
        <v>0</v>
      </c>
      <c r="I93">
        <v>0</v>
      </c>
      <c r="J93" s="1">
        <v>45927.750198043985</v>
      </c>
      <c r="K93" t="s">
        <v>84</v>
      </c>
      <c r="L93">
        <f t="shared" si="1"/>
        <v>92</v>
      </c>
      <c r="M93">
        <f>COUNTIF($A$2:A93,A93)</f>
        <v>1</v>
      </c>
    </row>
    <row r="94" spans="1:13" x14ac:dyDescent="0.3">
      <c r="A94">
        <v>20665</v>
      </c>
      <c r="B94" t="s">
        <v>83</v>
      </c>
      <c r="C94" t="s">
        <v>43</v>
      </c>
      <c r="D94" t="s">
        <v>44</v>
      </c>
      <c r="E94">
        <v>3</v>
      </c>
      <c r="F94">
        <v>100</v>
      </c>
      <c r="G94">
        <v>0</v>
      </c>
      <c r="H94">
        <v>0</v>
      </c>
      <c r="I94">
        <v>0</v>
      </c>
      <c r="J94" s="1">
        <v>45927.750216840279</v>
      </c>
      <c r="K94" t="s">
        <v>84</v>
      </c>
      <c r="L94">
        <f t="shared" si="1"/>
        <v>93</v>
      </c>
      <c r="M94">
        <f>COUNTIF($A$2:A94,A94)</f>
        <v>2</v>
      </c>
    </row>
    <row r="95" spans="1:13" x14ac:dyDescent="0.3">
      <c r="A95">
        <v>20665</v>
      </c>
      <c r="B95" t="s">
        <v>83</v>
      </c>
      <c r="C95" t="s">
        <v>49</v>
      </c>
      <c r="D95" t="s">
        <v>50</v>
      </c>
      <c r="E95">
        <v>7</v>
      </c>
      <c r="F95">
        <v>92.31</v>
      </c>
      <c r="G95">
        <v>7.69</v>
      </c>
      <c r="H95">
        <v>0</v>
      </c>
      <c r="I95">
        <v>0</v>
      </c>
      <c r="J95" s="1">
        <v>45927.750261643516</v>
      </c>
      <c r="K95" t="s">
        <v>84</v>
      </c>
      <c r="L95">
        <f t="shared" si="1"/>
        <v>94</v>
      </c>
      <c r="M95">
        <f>COUNTIF($A$2:A95,A95)</f>
        <v>3</v>
      </c>
    </row>
    <row r="96" spans="1:13" x14ac:dyDescent="0.3">
      <c r="A96">
        <v>20665</v>
      </c>
      <c r="B96" t="s">
        <v>83</v>
      </c>
      <c r="C96" t="s">
        <v>53</v>
      </c>
      <c r="D96" t="s">
        <v>54</v>
      </c>
      <c r="E96">
        <v>7</v>
      </c>
      <c r="F96">
        <v>92.31</v>
      </c>
      <c r="G96">
        <v>7.69</v>
      </c>
      <c r="H96">
        <v>0</v>
      </c>
      <c r="I96">
        <v>0</v>
      </c>
      <c r="J96" s="1">
        <v>45927.750306203707</v>
      </c>
      <c r="K96" t="s">
        <v>84</v>
      </c>
      <c r="L96">
        <f t="shared" si="1"/>
        <v>95</v>
      </c>
      <c r="M96">
        <f>COUNTIF($A$2:A96,A96)</f>
        <v>4</v>
      </c>
    </row>
    <row r="97" spans="1:13" x14ac:dyDescent="0.3">
      <c r="A97">
        <v>20665</v>
      </c>
      <c r="B97" t="s">
        <v>83</v>
      </c>
      <c r="C97" t="s">
        <v>57</v>
      </c>
      <c r="D97" t="s">
        <v>58</v>
      </c>
      <c r="E97">
        <v>11</v>
      </c>
      <c r="F97">
        <v>88.46</v>
      </c>
      <c r="G97">
        <v>7.69</v>
      </c>
      <c r="H97">
        <v>3.85</v>
      </c>
      <c r="I97">
        <v>0</v>
      </c>
      <c r="J97" s="1">
        <v>45927.750351168979</v>
      </c>
      <c r="K97" t="s">
        <v>84</v>
      </c>
      <c r="L97">
        <f t="shared" si="1"/>
        <v>96</v>
      </c>
      <c r="M97">
        <f>COUNTIF($A$2:A97,A97)</f>
        <v>5</v>
      </c>
    </row>
    <row r="98" spans="1:13" x14ac:dyDescent="0.3">
      <c r="A98">
        <v>20665</v>
      </c>
      <c r="B98" t="s">
        <v>83</v>
      </c>
      <c r="C98" t="s">
        <v>63</v>
      </c>
      <c r="D98" t="s">
        <v>64</v>
      </c>
      <c r="E98">
        <v>15</v>
      </c>
      <c r="F98">
        <v>80.77</v>
      </c>
      <c r="G98">
        <v>15.38</v>
      </c>
      <c r="H98">
        <v>3.85</v>
      </c>
      <c r="I98">
        <v>0</v>
      </c>
      <c r="J98" s="1">
        <v>45927.750395185183</v>
      </c>
      <c r="K98" t="s">
        <v>84</v>
      </c>
      <c r="L98">
        <f t="shared" si="1"/>
        <v>97</v>
      </c>
      <c r="M98">
        <f>COUNTIF($A$2:A98,A98)</f>
        <v>6</v>
      </c>
    </row>
    <row r="99" spans="1:13" x14ac:dyDescent="0.3">
      <c r="A99">
        <v>20665</v>
      </c>
      <c r="B99" t="s">
        <v>83</v>
      </c>
      <c r="C99" t="s">
        <v>74</v>
      </c>
      <c r="D99" t="s">
        <v>75</v>
      </c>
      <c r="E99">
        <v>17</v>
      </c>
      <c r="F99">
        <v>61.54</v>
      </c>
      <c r="G99">
        <v>34.619999999999997</v>
      </c>
      <c r="H99">
        <v>3.85</v>
      </c>
      <c r="I99">
        <v>0</v>
      </c>
      <c r="J99" s="1">
        <v>45927.750439398151</v>
      </c>
      <c r="K99" t="s">
        <v>84</v>
      </c>
      <c r="L99">
        <f t="shared" si="1"/>
        <v>98</v>
      </c>
      <c r="M99">
        <f>COUNTIF($A$2:A99,A99)</f>
        <v>7</v>
      </c>
    </row>
    <row r="100" spans="1:13" x14ac:dyDescent="0.3">
      <c r="A100">
        <v>20665</v>
      </c>
      <c r="B100" t="s">
        <v>83</v>
      </c>
      <c r="C100" t="s">
        <v>80</v>
      </c>
      <c r="D100" t="s">
        <v>81</v>
      </c>
      <c r="F100">
        <v>96.15</v>
      </c>
      <c r="G100">
        <v>0</v>
      </c>
      <c r="H100">
        <v>3.85</v>
      </c>
      <c r="I100">
        <v>0</v>
      </c>
      <c r="J100" s="1">
        <v>45927.750479444447</v>
      </c>
      <c r="K100" t="s">
        <v>84</v>
      </c>
      <c r="L100">
        <f t="shared" si="1"/>
        <v>99</v>
      </c>
      <c r="M100">
        <f>COUNTIF($A$2:A100,A100)</f>
        <v>8</v>
      </c>
    </row>
    <row r="101" spans="1:13" x14ac:dyDescent="0.3">
      <c r="A101">
        <v>20666</v>
      </c>
      <c r="B101" t="s">
        <v>83</v>
      </c>
      <c r="C101" t="s">
        <v>80</v>
      </c>
      <c r="D101" t="s">
        <v>81</v>
      </c>
      <c r="E101">
        <v>0</v>
      </c>
      <c r="F101">
        <v>100</v>
      </c>
      <c r="G101">
        <v>0</v>
      </c>
      <c r="H101">
        <v>0</v>
      </c>
      <c r="I101">
        <v>0</v>
      </c>
      <c r="J101" s="1">
        <v>45927.750523553237</v>
      </c>
      <c r="K101" t="s">
        <v>85</v>
      </c>
      <c r="L101">
        <f t="shared" si="1"/>
        <v>100</v>
      </c>
      <c r="M101">
        <f>COUNTIF($A$2:A101,A101)</f>
        <v>1</v>
      </c>
    </row>
    <row r="102" spans="1:13" x14ac:dyDescent="0.3">
      <c r="A102">
        <v>20666</v>
      </c>
      <c r="B102" t="s">
        <v>83</v>
      </c>
      <c r="C102" t="s">
        <v>74</v>
      </c>
      <c r="D102" t="s">
        <v>75</v>
      </c>
      <c r="F102">
        <v>100</v>
      </c>
      <c r="G102">
        <v>0</v>
      </c>
      <c r="H102">
        <v>0</v>
      </c>
      <c r="I102">
        <v>0</v>
      </c>
      <c r="J102" s="1">
        <v>45927.750551921294</v>
      </c>
      <c r="K102" t="s">
        <v>85</v>
      </c>
      <c r="L102">
        <f t="shared" si="1"/>
        <v>101</v>
      </c>
      <c r="M102">
        <f>COUNTIF($A$2:A102,A102)</f>
        <v>2</v>
      </c>
    </row>
    <row r="103" spans="1:13" x14ac:dyDescent="0.3">
      <c r="A103">
        <v>20666</v>
      </c>
      <c r="B103" t="s">
        <v>83</v>
      </c>
      <c r="C103" t="s">
        <v>63</v>
      </c>
      <c r="D103" t="s">
        <v>64</v>
      </c>
      <c r="E103">
        <v>2</v>
      </c>
      <c r="F103">
        <v>100</v>
      </c>
      <c r="G103">
        <v>0</v>
      </c>
      <c r="H103">
        <v>0</v>
      </c>
      <c r="I103">
        <v>0</v>
      </c>
      <c r="J103" s="1">
        <v>45927.75057423611</v>
      </c>
      <c r="K103" t="s">
        <v>85</v>
      </c>
      <c r="L103">
        <f t="shared" si="1"/>
        <v>102</v>
      </c>
      <c r="M103">
        <f>COUNTIF($A$2:A103,A103)</f>
        <v>3</v>
      </c>
    </row>
    <row r="104" spans="1:13" x14ac:dyDescent="0.3">
      <c r="A104">
        <v>20666</v>
      </c>
      <c r="B104" t="s">
        <v>83</v>
      </c>
      <c r="C104" t="s">
        <v>57</v>
      </c>
      <c r="D104" t="s">
        <v>58</v>
      </c>
      <c r="E104">
        <v>9</v>
      </c>
      <c r="F104">
        <v>96.15</v>
      </c>
      <c r="G104">
        <v>3.85</v>
      </c>
      <c r="H104">
        <v>0</v>
      </c>
      <c r="I104">
        <v>0</v>
      </c>
      <c r="J104" s="1">
        <v>45927.750621423613</v>
      </c>
      <c r="K104" t="s">
        <v>85</v>
      </c>
      <c r="L104">
        <f t="shared" si="1"/>
        <v>103</v>
      </c>
      <c r="M104">
        <f>COUNTIF($A$2:A104,A104)</f>
        <v>4</v>
      </c>
    </row>
    <row r="105" spans="1:13" x14ac:dyDescent="0.3">
      <c r="A105">
        <v>20666</v>
      </c>
      <c r="B105" t="s">
        <v>83</v>
      </c>
      <c r="C105" t="s">
        <v>53</v>
      </c>
      <c r="D105" t="s">
        <v>54</v>
      </c>
      <c r="E105">
        <v>3</v>
      </c>
      <c r="F105">
        <v>100</v>
      </c>
      <c r="G105">
        <v>0</v>
      </c>
      <c r="H105">
        <v>0</v>
      </c>
      <c r="I105">
        <v>0</v>
      </c>
      <c r="J105" s="1">
        <v>45927.75064395833</v>
      </c>
      <c r="K105" t="s">
        <v>85</v>
      </c>
      <c r="L105">
        <f t="shared" si="1"/>
        <v>104</v>
      </c>
      <c r="M105">
        <f>COUNTIF($A$2:A105,A105)</f>
        <v>5</v>
      </c>
    </row>
    <row r="106" spans="1:13" x14ac:dyDescent="0.3">
      <c r="A106">
        <v>20666</v>
      </c>
      <c r="B106" t="s">
        <v>83</v>
      </c>
      <c r="C106" t="s">
        <v>49</v>
      </c>
      <c r="D106" t="s">
        <v>50</v>
      </c>
      <c r="E106">
        <v>10</v>
      </c>
      <c r="F106">
        <v>92.31</v>
      </c>
      <c r="G106">
        <v>7.69</v>
      </c>
      <c r="H106">
        <v>0</v>
      </c>
      <c r="I106">
        <v>0</v>
      </c>
      <c r="J106" s="1">
        <v>45927.750688773151</v>
      </c>
      <c r="K106" t="s">
        <v>85</v>
      </c>
      <c r="L106">
        <f t="shared" si="1"/>
        <v>105</v>
      </c>
      <c r="M106">
        <f>COUNTIF($A$2:A106,A106)</f>
        <v>6</v>
      </c>
    </row>
    <row r="107" spans="1:13" x14ac:dyDescent="0.3">
      <c r="A107">
        <v>20666</v>
      </c>
      <c r="B107" t="s">
        <v>83</v>
      </c>
      <c r="C107" t="s">
        <v>43</v>
      </c>
      <c r="D107" t="s">
        <v>44</v>
      </c>
      <c r="E107">
        <v>20</v>
      </c>
      <c r="F107">
        <v>19.23</v>
      </c>
      <c r="G107">
        <v>80.77</v>
      </c>
      <c r="H107">
        <v>0</v>
      </c>
      <c r="I107">
        <v>0</v>
      </c>
      <c r="J107" s="1">
        <v>45927.750709097221</v>
      </c>
      <c r="K107" t="s">
        <v>85</v>
      </c>
      <c r="L107">
        <f t="shared" si="1"/>
        <v>106</v>
      </c>
      <c r="M107">
        <f>COUNTIF($A$2:A107,A107)</f>
        <v>7</v>
      </c>
    </row>
    <row r="108" spans="1:13" x14ac:dyDescent="0.3">
      <c r="A108">
        <v>20666</v>
      </c>
      <c r="B108" t="s">
        <v>83</v>
      </c>
      <c r="C108" t="s">
        <v>40</v>
      </c>
      <c r="D108" t="s">
        <v>41</v>
      </c>
      <c r="E108">
        <v>4</v>
      </c>
      <c r="F108">
        <v>92.31</v>
      </c>
      <c r="G108">
        <v>7.69</v>
      </c>
      <c r="H108">
        <v>0</v>
      </c>
      <c r="I108">
        <v>0</v>
      </c>
      <c r="J108" s="1">
        <v>45927.750753831016</v>
      </c>
      <c r="K108" t="s">
        <v>85</v>
      </c>
      <c r="L108">
        <f t="shared" si="1"/>
        <v>107</v>
      </c>
      <c r="M108">
        <f>COUNTIF($A$2:A108,A108)</f>
        <v>8</v>
      </c>
    </row>
    <row r="109" spans="1:13" x14ac:dyDescent="0.3">
      <c r="A109">
        <v>12621</v>
      </c>
      <c r="B109" t="s">
        <v>86</v>
      </c>
      <c r="C109" t="s">
        <v>12</v>
      </c>
      <c r="D109" t="s">
        <v>13</v>
      </c>
      <c r="F109">
        <v>96.99</v>
      </c>
      <c r="G109">
        <v>2.74</v>
      </c>
      <c r="H109">
        <v>0.27</v>
      </c>
      <c r="I109">
        <v>0</v>
      </c>
      <c r="J109" s="1">
        <v>45927.750821944443</v>
      </c>
      <c r="K109" t="s">
        <v>87</v>
      </c>
      <c r="L109">
        <f t="shared" si="1"/>
        <v>108</v>
      </c>
      <c r="M109">
        <f>COUNTIF($A$2:A109,A109)</f>
        <v>1</v>
      </c>
    </row>
    <row r="110" spans="1:13" x14ac:dyDescent="0.3">
      <c r="A110">
        <v>12621</v>
      </c>
      <c r="B110" t="s">
        <v>86</v>
      </c>
      <c r="C110" t="s">
        <v>88</v>
      </c>
      <c r="D110" t="s">
        <v>89</v>
      </c>
      <c r="E110">
        <v>17</v>
      </c>
      <c r="F110">
        <v>59.18</v>
      </c>
      <c r="G110">
        <v>37.26</v>
      </c>
      <c r="H110">
        <v>3.01</v>
      </c>
      <c r="I110">
        <v>0.55000000000000004</v>
      </c>
      <c r="J110" s="1">
        <v>45927.750841701389</v>
      </c>
      <c r="K110" t="s">
        <v>87</v>
      </c>
      <c r="L110">
        <f t="shared" si="1"/>
        <v>109</v>
      </c>
      <c r="M110">
        <f>COUNTIF($A$2:A110,A110)</f>
        <v>2</v>
      </c>
    </row>
    <row r="111" spans="1:13" x14ac:dyDescent="0.3">
      <c r="A111">
        <v>12621</v>
      </c>
      <c r="B111" t="s">
        <v>86</v>
      </c>
      <c r="C111" t="s">
        <v>90</v>
      </c>
      <c r="D111" t="s">
        <v>91</v>
      </c>
      <c r="E111">
        <v>17</v>
      </c>
      <c r="F111">
        <v>62.47</v>
      </c>
      <c r="G111">
        <v>33.42</v>
      </c>
      <c r="H111">
        <v>3.29</v>
      </c>
      <c r="I111">
        <v>0.82</v>
      </c>
      <c r="J111" s="1">
        <v>45927.750865590278</v>
      </c>
      <c r="K111" t="s">
        <v>87</v>
      </c>
      <c r="L111">
        <f t="shared" si="1"/>
        <v>110</v>
      </c>
      <c r="M111">
        <f>COUNTIF($A$2:A111,A111)</f>
        <v>3</v>
      </c>
    </row>
    <row r="112" spans="1:13" x14ac:dyDescent="0.3">
      <c r="A112">
        <v>12621</v>
      </c>
      <c r="B112" t="s">
        <v>86</v>
      </c>
      <c r="C112" t="s">
        <v>92</v>
      </c>
      <c r="D112" t="s">
        <v>93</v>
      </c>
      <c r="E112">
        <v>28</v>
      </c>
      <c r="F112">
        <v>32.6</v>
      </c>
      <c r="G112">
        <v>61.64</v>
      </c>
      <c r="H112">
        <v>4.93</v>
      </c>
      <c r="I112">
        <v>0.83</v>
      </c>
      <c r="J112" s="1">
        <v>45927.750887303242</v>
      </c>
      <c r="K112" t="s">
        <v>87</v>
      </c>
      <c r="L112">
        <f t="shared" si="1"/>
        <v>111</v>
      </c>
      <c r="M112">
        <f>COUNTIF($A$2:A112,A112)</f>
        <v>4</v>
      </c>
    </row>
    <row r="113" spans="1:13" x14ac:dyDescent="0.3">
      <c r="A113">
        <v>12621</v>
      </c>
      <c r="B113" t="s">
        <v>86</v>
      </c>
      <c r="C113" t="s">
        <v>94</v>
      </c>
      <c r="D113" t="s">
        <v>95</v>
      </c>
      <c r="E113">
        <v>22</v>
      </c>
      <c r="F113">
        <v>53.97</v>
      </c>
      <c r="G113">
        <v>38.9</v>
      </c>
      <c r="H113">
        <v>6.3</v>
      </c>
      <c r="I113">
        <v>0.83</v>
      </c>
      <c r="J113" s="1">
        <v>45927.750909675924</v>
      </c>
      <c r="K113" t="s">
        <v>87</v>
      </c>
      <c r="L113">
        <f t="shared" si="1"/>
        <v>112</v>
      </c>
      <c r="M113">
        <f>COUNTIF($A$2:A113,A113)</f>
        <v>5</v>
      </c>
    </row>
    <row r="114" spans="1:13" x14ac:dyDescent="0.3">
      <c r="A114">
        <v>12621</v>
      </c>
      <c r="B114" t="s">
        <v>86</v>
      </c>
      <c r="C114" t="s">
        <v>96</v>
      </c>
      <c r="D114" t="s">
        <v>97</v>
      </c>
      <c r="E114">
        <v>37</v>
      </c>
      <c r="F114">
        <v>26.58</v>
      </c>
      <c r="G114">
        <v>63.29</v>
      </c>
      <c r="H114">
        <v>9.59</v>
      </c>
      <c r="I114">
        <v>0.54</v>
      </c>
      <c r="J114" s="1">
        <v>45927.750932175928</v>
      </c>
      <c r="K114" t="s">
        <v>87</v>
      </c>
      <c r="L114">
        <f t="shared" si="1"/>
        <v>113</v>
      </c>
      <c r="M114">
        <f>COUNTIF($A$2:A114,A114)</f>
        <v>6</v>
      </c>
    </row>
    <row r="115" spans="1:13" x14ac:dyDescent="0.3">
      <c r="A115">
        <v>12621</v>
      </c>
      <c r="B115" t="s">
        <v>86</v>
      </c>
      <c r="C115" t="s">
        <v>98</v>
      </c>
      <c r="D115" t="s">
        <v>99</v>
      </c>
      <c r="E115">
        <v>29</v>
      </c>
      <c r="F115">
        <v>67.95</v>
      </c>
      <c r="G115">
        <v>20.27</v>
      </c>
      <c r="H115">
        <v>11.78</v>
      </c>
      <c r="I115">
        <v>0</v>
      </c>
      <c r="J115" s="1">
        <v>45927.750975949071</v>
      </c>
      <c r="K115" t="s">
        <v>87</v>
      </c>
      <c r="L115">
        <f t="shared" si="1"/>
        <v>114</v>
      </c>
      <c r="M115">
        <f>COUNTIF($A$2:A115,A115)</f>
        <v>7</v>
      </c>
    </row>
    <row r="116" spans="1:13" x14ac:dyDescent="0.3">
      <c r="A116">
        <v>12621</v>
      </c>
      <c r="B116" t="s">
        <v>86</v>
      </c>
      <c r="C116" t="s">
        <v>100</v>
      </c>
      <c r="D116" t="s">
        <v>101</v>
      </c>
      <c r="F116">
        <v>67.400000000000006</v>
      </c>
      <c r="G116">
        <v>20.82</v>
      </c>
      <c r="H116">
        <v>11.78</v>
      </c>
      <c r="I116">
        <v>0</v>
      </c>
      <c r="J116" s="1">
        <v>45927.751015613423</v>
      </c>
      <c r="K116" t="s">
        <v>87</v>
      </c>
      <c r="L116">
        <f t="shared" si="1"/>
        <v>115</v>
      </c>
      <c r="M116">
        <f>COUNTIF($A$2:A116,A116)</f>
        <v>8</v>
      </c>
    </row>
    <row r="117" spans="1:13" x14ac:dyDescent="0.3">
      <c r="A117">
        <v>12621</v>
      </c>
      <c r="B117" t="s">
        <v>86</v>
      </c>
      <c r="C117" t="s">
        <v>102</v>
      </c>
      <c r="D117" t="s">
        <v>103</v>
      </c>
      <c r="E117">
        <v>34</v>
      </c>
      <c r="F117">
        <v>51.78</v>
      </c>
      <c r="G117">
        <v>36.99</v>
      </c>
      <c r="H117">
        <v>11.23</v>
      </c>
      <c r="I117">
        <v>0</v>
      </c>
      <c r="J117" s="1">
        <v>45927.751063321761</v>
      </c>
      <c r="K117" t="s">
        <v>87</v>
      </c>
      <c r="L117">
        <f t="shared" si="1"/>
        <v>116</v>
      </c>
      <c r="M117">
        <f>COUNTIF($A$2:A117,A117)</f>
        <v>9</v>
      </c>
    </row>
    <row r="118" spans="1:13" x14ac:dyDescent="0.3">
      <c r="A118">
        <v>12621</v>
      </c>
      <c r="B118" t="s">
        <v>86</v>
      </c>
      <c r="C118" t="s">
        <v>104</v>
      </c>
      <c r="D118" t="s">
        <v>105</v>
      </c>
      <c r="E118">
        <v>51</v>
      </c>
      <c r="F118">
        <v>15.07</v>
      </c>
      <c r="G118">
        <v>66.3</v>
      </c>
      <c r="H118">
        <v>18.63</v>
      </c>
      <c r="I118">
        <v>0</v>
      </c>
      <c r="J118" s="1">
        <v>45927.751112986109</v>
      </c>
      <c r="K118" t="s">
        <v>87</v>
      </c>
      <c r="L118">
        <f t="shared" si="1"/>
        <v>117</v>
      </c>
      <c r="M118">
        <f>COUNTIF($A$2:A118,A118)</f>
        <v>10</v>
      </c>
    </row>
    <row r="119" spans="1:13" x14ac:dyDescent="0.3">
      <c r="A119">
        <v>12621</v>
      </c>
      <c r="B119" t="s">
        <v>86</v>
      </c>
      <c r="C119" t="s">
        <v>106</v>
      </c>
      <c r="D119" t="s">
        <v>107</v>
      </c>
      <c r="E119">
        <v>49</v>
      </c>
      <c r="F119">
        <v>43.01</v>
      </c>
      <c r="G119">
        <v>37.26</v>
      </c>
      <c r="H119">
        <v>19.73</v>
      </c>
      <c r="I119">
        <v>0</v>
      </c>
      <c r="J119" s="1">
        <v>45927.751161388886</v>
      </c>
      <c r="K119" t="s">
        <v>87</v>
      </c>
      <c r="L119">
        <f t="shared" si="1"/>
        <v>118</v>
      </c>
      <c r="M119">
        <f>COUNTIF($A$2:A119,A119)</f>
        <v>11</v>
      </c>
    </row>
    <row r="120" spans="1:13" x14ac:dyDescent="0.3">
      <c r="A120">
        <v>12621</v>
      </c>
      <c r="B120" t="s">
        <v>86</v>
      </c>
      <c r="C120" t="s">
        <v>108</v>
      </c>
      <c r="D120" t="s">
        <v>109</v>
      </c>
      <c r="E120">
        <v>53</v>
      </c>
      <c r="F120">
        <v>47.95</v>
      </c>
      <c r="G120">
        <v>33.42</v>
      </c>
      <c r="H120">
        <v>18.63</v>
      </c>
      <c r="I120">
        <v>0</v>
      </c>
      <c r="J120" s="1">
        <v>45927.751211574076</v>
      </c>
      <c r="K120" t="s">
        <v>87</v>
      </c>
      <c r="L120">
        <f t="shared" si="1"/>
        <v>119</v>
      </c>
      <c r="M120">
        <f>COUNTIF($A$2:A120,A120)</f>
        <v>12</v>
      </c>
    </row>
    <row r="121" spans="1:13" x14ac:dyDescent="0.3">
      <c r="A121">
        <v>12621</v>
      </c>
      <c r="B121" t="s">
        <v>86</v>
      </c>
      <c r="C121" t="s">
        <v>110</v>
      </c>
      <c r="D121" t="s">
        <v>111</v>
      </c>
      <c r="E121">
        <v>54</v>
      </c>
      <c r="F121">
        <v>44.93</v>
      </c>
      <c r="G121">
        <v>35.89</v>
      </c>
      <c r="H121">
        <v>19.18</v>
      </c>
      <c r="I121">
        <v>0</v>
      </c>
      <c r="J121" s="1">
        <v>45927.751232569448</v>
      </c>
      <c r="K121" t="s">
        <v>87</v>
      </c>
      <c r="L121">
        <f t="shared" si="1"/>
        <v>120</v>
      </c>
      <c r="M121">
        <f>COUNTIF($A$2:A121,A121)</f>
        <v>13</v>
      </c>
    </row>
    <row r="122" spans="1:13" x14ac:dyDescent="0.3">
      <c r="A122">
        <v>12622</v>
      </c>
      <c r="B122" t="s">
        <v>86</v>
      </c>
      <c r="C122" t="s">
        <v>110</v>
      </c>
      <c r="D122" t="s">
        <v>111</v>
      </c>
      <c r="E122">
        <v>16</v>
      </c>
      <c r="F122">
        <v>93.97</v>
      </c>
      <c r="G122">
        <v>1.37</v>
      </c>
      <c r="H122">
        <v>4.66</v>
      </c>
      <c r="I122">
        <v>0</v>
      </c>
      <c r="J122" s="1">
        <v>45927.751299560186</v>
      </c>
      <c r="K122" t="s">
        <v>112</v>
      </c>
      <c r="L122">
        <f t="shared" si="1"/>
        <v>121</v>
      </c>
      <c r="M122">
        <f>COUNTIF($A$2:A122,A122)</f>
        <v>1</v>
      </c>
    </row>
    <row r="123" spans="1:13" x14ac:dyDescent="0.3">
      <c r="A123">
        <v>12622</v>
      </c>
      <c r="B123" t="s">
        <v>86</v>
      </c>
      <c r="C123" t="s">
        <v>106</v>
      </c>
      <c r="D123" t="s">
        <v>107</v>
      </c>
      <c r="E123">
        <v>37</v>
      </c>
      <c r="F123">
        <v>25.21</v>
      </c>
      <c r="G123">
        <v>67.400000000000006</v>
      </c>
      <c r="H123">
        <v>7.4</v>
      </c>
      <c r="I123">
        <v>0</v>
      </c>
      <c r="J123" s="1">
        <v>45927.75134815972</v>
      </c>
      <c r="K123" t="s">
        <v>112</v>
      </c>
      <c r="L123">
        <f t="shared" si="1"/>
        <v>122</v>
      </c>
      <c r="M123">
        <f>COUNTIF($A$2:A123,A123)</f>
        <v>2</v>
      </c>
    </row>
    <row r="124" spans="1:13" x14ac:dyDescent="0.3">
      <c r="A124">
        <v>12622</v>
      </c>
      <c r="B124" t="s">
        <v>86</v>
      </c>
      <c r="C124" t="s">
        <v>104</v>
      </c>
      <c r="D124" t="s">
        <v>105</v>
      </c>
      <c r="E124">
        <v>31</v>
      </c>
      <c r="F124">
        <v>61.64</v>
      </c>
      <c r="G124">
        <v>29.04</v>
      </c>
      <c r="H124">
        <v>9.32</v>
      </c>
      <c r="I124">
        <v>0</v>
      </c>
      <c r="J124" s="1">
        <v>45927.751369178244</v>
      </c>
      <c r="K124" t="s">
        <v>112</v>
      </c>
      <c r="L124">
        <f t="shared" si="1"/>
        <v>123</v>
      </c>
      <c r="M124">
        <f>COUNTIF($A$2:A124,A124)</f>
        <v>3</v>
      </c>
    </row>
    <row r="125" spans="1:13" x14ac:dyDescent="0.3">
      <c r="A125">
        <v>12622</v>
      </c>
      <c r="B125" t="s">
        <v>86</v>
      </c>
      <c r="C125" t="s">
        <v>102</v>
      </c>
      <c r="D125" t="s">
        <v>103</v>
      </c>
      <c r="E125">
        <v>37</v>
      </c>
      <c r="F125">
        <v>53.42</v>
      </c>
      <c r="G125">
        <v>36.71</v>
      </c>
      <c r="H125">
        <v>9.86</v>
      </c>
      <c r="I125">
        <v>0.01</v>
      </c>
      <c r="J125" s="1">
        <v>45927.751389282406</v>
      </c>
      <c r="K125" t="s">
        <v>112</v>
      </c>
      <c r="L125">
        <f t="shared" si="1"/>
        <v>124</v>
      </c>
      <c r="M125">
        <f>COUNTIF($A$2:A125,A125)</f>
        <v>4</v>
      </c>
    </row>
    <row r="126" spans="1:13" x14ac:dyDescent="0.3">
      <c r="A126">
        <v>12622</v>
      </c>
      <c r="B126" t="s">
        <v>86</v>
      </c>
      <c r="C126" t="s">
        <v>100</v>
      </c>
      <c r="D126" t="s">
        <v>101</v>
      </c>
      <c r="E126">
        <v>39</v>
      </c>
      <c r="F126">
        <v>59.18</v>
      </c>
      <c r="G126">
        <v>27.4</v>
      </c>
      <c r="H126">
        <v>13.42</v>
      </c>
      <c r="I126">
        <v>0</v>
      </c>
      <c r="J126" s="1">
        <v>45927.751436226848</v>
      </c>
      <c r="K126" t="s">
        <v>112</v>
      </c>
      <c r="L126">
        <f t="shared" si="1"/>
        <v>125</v>
      </c>
      <c r="M126">
        <f>COUNTIF($A$2:A126,A126)</f>
        <v>5</v>
      </c>
    </row>
    <row r="127" spans="1:13" x14ac:dyDescent="0.3">
      <c r="A127">
        <v>12622</v>
      </c>
      <c r="B127" t="s">
        <v>86</v>
      </c>
      <c r="C127" t="s">
        <v>98</v>
      </c>
      <c r="D127" t="s">
        <v>99</v>
      </c>
      <c r="E127">
        <v>35</v>
      </c>
      <c r="F127">
        <v>78.36</v>
      </c>
      <c r="G127">
        <v>7.95</v>
      </c>
      <c r="H127">
        <v>13.7</v>
      </c>
      <c r="I127">
        <v>0</v>
      </c>
      <c r="J127" s="1">
        <v>45927.751484074077</v>
      </c>
      <c r="K127" t="s">
        <v>112</v>
      </c>
      <c r="L127">
        <f t="shared" si="1"/>
        <v>126</v>
      </c>
      <c r="M127">
        <f>COUNTIF($A$2:A127,A127)</f>
        <v>6</v>
      </c>
    </row>
    <row r="128" spans="1:13" x14ac:dyDescent="0.3">
      <c r="A128">
        <v>12622</v>
      </c>
      <c r="B128" t="s">
        <v>86</v>
      </c>
      <c r="C128" t="s">
        <v>96</v>
      </c>
      <c r="D128" t="s">
        <v>97</v>
      </c>
      <c r="E128">
        <v>45</v>
      </c>
      <c r="F128">
        <v>58.36</v>
      </c>
      <c r="G128">
        <v>28.22</v>
      </c>
      <c r="H128">
        <v>13.42</v>
      </c>
      <c r="I128">
        <v>0</v>
      </c>
      <c r="J128" s="1">
        <v>45927.751533263887</v>
      </c>
      <c r="K128" t="s">
        <v>112</v>
      </c>
      <c r="L128">
        <f t="shared" si="1"/>
        <v>127</v>
      </c>
      <c r="M128">
        <f>COUNTIF($A$2:A128,A128)</f>
        <v>7</v>
      </c>
    </row>
    <row r="129" spans="1:13" x14ac:dyDescent="0.3">
      <c r="A129">
        <v>12622</v>
      </c>
      <c r="B129" t="s">
        <v>86</v>
      </c>
      <c r="C129" t="s">
        <v>94</v>
      </c>
      <c r="D129" t="s">
        <v>95</v>
      </c>
      <c r="E129">
        <v>46</v>
      </c>
      <c r="F129">
        <v>61.92</v>
      </c>
      <c r="G129">
        <v>22.19</v>
      </c>
      <c r="H129">
        <v>15.62</v>
      </c>
      <c r="I129">
        <v>0.27</v>
      </c>
      <c r="J129" s="1">
        <v>45927.751553275462</v>
      </c>
      <c r="K129" t="s">
        <v>112</v>
      </c>
      <c r="L129">
        <f t="shared" si="1"/>
        <v>128</v>
      </c>
      <c r="M129">
        <f>COUNTIF($A$2:A129,A129)</f>
        <v>8</v>
      </c>
    </row>
    <row r="130" spans="1:13" x14ac:dyDescent="0.3">
      <c r="A130">
        <v>12622</v>
      </c>
      <c r="B130" t="s">
        <v>86</v>
      </c>
      <c r="C130" t="s">
        <v>92</v>
      </c>
      <c r="D130" t="s">
        <v>93</v>
      </c>
      <c r="E130">
        <v>64</v>
      </c>
      <c r="F130">
        <v>23.56</v>
      </c>
      <c r="G130">
        <v>55.07</v>
      </c>
      <c r="H130">
        <v>21.1</v>
      </c>
      <c r="I130">
        <v>0.27</v>
      </c>
      <c r="J130" s="1">
        <v>45927.751576921299</v>
      </c>
      <c r="K130" t="s">
        <v>112</v>
      </c>
      <c r="L130">
        <f t="shared" ref="L130:L193" si="2">ROW()-1</f>
        <v>129</v>
      </c>
      <c r="M130">
        <f>COUNTIF($A$2:A130,A130)</f>
        <v>9</v>
      </c>
    </row>
    <row r="131" spans="1:13" x14ac:dyDescent="0.3">
      <c r="A131">
        <v>12622</v>
      </c>
      <c r="B131" t="s">
        <v>86</v>
      </c>
      <c r="C131" t="s">
        <v>90</v>
      </c>
      <c r="D131" t="s">
        <v>91</v>
      </c>
      <c r="E131">
        <v>82</v>
      </c>
      <c r="F131">
        <v>5.75</v>
      </c>
      <c r="G131">
        <v>59.73</v>
      </c>
      <c r="H131">
        <v>34.25</v>
      </c>
      <c r="I131">
        <v>0.27</v>
      </c>
      <c r="J131" s="1">
        <v>45927.751598564813</v>
      </c>
      <c r="K131" t="s">
        <v>112</v>
      </c>
      <c r="L131">
        <f t="shared" si="2"/>
        <v>130</v>
      </c>
      <c r="M131">
        <f>COUNTIF($A$2:A131,A131)</f>
        <v>10</v>
      </c>
    </row>
    <row r="132" spans="1:13" x14ac:dyDescent="0.3">
      <c r="A132">
        <v>12622</v>
      </c>
      <c r="B132" t="s">
        <v>86</v>
      </c>
      <c r="C132" t="s">
        <v>88</v>
      </c>
      <c r="D132" t="s">
        <v>89</v>
      </c>
      <c r="E132">
        <v>67</v>
      </c>
      <c r="F132">
        <v>25.75</v>
      </c>
      <c r="G132">
        <v>53.15</v>
      </c>
      <c r="H132">
        <v>21.1</v>
      </c>
      <c r="I132">
        <v>0</v>
      </c>
      <c r="J132" s="1">
        <v>45927.751619803239</v>
      </c>
      <c r="K132" t="s">
        <v>112</v>
      </c>
      <c r="L132">
        <f t="shared" si="2"/>
        <v>131</v>
      </c>
      <c r="M132">
        <f>COUNTIF($A$2:A132,A132)</f>
        <v>11</v>
      </c>
    </row>
    <row r="133" spans="1:13" x14ac:dyDescent="0.3">
      <c r="A133">
        <v>12622</v>
      </c>
      <c r="B133" t="s">
        <v>86</v>
      </c>
      <c r="C133" t="s">
        <v>12</v>
      </c>
      <c r="D133" t="s">
        <v>13</v>
      </c>
      <c r="E133">
        <v>36</v>
      </c>
      <c r="F133">
        <v>79.45</v>
      </c>
      <c r="G133">
        <v>7.4</v>
      </c>
      <c r="H133">
        <v>13.15</v>
      </c>
      <c r="I133">
        <v>0</v>
      </c>
      <c r="J133" s="1">
        <v>45927.751664490737</v>
      </c>
      <c r="K133" t="s">
        <v>112</v>
      </c>
      <c r="L133">
        <f t="shared" si="2"/>
        <v>132</v>
      </c>
      <c r="M133">
        <f>COUNTIF($A$2:A133,A133)</f>
        <v>12</v>
      </c>
    </row>
    <row r="134" spans="1:13" x14ac:dyDescent="0.3">
      <c r="A134">
        <v>12839</v>
      </c>
      <c r="B134" t="s">
        <v>113</v>
      </c>
      <c r="C134" t="s">
        <v>114</v>
      </c>
      <c r="D134" t="s">
        <v>115</v>
      </c>
      <c r="E134">
        <v>45</v>
      </c>
      <c r="F134">
        <v>36.67</v>
      </c>
      <c r="G134">
        <v>46.67</v>
      </c>
      <c r="H134">
        <v>16.670000000000002</v>
      </c>
      <c r="I134">
        <v>0</v>
      </c>
      <c r="J134" s="1">
        <v>45927.751728402778</v>
      </c>
      <c r="K134" t="s">
        <v>116</v>
      </c>
      <c r="L134">
        <f t="shared" si="2"/>
        <v>133</v>
      </c>
      <c r="M134">
        <f>COUNTIF($A$2:A134,A134)</f>
        <v>1</v>
      </c>
    </row>
    <row r="135" spans="1:13" x14ac:dyDescent="0.3">
      <c r="A135">
        <v>12839</v>
      </c>
      <c r="B135" t="s">
        <v>113</v>
      </c>
      <c r="C135" t="s">
        <v>117</v>
      </c>
      <c r="D135" t="s">
        <v>118</v>
      </c>
      <c r="E135">
        <v>68</v>
      </c>
      <c r="F135">
        <v>10</v>
      </c>
      <c r="G135">
        <v>50</v>
      </c>
      <c r="H135">
        <v>40</v>
      </c>
      <c r="I135">
        <v>0</v>
      </c>
      <c r="J135" s="1">
        <v>45927.751749432871</v>
      </c>
      <c r="K135" t="s">
        <v>116</v>
      </c>
      <c r="L135">
        <f t="shared" si="2"/>
        <v>134</v>
      </c>
      <c r="M135">
        <f>COUNTIF($A$2:A135,A135)</f>
        <v>2</v>
      </c>
    </row>
    <row r="136" spans="1:13" x14ac:dyDescent="0.3">
      <c r="A136">
        <v>12839</v>
      </c>
      <c r="B136" t="s">
        <v>113</v>
      </c>
      <c r="C136" t="s">
        <v>119</v>
      </c>
      <c r="D136" t="s">
        <v>120</v>
      </c>
      <c r="E136">
        <v>87</v>
      </c>
      <c r="F136">
        <v>0</v>
      </c>
      <c r="G136">
        <v>46.67</v>
      </c>
      <c r="H136">
        <v>53.33</v>
      </c>
      <c r="I136">
        <v>0</v>
      </c>
      <c r="J136" s="1">
        <v>45927.751770057868</v>
      </c>
      <c r="K136" t="s">
        <v>116</v>
      </c>
      <c r="L136">
        <f t="shared" si="2"/>
        <v>135</v>
      </c>
      <c r="M136">
        <f>COUNTIF($A$2:A136,A136)</f>
        <v>3</v>
      </c>
    </row>
    <row r="137" spans="1:13" x14ac:dyDescent="0.3">
      <c r="A137">
        <v>12839</v>
      </c>
      <c r="B137" t="s">
        <v>113</v>
      </c>
      <c r="C137" t="s">
        <v>121</v>
      </c>
      <c r="D137" t="s">
        <v>122</v>
      </c>
      <c r="E137">
        <v>81</v>
      </c>
      <c r="F137">
        <v>16.670000000000002</v>
      </c>
      <c r="G137">
        <v>40</v>
      </c>
      <c r="H137">
        <v>43.33</v>
      </c>
      <c r="I137">
        <v>0</v>
      </c>
      <c r="J137" s="1">
        <v>45927.751793391202</v>
      </c>
      <c r="K137" t="s">
        <v>116</v>
      </c>
      <c r="L137">
        <f t="shared" si="2"/>
        <v>136</v>
      </c>
      <c r="M137">
        <f>COUNTIF($A$2:A137,A137)</f>
        <v>4</v>
      </c>
    </row>
    <row r="138" spans="1:13" x14ac:dyDescent="0.3">
      <c r="A138">
        <v>12839</v>
      </c>
      <c r="B138" t="s">
        <v>113</v>
      </c>
      <c r="C138" t="s">
        <v>123</v>
      </c>
      <c r="D138" t="s">
        <v>124</v>
      </c>
      <c r="E138">
        <v>90</v>
      </c>
      <c r="F138">
        <v>6.67</v>
      </c>
      <c r="G138">
        <v>36.67</v>
      </c>
      <c r="H138">
        <v>56.67</v>
      </c>
      <c r="I138">
        <v>0</v>
      </c>
      <c r="J138" s="1">
        <v>45927.751837685188</v>
      </c>
      <c r="K138" t="s">
        <v>116</v>
      </c>
      <c r="L138">
        <f t="shared" si="2"/>
        <v>137</v>
      </c>
      <c r="M138">
        <f>COUNTIF($A$2:A138,A138)</f>
        <v>5</v>
      </c>
    </row>
    <row r="139" spans="1:13" x14ac:dyDescent="0.3">
      <c r="A139">
        <v>12839</v>
      </c>
      <c r="B139" t="s">
        <v>113</v>
      </c>
      <c r="C139" t="s">
        <v>125</v>
      </c>
      <c r="D139" t="s">
        <v>126</v>
      </c>
      <c r="E139">
        <v>104</v>
      </c>
      <c r="F139">
        <v>0</v>
      </c>
      <c r="G139">
        <v>26.67</v>
      </c>
      <c r="H139">
        <v>73.33</v>
      </c>
      <c r="I139">
        <v>0</v>
      </c>
      <c r="J139" s="1">
        <v>45927.751859444441</v>
      </c>
      <c r="K139" t="s">
        <v>116</v>
      </c>
      <c r="L139">
        <f t="shared" si="2"/>
        <v>138</v>
      </c>
      <c r="M139">
        <f>COUNTIF($A$2:A139,A139)</f>
        <v>6</v>
      </c>
    </row>
    <row r="140" spans="1:13" x14ac:dyDescent="0.3">
      <c r="A140">
        <v>12839</v>
      </c>
      <c r="B140" t="s">
        <v>113</v>
      </c>
      <c r="C140" t="s">
        <v>127</v>
      </c>
      <c r="D140" t="s">
        <v>128</v>
      </c>
      <c r="E140">
        <v>111</v>
      </c>
      <c r="F140">
        <v>0</v>
      </c>
      <c r="G140">
        <v>26.67</v>
      </c>
      <c r="H140">
        <v>73.33</v>
      </c>
      <c r="I140">
        <v>0</v>
      </c>
      <c r="J140" s="1">
        <v>45927.751880960648</v>
      </c>
      <c r="K140" t="s">
        <v>116</v>
      </c>
      <c r="L140">
        <f t="shared" si="2"/>
        <v>139</v>
      </c>
      <c r="M140">
        <f>COUNTIF($A$2:A140,A140)</f>
        <v>7</v>
      </c>
    </row>
    <row r="141" spans="1:13" x14ac:dyDescent="0.3">
      <c r="A141">
        <v>12839</v>
      </c>
      <c r="B141" t="s">
        <v>113</v>
      </c>
      <c r="C141" t="s">
        <v>129</v>
      </c>
      <c r="D141" t="s">
        <v>130</v>
      </c>
      <c r="E141">
        <v>104</v>
      </c>
      <c r="F141">
        <v>3.33</v>
      </c>
      <c r="G141">
        <v>23.33</v>
      </c>
      <c r="H141">
        <v>73.33</v>
      </c>
      <c r="I141">
        <v>0.01</v>
      </c>
      <c r="J141" s="1">
        <v>45927.751902361109</v>
      </c>
      <c r="K141" t="s">
        <v>116</v>
      </c>
      <c r="L141">
        <f t="shared" si="2"/>
        <v>140</v>
      </c>
      <c r="M141">
        <f>COUNTIF($A$2:A141,A141)</f>
        <v>8</v>
      </c>
    </row>
    <row r="142" spans="1:13" x14ac:dyDescent="0.3">
      <c r="A142">
        <v>12839</v>
      </c>
      <c r="B142" t="s">
        <v>113</v>
      </c>
      <c r="C142" t="s">
        <v>131</v>
      </c>
      <c r="D142" t="s">
        <v>132</v>
      </c>
      <c r="E142">
        <v>115</v>
      </c>
      <c r="F142">
        <v>0</v>
      </c>
      <c r="G142">
        <v>16.670000000000002</v>
      </c>
      <c r="H142">
        <v>83.33</v>
      </c>
      <c r="I142">
        <v>0</v>
      </c>
      <c r="J142" s="1">
        <v>45927.751925520832</v>
      </c>
      <c r="K142" t="s">
        <v>116</v>
      </c>
      <c r="L142">
        <f t="shared" si="2"/>
        <v>141</v>
      </c>
      <c r="M142">
        <f>COUNTIF($A$2:A142,A142)</f>
        <v>9</v>
      </c>
    </row>
    <row r="143" spans="1:13" x14ac:dyDescent="0.3">
      <c r="A143">
        <v>12839</v>
      </c>
      <c r="B143" t="s">
        <v>113</v>
      </c>
      <c r="C143" t="s">
        <v>133</v>
      </c>
      <c r="D143" t="s">
        <v>134</v>
      </c>
      <c r="E143">
        <v>119</v>
      </c>
      <c r="F143">
        <v>0</v>
      </c>
      <c r="G143">
        <v>20</v>
      </c>
      <c r="H143">
        <v>80</v>
      </c>
      <c r="I143">
        <v>0</v>
      </c>
      <c r="J143" s="1">
        <v>45927.751947175922</v>
      </c>
      <c r="K143" t="s">
        <v>116</v>
      </c>
      <c r="L143">
        <f t="shared" si="2"/>
        <v>142</v>
      </c>
      <c r="M143">
        <f>COUNTIF($A$2:A143,A143)</f>
        <v>10</v>
      </c>
    </row>
    <row r="144" spans="1:13" x14ac:dyDescent="0.3">
      <c r="A144">
        <v>12839</v>
      </c>
      <c r="B144" t="s">
        <v>113</v>
      </c>
      <c r="C144" t="s">
        <v>135</v>
      </c>
      <c r="D144" t="s">
        <v>136</v>
      </c>
      <c r="E144">
        <v>139</v>
      </c>
      <c r="F144">
        <v>0</v>
      </c>
      <c r="G144">
        <v>10</v>
      </c>
      <c r="H144">
        <v>90</v>
      </c>
      <c r="I144">
        <v>0</v>
      </c>
      <c r="J144" s="1">
        <v>45927.751968773147</v>
      </c>
      <c r="K144" t="s">
        <v>116</v>
      </c>
      <c r="L144">
        <f t="shared" si="2"/>
        <v>143</v>
      </c>
      <c r="M144">
        <f>COUNTIF($A$2:A144,A144)</f>
        <v>11</v>
      </c>
    </row>
    <row r="145" spans="1:13" x14ac:dyDescent="0.3">
      <c r="A145">
        <v>12839</v>
      </c>
      <c r="B145" t="s">
        <v>113</v>
      </c>
      <c r="C145" t="s">
        <v>137</v>
      </c>
      <c r="D145" t="s">
        <v>138</v>
      </c>
      <c r="E145">
        <v>135</v>
      </c>
      <c r="F145">
        <v>0</v>
      </c>
      <c r="G145">
        <v>13.33</v>
      </c>
      <c r="H145">
        <v>86.67</v>
      </c>
      <c r="I145">
        <v>0</v>
      </c>
      <c r="J145" s="1">
        <v>45927.751991377314</v>
      </c>
      <c r="K145" t="s">
        <v>116</v>
      </c>
      <c r="L145">
        <f t="shared" si="2"/>
        <v>144</v>
      </c>
      <c r="M145">
        <f>COUNTIF($A$2:A145,A145)</f>
        <v>12</v>
      </c>
    </row>
    <row r="146" spans="1:13" x14ac:dyDescent="0.3">
      <c r="A146">
        <v>12839</v>
      </c>
      <c r="B146" t="s">
        <v>113</v>
      </c>
      <c r="C146" t="s">
        <v>139</v>
      </c>
      <c r="D146" t="s">
        <v>140</v>
      </c>
      <c r="E146">
        <v>135</v>
      </c>
      <c r="F146">
        <v>0</v>
      </c>
      <c r="G146">
        <v>13.33</v>
      </c>
      <c r="H146">
        <v>86.67</v>
      </c>
      <c r="I146">
        <v>0</v>
      </c>
      <c r="J146" s="1">
        <v>45927.752014803242</v>
      </c>
      <c r="K146" t="s">
        <v>116</v>
      </c>
      <c r="L146">
        <f t="shared" si="2"/>
        <v>145</v>
      </c>
      <c r="M146">
        <f>COUNTIF($A$2:A146,A146)</f>
        <v>13</v>
      </c>
    </row>
    <row r="147" spans="1:13" x14ac:dyDescent="0.3">
      <c r="A147">
        <v>12839</v>
      </c>
      <c r="B147" t="s">
        <v>113</v>
      </c>
      <c r="C147" t="s">
        <v>141</v>
      </c>
      <c r="D147" t="s">
        <v>142</v>
      </c>
      <c r="E147">
        <v>104</v>
      </c>
      <c r="F147">
        <v>6.67</v>
      </c>
      <c r="G147">
        <v>33.33</v>
      </c>
      <c r="H147">
        <v>60</v>
      </c>
      <c r="I147">
        <v>0</v>
      </c>
      <c r="J147" s="1">
        <v>45927.752038171297</v>
      </c>
      <c r="K147" t="s">
        <v>116</v>
      </c>
      <c r="L147">
        <f t="shared" si="2"/>
        <v>146</v>
      </c>
      <c r="M147">
        <f>COUNTIF($A$2:A147,A147)</f>
        <v>14</v>
      </c>
    </row>
    <row r="148" spans="1:13" x14ac:dyDescent="0.3">
      <c r="A148">
        <v>12839</v>
      </c>
      <c r="B148" t="s">
        <v>113</v>
      </c>
      <c r="C148" t="s">
        <v>143</v>
      </c>
      <c r="D148" t="s">
        <v>144</v>
      </c>
      <c r="E148">
        <v>99</v>
      </c>
      <c r="F148">
        <v>6.67</v>
      </c>
      <c r="G148">
        <v>33.33</v>
      </c>
      <c r="H148">
        <v>60</v>
      </c>
      <c r="I148">
        <v>0</v>
      </c>
      <c r="J148" s="1">
        <v>45927.752056874997</v>
      </c>
      <c r="K148" t="s">
        <v>116</v>
      </c>
      <c r="L148">
        <f t="shared" si="2"/>
        <v>147</v>
      </c>
      <c r="M148">
        <f>COUNTIF($A$2:A148,A148)</f>
        <v>15</v>
      </c>
    </row>
    <row r="149" spans="1:13" x14ac:dyDescent="0.3">
      <c r="A149">
        <v>12839</v>
      </c>
      <c r="B149" t="s">
        <v>113</v>
      </c>
      <c r="C149" t="s">
        <v>145</v>
      </c>
      <c r="D149" t="s">
        <v>146</v>
      </c>
      <c r="E149">
        <v>98</v>
      </c>
      <c r="F149">
        <v>10</v>
      </c>
      <c r="G149">
        <v>33.33</v>
      </c>
      <c r="H149">
        <v>56.67</v>
      </c>
      <c r="I149">
        <v>0</v>
      </c>
      <c r="J149" s="1">
        <v>45927.752078969905</v>
      </c>
      <c r="K149" t="s">
        <v>116</v>
      </c>
      <c r="L149">
        <f t="shared" si="2"/>
        <v>148</v>
      </c>
      <c r="M149">
        <f>COUNTIF($A$2:A149,A149)</f>
        <v>16</v>
      </c>
    </row>
    <row r="150" spans="1:13" x14ac:dyDescent="0.3">
      <c r="A150">
        <v>12839</v>
      </c>
      <c r="B150" t="s">
        <v>113</v>
      </c>
      <c r="C150" t="s">
        <v>147</v>
      </c>
      <c r="D150" t="s">
        <v>148</v>
      </c>
      <c r="E150">
        <v>106</v>
      </c>
      <c r="F150">
        <v>6.67</v>
      </c>
      <c r="G150">
        <v>26.67</v>
      </c>
      <c r="H150">
        <v>66.67</v>
      </c>
      <c r="I150">
        <v>0</v>
      </c>
      <c r="J150" s="1">
        <v>45927.75212582176</v>
      </c>
      <c r="K150" t="s">
        <v>116</v>
      </c>
      <c r="L150">
        <f t="shared" si="2"/>
        <v>149</v>
      </c>
      <c r="M150">
        <f>COUNTIF($A$2:A150,A150)</f>
        <v>17</v>
      </c>
    </row>
    <row r="151" spans="1:13" x14ac:dyDescent="0.3">
      <c r="A151">
        <v>12839</v>
      </c>
      <c r="B151" t="s">
        <v>113</v>
      </c>
      <c r="C151" t="s">
        <v>149</v>
      </c>
      <c r="D151" t="s">
        <v>150</v>
      </c>
      <c r="E151">
        <v>98</v>
      </c>
      <c r="F151">
        <v>16.670000000000002</v>
      </c>
      <c r="G151">
        <v>30</v>
      </c>
      <c r="H151">
        <v>53.33</v>
      </c>
      <c r="I151">
        <v>0</v>
      </c>
      <c r="J151" s="1">
        <v>45927.752148055559</v>
      </c>
      <c r="K151" t="s">
        <v>116</v>
      </c>
      <c r="L151">
        <f t="shared" si="2"/>
        <v>150</v>
      </c>
      <c r="M151">
        <f>COUNTIF($A$2:A151,A151)</f>
        <v>18</v>
      </c>
    </row>
    <row r="152" spans="1:13" x14ac:dyDescent="0.3">
      <c r="A152">
        <v>12839</v>
      </c>
      <c r="B152" t="s">
        <v>113</v>
      </c>
      <c r="C152" t="s">
        <v>151</v>
      </c>
      <c r="D152" t="s">
        <v>152</v>
      </c>
      <c r="E152">
        <v>103</v>
      </c>
      <c r="F152">
        <v>13.33</v>
      </c>
      <c r="G152">
        <v>30</v>
      </c>
      <c r="H152">
        <v>56.67</v>
      </c>
      <c r="I152">
        <v>0</v>
      </c>
      <c r="J152" s="1">
        <v>45927.752167997685</v>
      </c>
      <c r="K152" t="s">
        <v>116</v>
      </c>
      <c r="L152">
        <f t="shared" si="2"/>
        <v>151</v>
      </c>
      <c r="M152">
        <f>COUNTIF($A$2:A152,A152)</f>
        <v>19</v>
      </c>
    </row>
    <row r="153" spans="1:13" x14ac:dyDescent="0.3">
      <c r="A153">
        <v>12839</v>
      </c>
      <c r="B153" t="s">
        <v>113</v>
      </c>
      <c r="C153" t="s">
        <v>153</v>
      </c>
      <c r="D153" t="s">
        <v>154</v>
      </c>
      <c r="E153">
        <v>106</v>
      </c>
      <c r="F153">
        <v>10</v>
      </c>
      <c r="G153">
        <v>30</v>
      </c>
      <c r="H153">
        <v>60</v>
      </c>
      <c r="I153">
        <v>0</v>
      </c>
      <c r="J153" s="1">
        <v>45927.752189687497</v>
      </c>
      <c r="K153" t="s">
        <v>116</v>
      </c>
      <c r="L153">
        <f t="shared" si="2"/>
        <v>152</v>
      </c>
      <c r="M153">
        <f>COUNTIF($A$2:A153,A153)</f>
        <v>20</v>
      </c>
    </row>
    <row r="154" spans="1:13" x14ac:dyDescent="0.3">
      <c r="A154">
        <v>12839</v>
      </c>
      <c r="B154" t="s">
        <v>113</v>
      </c>
      <c r="C154" t="s">
        <v>155</v>
      </c>
      <c r="D154" t="s">
        <v>155</v>
      </c>
      <c r="E154">
        <v>112</v>
      </c>
      <c r="F154">
        <v>3.33</v>
      </c>
      <c r="G154">
        <v>33.33</v>
      </c>
      <c r="H154">
        <v>63.33</v>
      </c>
      <c r="I154">
        <v>0.01</v>
      </c>
      <c r="J154" s="1">
        <v>45927.752211377316</v>
      </c>
      <c r="K154" t="s">
        <v>116</v>
      </c>
      <c r="L154">
        <f t="shared" si="2"/>
        <v>153</v>
      </c>
      <c r="M154">
        <f>COUNTIF($A$2:A154,A154)</f>
        <v>21</v>
      </c>
    </row>
    <row r="155" spans="1:13" x14ac:dyDescent="0.3">
      <c r="A155">
        <v>12839</v>
      </c>
      <c r="B155" t="s">
        <v>113</v>
      </c>
      <c r="C155" t="s">
        <v>156</v>
      </c>
      <c r="D155" t="s">
        <v>157</v>
      </c>
      <c r="E155">
        <v>114</v>
      </c>
      <c r="F155">
        <v>0</v>
      </c>
      <c r="G155">
        <v>33.33</v>
      </c>
      <c r="H155">
        <v>66.67</v>
      </c>
      <c r="I155">
        <v>0</v>
      </c>
      <c r="J155" s="1">
        <v>45927.752231817132</v>
      </c>
      <c r="K155" t="s">
        <v>116</v>
      </c>
      <c r="L155">
        <f t="shared" si="2"/>
        <v>154</v>
      </c>
      <c r="M155">
        <f>COUNTIF($A$2:A155,A155)</f>
        <v>22</v>
      </c>
    </row>
    <row r="156" spans="1:13" x14ac:dyDescent="0.3">
      <c r="A156">
        <v>12839</v>
      </c>
      <c r="B156" t="s">
        <v>113</v>
      </c>
      <c r="C156" t="s">
        <v>158</v>
      </c>
      <c r="D156" t="s">
        <v>159</v>
      </c>
      <c r="E156">
        <v>132</v>
      </c>
      <c r="F156">
        <v>0</v>
      </c>
      <c r="G156">
        <v>13.33</v>
      </c>
      <c r="H156">
        <v>86.67</v>
      </c>
      <c r="I156">
        <v>0</v>
      </c>
      <c r="J156" s="1">
        <v>45927.75225109954</v>
      </c>
      <c r="K156" t="s">
        <v>116</v>
      </c>
      <c r="L156">
        <f t="shared" si="2"/>
        <v>155</v>
      </c>
      <c r="M156">
        <f>COUNTIF($A$2:A156,A156)</f>
        <v>23</v>
      </c>
    </row>
    <row r="157" spans="1:13" x14ac:dyDescent="0.3">
      <c r="A157">
        <v>12839</v>
      </c>
      <c r="B157" t="s">
        <v>113</v>
      </c>
      <c r="C157" t="s">
        <v>160</v>
      </c>
      <c r="D157" t="s">
        <v>161</v>
      </c>
      <c r="E157">
        <v>140</v>
      </c>
      <c r="F157">
        <v>0</v>
      </c>
      <c r="G157">
        <v>13.33</v>
      </c>
      <c r="H157">
        <v>86.67</v>
      </c>
      <c r="I157">
        <v>0</v>
      </c>
      <c r="J157" s="1">
        <v>45927.752273576392</v>
      </c>
      <c r="K157" t="s">
        <v>116</v>
      </c>
      <c r="L157">
        <f t="shared" si="2"/>
        <v>156</v>
      </c>
      <c r="M157">
        <f>COUNTIF($A$2:A157,A157)</f>
        <v>24</v>
      </c>
    </row>
    <row r="158" spans="1:13" x14ac:dyDescent="0.3">
      <c r="A158">
        <v>12839</v>
      </c>
      <c r="B158" t="s">
        <v>113</v>
      </c>
      <c r="C158" t="s">
        <v>162</v>
      </c>
      <c r="D158" t="s">
        <v>163</v>
      </c>
      <c r="E158">
        <v>145</v>
      </c>
      <c r="F158">
        <v>0</v>
      </c>
      <c r="G158">
        <v>13.33</v>
      </c>
      <c r="H158">
        <v>86.67</v>
      </c>
      <c r="I158">
        <v>0</v>
      </c>
      <c r="J158" s="1">
        <v>45927.752293530095</v>
      </c>
      <c r="K158" t="s">
        <v>116</v>
      </c>
      <c r="L158">
        <f t="shared" si="2"/>
        <v>157</v>
      </c>
      <c r="M158">
        <f>COUNTIF($A$2:A158,A158)</f>
        <v>25</v>
      </c>
    </row>
    <row r="159" spans="1:13" x14ac:dyDescent="0.3">
      <c r="A159">
        <v>12839</v>
      </c>
      <c r="B159" t="s">
        <v>113</v>
      </c>
      <c r="C159" t="s">
        <v>164</v>
      </c>
      <c r="D159" t="s">
        <v>165</v>
      </c>
      <c r="E159">
        <v>144</v>
      </c>
      <c r="F159">
        <v>0</v>
      </c>
      <c r="G159">
        <v>13.33</v>
      </c>
      <c r="H159">
        <v>86.67</v>
      </c>
      <c r="I159">
        <v>0</v>
      </c>
      <c r="J159" s="1">
        <v>45927.75231733796</v>
      </c>
      <c r="K159" t="s">
        <v>116</v>
      </c>
      <c r="L159">
        <f t="shared" si="2"/>
        <v>158</v>
      </c>
      <c r="M159">
        <f>COUNTIF($A$2:A159,A159)</f>
        <v>26</v>
      </c>
    </row>
    <row r="160" spans="1:13" x14ac:dyDescent="0.3">
      <c r="A160">
        <v>12839</v>
      </c>
      <c r="B160" t="s">
        <v>113</v>
      </c>
      <c r="C160" t="s">
        <v>166</v>
      </c>
      <c r="D160" t="s">
        <v>167</v>
      </c>
      <c r="E160">
        <v>147</v>
      </c>
      <c r="F160">
        <v>3.33</v>
      </c>
      <c r="G160">
        <v>10</v>
      </c>
      <c r="H160">
        <v>86.67</v>
      </c>
      <c r="I160">
        <v>0</v>
      </c>
      <c r="J160" s="1">
        <v>45927.752340127314</v>
      </c>
      <c r="K160" t="s">
        <v>116</v>
      </c>
      <c r="L160">
        <f t="shared" si="2"/>
        <v>159</v>
      </c>
      <c r="M160">
        <f>COUNTIF($A$2:A160,A160)</f>
        <v>27</v>
      </c>
    </row>
    <row r="161" spans="1:13" x14ac:dyDescent="0.3">
      <c r="A161">
        <v>12839</v>
      </c>
      <c r="B161" t="s">
        <v>113</v>
      </c>
      <c r="C161" t="s">
        <v>88</v>
      </c>
      <c r="D161" t="s">
        <v>89</v>
      </c>
      <c r="E161">
        <v>106</v>
      </c>
      <c r="F161">
        <v>3.33</v>
      </c>
      <c r="G161">
        <v>43.33</v>
      </c>
      <c r="H161">
        <v>53.33</v>
      </c>
      <c r="I161">
        <v>0.01</v>
      </c>
      <c r="J161" s="1">
        <v>45927.752359409722</v>
      </c>
      <c r="K161" t="s">
        <v>116</v>
      </c>
      <c r="L161">
        <f t="shared" si="2"/>
        <v>160</v>
      </c>
      <c r="M161">
        <f>COUNTIF($A$2:A161,A161)</f>
        <v>28</v>
      </c>
    </row>
    <row r="162" spans="1:13" x14ac:dyDescent="0.3">
      <c r="A162">
        <v>12839</v>
      </c>
      <c r="B162" t="s">
        <v>113</v>
      </c>
      <c r="C162" t="s">
        <v>168</v>
      </c>
      <c r="D162" t="s">
        <v>169</v>
      </c>
      <c r="E162">
        <v>127</v>
      </c>
      <c r="F162">
        <v>0</v>
      </c>
      <c r="G162">
        <v>26.67</v>
      </c>
      <c r="H162">
        <v>73.33</v>
      </c>
      <c r="I162">
        <v>0</v>
      </c>
      <c r="J162" s="1">
        <v>45927.752378599536</v>
      </c>
      <c r="K162" t="s">
        <v>116</v>
      </c>
      <c r="L162">
        <f t="shared" si="2"/>
        <v>161</v>
      </c>
      <c r="M162">
        <f>COUNTIF($A$2:A162,A162)</f>
        <v>29</v>
      </c>
    </row>
    <row r="163" spans="1:13" x14ac:dyDescent="0.3">
      <c r="A163">
        <v>12839</v>
      </c>
      <c r="B163" t="s">
        <v>113</v>
      </c>
      <c r="C163" t="s">
        <v>170</v>
      </c>
      <c r="D163" t="s">
        <v>171</v>
      </c>
      <c r="E163">
        <v>133</v>
      </c>
      <c r="F163">
        <v>0</v>
      </c>
      <c r="G163">
        <v>20</v>
      </c>
      <c r="H163">
        <v>80</v>
      </c>
      <c r="I163">
        <v>0</v>
      </c>
      <c r="J163" s="1">
        <v>45927.752401655096</v>
      </c>
      <c r="K163" t="s">
        <v>116</v>
      </c>
      <c r="L163">
        <f t="shared" si="2"/>
        <v>162</v>
      </c>
      <c r="M163">
        <f>COUNTIF($A$2:A163,A163)</f>
        <v>30</v>
      </c>
    </row>
    <row r="164" spans="1:13" x14ac:dyDescent="0.3">
      <c r="A164">
        <v>12839</v>
      </c>
      <c r="B164" t="s">
        <v>113</v>
      </c>
      <c r="C164" t="s">
        <v>172</v>
      </c>
      <c r="D164" t="s">
        <v>173</v>
      </c>
      <c r="E164">
        <v>133</v>
      </c>
      <c r="F164">
        <v>0</v>
      </c>
      <c r="G164">
        <v>20</v>
      </c>
      <c r="H164">
        <v>80</v>
      </c>
      <c r="I164">
        <v>0</v>
      </c>
      <c r="J164" s="1">
        <v>45927.752421192126</v>
      </c>
      <c r="K164" t="s">
        <v>116</v>
      </c>
      <c r="L164">
        <f t="shared" si="2"/>
        <v>163</v>
      </c>
      <c r="M164">
        <f>COUNTIF($A$2:A164,A164)</f>
        <v>31</v>
      </c>
    </row>
    <row r="165" spans="1:13" x14ac:dyDescent="0.3">
      <c r="A165">
        <v>12839</v>
      </c>
      <c r="B165" t="s">
        <v>113</v>
      </c>
      <c r="C165" t="s">
        <v>174</v>
      </c>
      <c r="D165" t="s">
        <v>175</v>
      </c>
      <c r="F165">
        <v>0</v>
      </c>
      <c r="G165">
        <v>26.67</v>
      </c>
      <c r="H165">
        <v>73.33</v>
      </c>
      <c r="I165">
        <v>0</v>
      </c>
      <c r="J165" s="1">
        <v>45927.752451006942</v>
      </c>
      <c r="K165" t="s">
        <v>116</v>
      </c>
      <c r="L165">
        <f t="shared" si="2"/>
        <v>164</v>
      </c>
      <c r="M165">
        <f>COUNTIF($A$2:A165,A165)</f>
        <v>32</v>
      </c>
    </row>
    <row r="166" spans="1:13" x14ac:dyDescent="0.3">
      <c r="A166">
        <v>12839</v>
      </c>
      <c r="B166" t="s">
        <v>113</v>
      </c>
      <c r="C166" t="s">
        <v>176</v>
      </c>
      <c r="D166" t="s">
        <v>177</v>
      </c>
      <c r="E166">
        <v>113</v>
      </c>
      <c r="F166">
        <v>13.33</v>
      </c>
      <c r="G166">
        <v>23.33</v>
      </c>
      <c r="H166">
        <v>63.33</v>
      </c>
      <c r="I166">
        <v>0.01</v>
      </c>
      <c r="J166" s="1">
        <v>45927.752470636573</v>
      </c>
      <c r="K166" t="s">
        <v>116</v>
      </c>
      <c r="L166">
        <f t="shared" si="2"/>
        <v>165</v>
      </c>
      <c r="M166">
        <f>COUNTIF($A$2:A166,A166)</f>
        <v>33</v>
      </c>
    </row>
    <row r="167" spans="1:13" x14ac:dyDescent="0.3">
      <c r="A167">
        <v>12839</v>
      </c>
      <c r="B167" t="s">
        <v>113</v>
      </c>
      <c r="C167" t="s">
        <v>178</v>
      </c>
      <c r="D167" t="s">
        <v>179</v>
      </c>
      <c r="E167">
        <v>90</v>
      </c>
      <c r="F167">
        <v>30</v>
      </c>
      <c r="G167">
        <v>26.67</v>
      </c>
      <c r="H167">
        <v>43.33</v>
      </c>
      <c r="I167">
        <v>0</v>
      </c>
      <c r="J167" s="1">
        <v>45927.752494247688</v>
      </c>
      <c r="K167" t="s">
        <v>116</v>
      </c>
      <c r="L167">
        <f t="shared" si="2"/>
        <v>166</v>
      </c>
      <c r="M167">
        <f>COUNTIF($A$2:A167,A167)</f>
        <v>34</v>
      </c>
    </row>
    <row r="168" spans="1:13" x14ac:dyDescent="0.3">
      <c r="A168">
        <v>12839</v>
      </c>
      <c r="B168" t="s">
        <v>113</v>
      </c>
      <c r="C168" t="s">
        <v>12</v>
      </c>
      <c r="D168" t="s">
        <v>13</v>
      </c>
      <c r="E168">
        <v>73</v>
      </c>
      <c r="F168">
        <v>40</v>
      </c>
      <c r="G168">
        <v>13.33</v>
      </c>
      <c r="H168">
        <v>46.67</v>
      </c>
      <c r="I168">
        <v>0</v>
      </c>
      <c r="J168" s="1">
        <v>45927.752512881947</v>
      </c>
      <c r="K168" t="s">
        <v>116</v>
      </c>
      <c r="L168">
        <f t="shared" si="2"/>
        <v>167</v>
      </c>
      <c r="M168">
        <f>COUNTIF($A$2:A168,A168)</f>
        <v>35</v>
      </c>
    </row>
    <row r="169" spans="1:13" x14ac:dyDescent="0.3">
      <c r="A169">
        <v>12840</v>
      </c>
      <c r="B169" t="s">
        <v>113</v>
      </c>
      <c r="C169" t="s">
        <v>12</v>
      </c>
      <c r="D169" t="s">
        <v>13</v>
      </c>
      <c r="E169">
        <v>56</v>
      </c>
      <c r="F169">
        <v>61.92</v>
      </c>
      <c r="G169">
        <v>11.51</v>
      </c>
      <c r="H169">
        <v>26.3</v>
      </c>
      <c r="I169">
        <v>0.27</v>
      </c>
      <c r="J169" s="1">
        <v>45927.752561365742</v>
      </c>
      <c r="K169" t="s">
        <v>180</v>
      </c>
      <c r="L169">
        <f t="shared" si="2"/>
        <v>168</v>
      </c>
      <c r="M169">
        <f>COUNTIF($A$2:A169,A169)</f>
        <v>1</v>
      </c>
    </row>
    <row r="170" spans="1:13" x14ac:dyDescent="0.3">
      <c r="A170">
        <v>12840</v>
      </c>
      <c r="B170" t="s">
        <v>113</v>
      </c>
      <c r="C170" t="s">
        <v>178</v>
      </c>
      <c r="D170" t="s">
        <v>179</v>
      </c>
      <c r="E170">
        <v>73</v>
      </c>
      <c r="F170">
        <v>33.97</v>
      </c>
      <c r="G170">
        <v>33.97</v>
      </c>
      <c r="H170">
        <v>31.78</v>
      </c>
      <c r="I170">
        <v>0.28000000000000003</v>
      </c>
      <c r="J170" s="1">
        <v>45927.75258497685</v>
      </c>
      <c r="K170" t="s">
        <v>180</v>
      </c>
      <c r="L170">
        <f t="shared" si="2"/>
        <v>169</v>
      </c>
      <c r="M170">
        <f>COUNTIF($A$2:A170,A170)</f>
        <v>2</v>
      </c>
    </row>
    <row r="171" spans="1:13" x14ac:dyDescent="0.3">
      <c r="A171">
        <v>12840</v>
      </c>
      <c r="B171" t="s">
        <v>113</v>
      </c>
      <c r="C171" t="s">
        <v>176</v>
      </c>
      <c r="D171" t="s">
        <v>177</v>
      </c>
      <c r="E171">
        <v>81</v>
      </c>
      <c r="F171">
        <v>14.79</v>
      </c>
      <c r="G171">
        <v>52.05</v>
      </c>
      <c r="H171">
        <v>32.880000000000003</v>
      </c>
      <c r="I171">
        <v>0.28000000000000003</v>
      </c>
      <c r="J171" s="1">
        <v>45927.752606562499</v>
      </c>
      <c r="K171" t="s">
        <v>180</v>
      </c>
      <c r="L171">
        <f t="shared" si="2"/>
        <v>170</v>
      </c>
      <c r="M171">
        <f>COUNTIF($A$2:A171,A171)</f>
        <v>3</v>
      </c>
    </row>
    <row r="172" spans="1:13" x14ac:dyDescent="0.3">
      <c r="A172">
        <v>12840</v>
      </c>
      <c r="B172" t="s">
        <v>113</v>
      </c>
      <c r="C172" t="s">
        <v>174</v>
      </c>
      <c r="D172" t="s">
        <v>175</v>
      </c>
      <c r="E172">
        <v>82</v>
      </c>
      <c r="F172">
        <v>17.53</v>
      </c>
      <c r="G172">
        <v>48.22</v>
      </c>
      <c r="H172">
        <v>33.97</v>
      </c>
      <c r="I172">
        <v>0.28000000000000003</v>
      </c>
      <c r="J172" s="1">
        <v>45927.752629849536</v>
      </c>
      <c r="K172" t="s">
        <v>180</v>
      </c>
      <c r="L172">
        <f t="shared" si="2"/>
        <v>171</v>
      </c>
      <c r="M172">
        <f>COUNTIF($A$2:A172,A172)</f>
        <v>4</v>
      </c>
    </row>
    <row r="173" spans="1:13" x14ac:dyDescent="0.3">
      <c r="A173">
        <v>12840</v>
      </c>
      <c r="B173" t="s">
        <v>113</v>
      </c>
      <c r="C173" t="s">
        <v>172</v>
      </c>
      <c r="D173" t="s">
        <v>173</v>
      </c>
      <c r="E173">
        <v>84</v>
      </c>
      <c r="F173">
        <v>17.53</v>
      </c>
      <c r="G173">
        <v>47.95</v>
      </c>
      <c r="H173">
        <v>34.25</v>
      </c>
      <c r="I173">
        <v>0.27</v>
      </c>
      <c r="J173" s="1">
        <v>45927.752652384261</v>
      </c>
      <c r="K173" t="s">
        <v>180</v>
      </c>
      <c r="L173">
        <f t="shared" si="2"/>
        <v>172</v>
      </c>
      <c r="M173">
        <f>COUNTIF($A$2:A173,A173)</f>
        <v>5</v>
      </c>
    </row>
    <row r="174" spans="1:13" x14ac:dyDescent="0.3">
      <c r="A174">
        <v>12840</v>
      </c>
      <c r="B174" t="s">
        <v>113</v>
      </c>
      <c r="C174" t="s">
        <v>170</v>
      </c>
      <c r="D174" t="s">
        <v>171</v>
      </c>
      <c r="E174">
        <v>85</v>
      </c>
      <c r="F174">
        <v>18.079999999999998</v>
      </c>
      <c r="G174">
        <v>45.48</v>
      </c>
      <c r="H174">
        <v>36.159999999999997</v>
      </c>
      <c r="I174">
        <v>0.28000000000000003</v>
      </c>
      <c r="J174" s="1">
        <v>45927.752675567128</v>
      </c>
      <c r="K174" t="s">
        <v>180</v>
      </c>
      <c r="L174">
        <f t="shared" si="2"/>
        <v>173</v>
      </c>
      <c r="M174">
        <f>COUNTIF($A$2:A174,A174)</f>
        <v>6</v>
      </c>
    </row>
    <row r="175" spans="1:13" x14ac:dyDescent="0.3">
      <c r="A175">
        <v>12840</v>
      </c>
      <c r="B175" t="s">
        <v>113</v>
      </c>
      <c r="C175" t="s">
        <v>168</v>
      </c>
      <c r="D175" t="s">
        <v>169</v>
      </c>
      <c r="E175">
        <v>77</v>
      </c>
      <c r="F175">
        <v>31.78</v>
      </c>
      <c r="G175">
        <v>33.42</v>
      </c>
      <c r="H175">
        <v>34.520000000000003</v>
      </c>
      <c r="I175">
        <v>0.28000000000000003</v>
      </c>
      <c r="J175" s="1">
        <v>45927.752697858799</v>
      </c>
      <c r="K175" t="s">
        <v>180</v>
      </c>
      <c r="L175">
        <f t="shared" si="2"/>
        <v>174</v>
      </c>
      <c r="M175">
        <f>COUNTIF($A$2:A175,A175)</f>
        <v>7</v>
      </c>
    </row>
    <row r="176" spans="1:13" x14ac:dyDescent="0.3">
      <c r="A176">
        <v>12840</v>
      </c>
      <c r="B176" t="s">
        <v>113</v>
      </c>
      <c r="C176" t="s">
        <v>88</v>
      </c>
      <c r="D176" t="s">
        <v>89</v>
      </c>
      <c r="E176">
        <v>84</v>
      </c>
      <c r="F176">
        <v>23.84</v>
      </c>
      <c r="G176">
        <v>39.729999999999997</v>
      </c>
      <c r="H176">
        <v>36.159999999999997</v>
      </c>
      <c r="I176">
        <v>0.27</v>
      </c>
      <c r="J176" s="1">
        <v>45927.752721273151</v>
      </c>
      <c r="K176" t="s">
        <v>180</v>
      </c>
      <c r="L176">
        <f t="shared" si="2"/>
        <v>175</v>
      </c>
      <c r="M176">
        <f>COUNTIF($A$2:A176,A176)</f>
        <v>8</v>
      </c>
    </row>
    <row r="177" spans="1:13" x14ac:dyDescent="0.3">
      <c r="A177">
        <v>12840</v>
      </c>
      <c r="B177" t="s">
        <v>113</v>
      </c>
      <c r="C177" t="s">
        <v>166</v>
      </c>
      <c r="D177" t="s">
        <v>167</v>
      </c>
      <c r="E177">
        <v>94</v>
      </c>
      <c r="F177">
        <v>16.440000000000001</v>
      </c>
      <c r="G177">
        <v>38.36</v>
      </c>
      <c r="H177">
        <v>44.93</v>
      </c>
      <c r="I177">
        <v>0.27</v>
      </c>
      <c r="J177" s="1">
        <v>45927.752740682874</v>
      </c>
      <c r="K177" t="s">
        <v>180</v>
      </c>
      <c r="L177">
        <f t="shared" si="2"/>
        <v>176</v>
      </c>
      <c r="M177">
        <f>COUNTIF($A$2:A177,A177)</f>
        <v>9</v>
      </c>
    </row>
    <row r="178" spans="1:13" x14ac:dyDescent="0.3">
      <c r="A178">
        <v>12840</v>
      </c>
      <c r="B178" t="s">
        <v>113</v>
      </c>
      <c r="C178" t="s">
        <v>164</v>
      </c>
      <c r="D178" t="s">
        <v>165</v>
      </c>
      <c r="E178">
        <v>99</v>
      </c>
      <c r="F178">
        <v>14.79</v>
      </c>
      <c r="G178">
        <v>36.159999999999997</v>
      </c>
      <c r="H178">
        <v>48.77</v>
      </c>
      <c r="I178">
        <v>0.28000000000000003</v>
      </c>
      <c r="J178" s="1">
        <v>45927.752760648145</v>
      </c>
      <c r="K178" t="s">
        <v>180</v>
      </c>
      <c r="L178">
        <f t="shared" si="2"/>
        <v>177</v>
      </c>
      <c r="M178">
        <f>COUNTIF($A$2:A178,A178)</f>
        <v>10</v>
      </c>
    </row>
    <row r="179" spans="1:13" x14ac:dyDescent="0.3">
      <c r="A179">
        <v>12840</v>
      </c>
      <c r="B179" t="s">
        <v>113</v>
      </c>
      <c r="C179" t="s">
        <v>162</v>
      </c>
      <c r="D179" t="s">
        <v>163</v>
      </c>
      <c r="E179">
        <v>103</v>
      </c>
      <c r="F179">
        <v>13.97</v>
      </c>
      <c r="G179">
        <v>30.68</v>
      </c>
      <c r="H179">
        <v>55.07</v>
      </c>
      <c r="I179">
        <v>0.28000000000000003</v>
      </c>
      <c r="J179" s="1">
        <v>45927.752782847223</v>
      </c>
      <c r="K179" t="s">
        <v>180</v>
      </c>
      <c r="L179">
        <f t="shared" si="2"/>
        <v>178</v>
      </c>
      <c r="M179">
        <f>COUNTIF($A$2:A179,A179)</f>
        <v>11</v>
      </c>
    </row>
    <row r="180" spans="1:13" x14ac:dyDescent="0.3">
      <c r="A180">
        <v>12840</v>
      </c>
      <c r="B180" t="s">
        <v>113</v>
      </c>
      <c r="C180" t="s">
        <v>160</v>
      </c>
      <c r="D180" t="s">
        <v>161</v>
      </c>
      <c r="F180">
        <v>8.2200000000000006</v>
      </c>
      <c r="G180">
        <v>20.82</v>
      </c>
      <c r="H180">
        <v>70.680000000000007</v>
      </c>
      <c r="I180">
        <v>0.27</v>
      </c>
      <c r="J180" s="1">
        <v>45927.752823495372</v>
      </c>
      <c r="K180" t="s">
        <v>180</v>
      </c>
      <c r="L180">
        <f t="shared" si="2"/>
        <v>179</v>
      </c>
      <c r="M180">
        <f>COUNTIF($A$2:A180,A180)</f>
        <v>12</v>
      </c>
    </row>
    <row r="181" spans="1:13" x14ac:dyDescent="0.3">
      <c r="A181">
        <v>12840</v>
      </c>
      <c r="B181" t="s">
        <v>113</v>
      </c>
      <c r="C181" t="s">
        <v>158</v>
      </c>
      <c r="D181" t="s">
        <v>159</v>
      </c>
      <c r="E181">
        <v>121</v>
      </c>
      <c r="F181">
        <v>16.440000000000001</v>
      </c>
      <c r="G181">
        <v>10.14</v>
      </c>
      <c r="H181">
        <v>73.150000000000006</v>
      </c>
      <c r="I181">
        <v>0.27</v>
      </c>
      <c r="J181" s="1">
        <v>45927.752842743059</v>
      </c>
      <c r="K181" t="s">
        <v>180</v>
      </c>
      <c r="L181">
        <f t="shared" si="2"/>
        <v>180</v>
      </c>
      <c r="M181">
        <f>COUNTIF($A$2:A181,A181)</f>
        <v>13</v>
      </c>
    </row>
    <row r="182" spans="1:13" x14ac:dyDescent="0.3">
      <c r="A182">
        <v>12840</v>
      </c>
      <c r="B182" t="s">
        <v>113</v>
      </c>
      <c r="C182" t="s">
        <v>156</v>
      </c>
      <c r="D182" t="s">
        <v>157</v>
      </c>
      <c r="E182">
        <v>124</v>
      </c>
      <c r="F182">
        <v>13.97</v>
      </c>
      <c r="G182">
        <v>12.05</v>
      </c>
      <c r="H182">
        <v>73.7</v>
      </c>
      <c r="I182">
        <v>0.28000000000000003</v>
      </c>
      <c r="J182" s="1">
        <v>45927.752864166665</v>
      </c>
      <c r="K182" t="s">
        <v>180</v>
      </c>
      <c r="L182">
        <f t="shared" si="2"/>
        <v>181</v>
      </c>
      <c r="M182">
        <f>COUNTIF($A$2:A182,A182)</f>
        <v>14</v>
      </c>
    </row>
    <row r="183" spans="1:13" x14ac:dyDescent="0.3">
      <c r="A183">
        <v>12840</v>
      </c>
      <c r="B183" t="s">
        <v>113</v>
      </c>
      <c r="C183" t="s">
        <v>155</v>
      </c>
      <c r="D183" t="s">
        <v>155</v>
      </c>
      <c r="E183">
        <v>124</v>
      </c>
      <c r="F183">
        <v>14.25</v>
      </c>
      <c r="G183">
        <v>11.78</v>
      </c>
      <c r="H183">
        <v>73.7</v>
      </c>
      <c r="I183">
        <v>0.27</v>
      </c>
      <c r="J183" s="1">
        <v>45927.752888159725</v>
      </c>
      <c r="K183" t="s">
        <v>180</v>
      </c>
      <c r="L183">
        <f t="shared" si="2"/>
        <v>182</v>
      </c>
      <c r="M183">
        <f>COUNTIF($A$2:A183,A183)</f>
        <v>15</v>
      </c>
    </row>
    <row r="184" spans="1:13" x14ac:dyDescent="0.3">
      <c r="A184">
        <v>12840</v>
      </c>
      <c r="B184" t="s">
        <v>113</v>
      </c>
      <c r="C184" t="s">
        <v>153</v>
      </c>
      <c r="D184" t="s">
        <v>154</v>
      </c>
      <c r="E184">
        <v>128</v>
      </c>
      <c r="F184">
        <v>14.25</v>
      </c>
      <c r="G184">
        <v>9.32</v>
      </c>
      <c r="H184">
        <v>76.16</v>
      </c>
      <c r="I184">
        <v>0.27</v>
      </c>
      <c r="J184" s="1">
        <v>45927.752910787036</v>
      </c>
      <c r="K184" t="s">
        <v>180</v>
      </c>
      <c r="L184">
        <f t="shared" si="2"/>
        <v>183</v>
      </c>
      <c r="M184">
        <f>COUNTIF($A$2:A184,A184)</f>
        <v>16</v>
      </c>
    </row>
    <row r="185" spans="1:13" x14ac:dyDescent="0.3">
      <c r="A185">
        <v>12840</v>
      </c>
      <c r="B185" t="s">
        <v>113</v>
      </c>
      <c r="C185" t="s">
        <v>151</v>
      </c>
      <c r="D185" t="s">
        <v>152</v>
      </c>
      <c r="E185">
        <v>79</v>
      </c>
      <c r="F185">
        <v>40.549999999999997</v>
      </c>
      <c r="G185">
        <v>23.01</v>
      </c>
      <c r="H185">
        <v>36.159999999999997</v>
      </c>
      <c r="I185">
        <v>0.28000000000000003</v>
      </c>
      <c r="J185" s="1">
        <v>45927.752933888885</v>
      </c>
      <c r="K185" t="s">
        <v>180</v>
      </c>
      <c r="L185">
        <f t="shared" si="2"/>
        <v>184</v>
      </c>
      <c r="M185">
        <f>COUNTIF($A$2:A185,A185)</f>
        <v>17</v>
      </c>
    </row>
    <row r="186" spans="1:13" x14ac:dyDescent="0.3">
      <c r="A186">
        <v>12840</v>
      </c>
      <c r="B186" t="s">
        <v>113</v>
      </c>
      <c r="C186" t="s">
        <v>149</v>
      </c>
      <c r="D186" t="s">
        <v>150</v>
      </c>
      <c r="E186">
        <v>89</v>
      </c>
      <c r="F186">
        <v>21.64</v>
      </c>
      <c r="G186">
        <v>39.729999999999997</v>
      </c>
      <c r="H186">
        <v>38.36</v>
      </c>
      <c r="I186">
        <v>0.27</v>
      </c>
      <c r="J186" s="1">
        <v>45927.752958657409</v>
      </c>
      <c r="K186" t="s">
        <v>180</v>
      </c>
      <c r="L186">
        <f t="shared" si="2"/>
        <v>185</v>
      </c>
      <c r="M186">
        <f>COUNTIF($A$2:A186,A186)</f>
        <v>18</v>
      </c>
    </row>
    <row r="187" spans="1:13" x14ac:dyDescent="0.3">
      <c r="A187">
        <v>12840</v>
      </c>
      <c r="B187" t="s">
        <v>113</v>
      </c>
      <c r="C187" t="s">
        <v>147</v>
      </c>
      <c r="D187" t="s">
        <v>148</v>
      </c>
      <c r="E187">
        <v>91</v>
      </c>
      <c r="F187">
        <v>17.809999999999999</v>
      </c>
      <c r="G187">
        <v>42.47</v>
      </c>
      <c r="H187">
        <v>39.450000000000003</v>
      </c>
      <c r="I187">
        <v>0.27</v>
      </c>
      <c r="J187" s="1">
        <v>45927.752981759259</v>
      </c>
      <c r="K187" t="s">
        <v>180</v>
      </c>
      <c r="L187">
        <f t="shared" si="2"/>
        <v>186</v>
      </c>
      <c r="M187">
        <f>COUNTIF($A$2:A187,A187)</f>
        <v>19</v>
      </c>
    </row>
    <row r="188" spans="1:13" x14ac:dyDescent="0.3">
      <c r="A188">
        <v>12840</v>
      </c>
      <c r="B188" t="s">
        <v>113</v>
      </c>
      <c r="C188" t="s">
        <v>145</v>
      </c>
      <c r="D188" t="s">
        <v>146</v>
      </c>
      <c r="E188">
        <v>91</v>
      </c>
      <c r="F188">
        <v>20.27</v>
      </c>
      <c r="G188">
        <v>40.549999999999997</v>
      </c>
      <c r="H188">
        <v>38.9</v>
      </c>
      <c r="I188">
        <v>0.28000000000000003</v>
      </c>
      <c r="J188" s="1">
        <v>45927.753001076388</v>
      </c>
      <c r="K188" t="s">
        <v>180</v>
      </c>
      <c r="L188">
        <f t="shared" si="2"/>
        <v>187</v>
      </c>
      <c r="M188">
        <f>COUNTIF($A$2:A188,A188)</f>
        <v>20</v>
      </c>
    </row>
    <row r="189" spans="1:13" x14ac:dyDescent="0.3">
      <c r="A189">
        <v>12840</v>
      </c>
      <c r="B189" t="s">
        <v>113</v>
      </c>
      <c r="C189" t="s">
        <v>143</v>
      </c>
      <c r="D189" t="s">
        <v>144</v>
      </c>
      <c r="E189">
        <v>96</v>
      </c>
      <c r="F189">
        <v>15.62</v>
      </c>
      <c r="G189">
        <v>42.74</v>
      </c>
      <c r="H189">
        <v>41.37</v>
      </c>
      <c r="I189">
        <v>0.27</v>
      </c>
      <c r="J189" s="1">
        <v>45927.753023043981</v>
      </c>
      <c r="K189" t="s">
        <v>180</v>
      </c>
      <c r="L189">
        <f t="shared" si="2"/>
        <v>188</v>
      </c>
      <c r="M189">
        <f>COUNTIF($A$2:A189,A189)</f>
        <v>21</v>
      </c>
    </row>
    <row r="190" spans="1:13" x14ac:dyDescent="0.3">
      <c r="A190">
        <v>12840</v>
      </c>
      <c r="B190" t="s">
        <v>113</v>
      </c>
      <c r="C190" t="s">
        <v>141</v>
      </c>
      <c r="D190" t="s">
        <v>142</v>
      </c>
      <c r="E190">
        <v>77</v>
      </c>
      <c r="F190">
        <v>47.4</v>
      </c>
      <c r="G190">
        <v>17.260000000000002</v>
      </c>
      <c r="H190">
        <v>35.07</v>
      </c>
      <c r="I190">
        <v>0.27</v>
      </c>
      <c r="J190" s="1">
        <v>45927.753044618054</v>
      </c>
      <c r="K190" t="s">
        <v>180</v>
      </c>
      <c r="L190">
        <f t="shared" si="2"/>
        <v>189</v>
      </c>
      <c r="M190">
        <f>COUNTIF($A$2:A190,A190)</f>
        <v>22</v>
      </c>
    </row>
    <row r="191" spans="1:13" x14ac:dyDescent="0.3">
      <c r="A191">
        <v>12840</v>
      </c>
      <c r="B191" t="s">
        <v>113</v>
      </c>
      <c r="C191" t="s">
        <v>139</v>
      </c>
      <c r="D191" t="s">
        <v>140</v>
      </c>
      <c r="E191">
        <v>83</v>
      </c>
      <c r="F191">
        <v>41.64</v>
      </c>
      <c r="G191">
        <v>21.37</v>
      </c>
      <c r="H191">
        <v>36.71</v>
      </c>
      <c r="I191">
        <v>0.28000000000000003</v>
      </c>
      <c r="J191" s="1">
        <v>45927.753063356482</v>
      </c>
      <c r="K191" t="s">
        <v>180</v>
      </c>
      <c r="L191">
        <f t="shared" si="2"/>
        <v>190</v>
      </c>
      <c r="M191">
        <f>COUNTIF($A$2:A191,A191)</f>
        <v>23</v>
      </c>
    </row>
    <row r="192" spans="1:13" x14ac:dyDescent="0.3">
      <c r="A192">
        <v>12840</v>
      </c>
      <c r="B192" t="s">
        <v>113</v>
      </c>
      <c r="C192" t="s">
        <v>137</v>
      </c>
      <c r="D192" t="s">
        <v>138</v>
      </c>
      <c r="E192">
        <v>88</v>
      </c>
      <c r="F192">
        <v>31.23</v>
      </c>
      <c r="G192">
        <v>30.68</v>
      </c>
      <c r="H192">
        <v>37.81</v>
      </c>
      <c r="I192">
        <v>0.28000000000000003</v>
      </c>
      <c r="J192" s="1">
        <v>45927.753086296296</v>
      </c>
      <c r="K192" t="s">
        <v>180</v>
      </c>
      <c r="L192">
        <f t="shared" si="2"/>
        <v>191</v>
      </c>
      <c r="M192">
        <f>COUNTIF($A$2:A192,A192)</f>
        <v>24</v>
      </c>
    </row>
    <row r="193" spans="1:13" x14ac:dyDescent="0.3">
      <c r="A193">
        <v>12840</v>
      </c>
      <c r="B193" t="s">
        <v>113</v>
      </c>
      <c r="C193" t="s">
        <v>135</v>
      </c>
      <c r="D193" t="s">
        <v>136</v>
      </c>
      <c r="E193">
        <v>99</v>
      </c>
      <c r="F193">
        <v>7.12</v>
      </c>
      <c r="G193">
        <v>52.6</v>
      </c>
      <c r="H193">
        <v>40</v>
      </c>
      <c r="I193">
        <v>0.28000000000000003</v>
      </c>
      <c r="J193" s="1">
        <v>45927.7531103125</v>
      </c>
      <c r="K193" t="s">
        <v>180</v>
      </c>
      <c r="L193">
        <f t="shared" si="2"/>
        <v>192</v>
      </c>
      <c r="M193">
        <f>COUNTIF($A$2:A193,A193)</f>
        <v>25</v>
      </c>
    </row>
    <row r="194" spans="1:13" x14ac:dyDescent="0.3">
      <c r="A194">
        <v>12840</v>
      </c>
      <c r="B194" t="s">
        <v>113</v>
      </c>
      <c r="C194" t="s">
        <v>133</v>
      </c>
      <c r="D194" t="s">
        <v>134</v>
      </c>
      <c r="E194">
        <v>103</v>
      </c>
      <c r="F194">
        <v>2.4700000000000002</v>
      </c>
      <c r="G194">
        <v>54.52</v>
      </c>
      <c r="H194">
        <v>42.74</v>
      </c>
      <c r="I194">
        <v>0.27</v>
      </c>
      <c r="J194" s="1">
        <v>45927.753131412035</v>
      </c>
      <c r="K194" t="s">
        <v>180</v>
      </c>
      <c r="L194">
        <f t="shared" ref="L194:L257" si="3">ROW()-1</f>
        <v>193</v>
      </c>
      <c r="M194">
        <f>COUNTIF($A$2:A194,A194)</f>
        <v>26</v>
      </c>
    </row>
    <row r="195" spans="1:13" x14ac:dyDescent="0.3">
      <c r="A195">
        <v>12840</v>
      </c>
      <c r="B195" t="s">
        <v>113</v>
      </c>
      <c r="C195" t="s">
        <v>131</v>
      </c>
      <c r="D195" t="s">
        <v>132</v>
      </c>
      <c r="E195">
        <v>108</v>
      </c>
      <c r="F195">
        <v>2.19</v>
      </c>
      <c r="G195">
        <v>53.15</v>
      </c>
      <c r="H195">
        <v>44.38</v>
      </c>
      <c r="I195">
        <v>0.28000000000000003</v>
      </c>
      <c r="J195" s="1">
        <v>45927.753154224534</v>
      </c>
      <c r="K195" t="s">
        <v>180</v>
      </c>
      <c r="L195">
        <f t="shared" si="3"/>
        <v>194</v>
      </c>
      <c r="M195">
        <f>COUNTIF($A$2:A195,A195)</f>
        <v>27</v>
      </c>
    </row>
    <row r="196" spans="1:13" x14ac:dyDescent="0.3">
      <c r="A196">
        <v>12840</v>
      </c>
      <c r="B196" t="s">
        <v>113</v>
      </c>
      <c r="C196" t="s">
        <v>129</v>
      </c>
      <c r="D196" t="s">
        <v>130</v>
      </c>
      <c r="E196">
        <v>117</v>
      </c>
      <c r="F196">
        <v>4.66</v>
      </c>
      <c r="G196">
        <v>43.01</v>
      </c>
      <c r="H196">
        <v>52.05</v>
      </c>
      <c r="I196">
        <v>0.28000000000000003</v>
      </c>
      <c r="J196" s="1">
        <v>45927.753176018516</v>
      </c>
      <c r="K196" t="s">
        <v>180</v>
      </c>
      <c r="L196">
        <f t="shared" si="3"/>
        <v>195</v>
      </c>
      <c r="M196">
        <f>COUNTIF($A$2:A196,A196)</f>
        <v>28</v>
      </c>
    </row>
    <row r="197" spans="1:13" x14ac:dyDescent="0.3">
      <c r="A197">
        <v>12840</v>
      </c>
      <c r="B197" t="s">
        <v>113</v>
      </c>
      <c r="C197" t="s">
        <v>127</v>
      </c>
      <c r="D197" t="s">
        <v>128</v>
      </c>
      <c r="E197">
        <v>121</v>
      </c>
      <c r="F197">
        <v>3.84</v>
      </c>
      <c r="G197">
        <v>40.82</v>
      </c>
      <c r="H197">
        <v>55.07</v>
      </c>
      <c r="I197">
        <v>0.27</v>
      </c>
      <c r="J197" s="1">
        <v>45927.753198587961</v>
      </c>
      <c r="K197" t="s">
        <v>180</v>
      </c>
      <c r="L197">
        <f t="shared" si="3"/>
        <v>196</v>
      </c>
      <c r="M197">
        <f>COUNTIF($A$2:A197,A197)</f>
        <v>29</v>
      </c>
    </row>
    <row r="198" spans="1:13" x14ac:dyDescent="0.3">
      <c r="A198">
        <v>12840</v>
      </c>
      <c r="B198" t="s">
        <v>113</v>
      </c>
      <c r="C198" t="s">
        <v>125</v>
      </c>
      <c r="D198" t="s">
        <v>126</v>
      </c>
      <c r="E198">
        <v>124</v>
      </c>
      <c r="F198">
        <v>4.93</v>
      </c>
      <c r="G198">
        <v>36.99</v>
      </c>
      <c r="H198">
        <v>57.26</v>
      </c>
      <c r="I198">
        <v>0.82</v>
      </c>
      <c r="J198" s="1">
        <v>45927.753222222222</v>
      </c>
      <c r="K198" t="s">
        <v>180</v>
      </c>
      <c r="L198">
        <f t="shared" si="3"/>
        <v>197</v>
      </c>
      <c r="M198">
        <f>COUNTIF($A$2:A198,A198)</f>
        <v>30</v>
      </c>
    </row>
    <row r="199" spans="1:13" x14ac:dyDescent="0.3">
      <c r="A199">
        <v>12840</v>
      </c>
      <c r="B199" t="s">
        <v>113</v>
      </c>
      <c r="C199" t="s">
        <v>123</v>
      </c>
      <c r="D199" t="s">
        <v>124</v>
      </c>
      <c r="E199">
        <v>127</v>
      </c>
      <c r="F199">
        <v>3.84</v>
      </c>
      <c r="G199">
        <v>37.26</v>
      </c>
      <c r="H199">
        <v>58.63</v>
      </c>
      <c r="I199">
        <v>0.27</v>
      </c>
      <c r="J199" s="1">
        <v>45927.753246122687</v>
      </c>
      <c r="K199" t="s">
        <v>180</v>
      </c>
      <c r="L199">
        <f t="shared" si="3"/>
        <v>198</v>
      </c>
      <c r="M199">
        <f>COUNTIF($A$2:A199,A199)</f>
        <v>31</v>
      </c>
    </row>
    <row r="200" spans="1:13" x14ac:dyDescent="0.3">
      <c r="A200">
        <v>12840</v>
      </c>
      <c r="B200" t="s">
        <v>113</v>
      </c>
      <c r="C200" t="s">
        <v>121</v>
      </c>
      <c r="D200" t="s">
        <v>122</v>
      </c>
      <c r="E200">
        <v>87</v>
      </c>
      <c r="F200">
        <v>41.64</v>
      </c>
      <c r="G200">
        <v>17.260000000000002</v>
      </c>
      <c r="H200">
        <v>40.82</v>
      </c>
      <c r="I200">
        <v>0.28000000000000003</v>
      </c>
      <c r="J200" s="1">
        <v>45927.753264375002</v>
      </c>
      <c r="K200" t="s">
        <v>180</v>
      </c>
      <c r="L200">
        <f t="shared" si="3"/>
        <v>199</v>
      </c>
      <c r="M200">
        <f>COUNTIF($A$2:A200,A200)</f>
        <v>32</v>
      </c>
    </row>
    <row r="201" spans="1:13" x14ac:dyDescent="0.3">
      <c r="A201">
        <v>12840</v>
      </c>
      <c r="B201" t="s">
        <v>113</v>
      </c>
      <c r="C201" t="s">
        <v>119</v>
      </c>
      <c r="D201" t="s">
        <v>120</v>
      </c>
      <c r="E201">
        <v>101</v>
      </c>
      <c r="F201">
        <v>23.84</v>
      </c>
      <c r="G201">
        <v>29.32</v>
      </c>
      <c r="H201">
        <v>46.58</v>
      </c>
      <c r="I201">
        <v>0.26</v>
      </c>
      <c r="J201" s="1">
        <v>45927.75327912037</v>
      </c>
      <c r="K201" t="s">
        <v>180</v>
      </c>
      <c r="L201">
        <f t="shared" si="3"/>
        <v>200</v>
      </c>
      <c r="M201">
        <f>COUNTIF($A$2:A201,A201)</f>
        <v>33</v>
      </c>
    </row>
    <row r="202" spans="1:13" x14ac:dyDescent="0.3">
      <c r="A202">
        <v>12840</v>
      </c>
      <c r="B202" t="s">
        <v>113</v>
      </c>
      <c r="C202" t="s">
        <v>117</v>
      </c>
      <c r="D202" t="s">
        <v>118</v>
      </c>
      <c r="E202">
        <v>123</v>
      </c>
      <c r="F202">
        <v>10.14</v>
      </c>
      <c r="G202">
        <v>30.96</v>
      </c>
      <c r="H202">
        <v>58.63</v>
      </c>
      <c r="I202">
        <v>0.27</v>
      </c>
      <c r="J202" s="1">
        <v>45927.753299143522</v>
      </c>
      <c r="K202" t="s">
        <v>180</v>
      </c>
      <c r="L202">
        <f t="shared" si="3"/>
        <v>201</v>
      </c>
      <c r="M202">
        <f>COUNTIF($A$2:A202,A202)</f>
        <v>34</v>
      </c>
    </row>
    <row r="203" spans="1:13" x14ac:dyDescent="0.3">
      <c r="A203">
        <v>12840</v>
      </c>
      <c r="B203" t="s">
        <v>113</v>
      </c>
      <c r="C203" t="s">
        <v>181</v>
      </c>
      <c r="D203" t="s">
        <v>182</v>
      </c>
      <c r="E203">
        <v>158</v>
      </c>
      <c r="F203">
        <v>6.3</v>
      </c>
      <c r="G203">
        <v>13.42</v>
      </c>
      <c r="H203">
        <v>80</v>
      </c>
      <c r="I203">
        <v>0.28000000000000003</v>
      </c>
      <c r="J203" s="1">
        <v>45927.753317129631</v>
      </c>
      <c r="K203" t="s">
        <v>180</v>
      </c>
      <c r="L203">
        <f t="shared" si="3"/>
        <v>202</v>
      </c>
      <c r="M203">
        <f>COUNTIF($A$2:A203,A203)</f>
        <v>35</v>
      </c>
    </row>
    <row r="204" spans="1:13" x14ac:dyDescent="0.3">
      <c r="A204">
        <v>12840</v>
      </c>
      <c r="B204" t="s">
        <v>113</v>
      </c>
      <c r="C204" t="s">
        <v>114</v>
      </c>
      <c r="D204" t="s">
        <v>115</v>
      </c>
      <c r="E204">
        <v>129</v>
      </c>
      <c r="F204">
        <v>18.63</v>
      </c>
      <c r="G204">
        <v>10.68</v>
      </c>
      <c r="H204">
        <v>69.59</v>
      </c>
      <c r="I204">
        <v>1.1000000000000001</v>
      </c>
      <c r="J204" s="1">
        <v>45927.753335624999</v>
      </c>
      <c r="K204" t="s">
        <v>180</v>
      </c>
      <c r="L204">
        <f t="shared" si="3"/>
        <v>203</v>
      </c>
      <c r="M204">
        <f>COUNTIF($A$2:A204,A204)</f>
        <v>36</v>
      </c>
    </row>
    <row r="205" spans="1:13" x14ac:dyDescent="0.3">
      <c r="A205">
        <v>12433</v>
      </c>
      <c r="B205" t="s">
        <v>183</v>
      </c>
      <c r="C205" t="s">
        <v>12</v>
      </c>
      <c r="D205" t="s">
        <v>13</v>
      </c>
      <c r="E205">
        <v>2</v>
      </c>
      <c r="F205">
        <v>100</v>
      </c>
      <c r="G205">
        <v>0</v>
      </c>
      <c r="H205">
        <v>0</v>
      </c>
      <c r="I205">
        <v>0</v>
      </c>
      <c r="J205" s="1">
        <v>45927.753380243055</v>
      </c>
      <c r="K205" t="s">
        <v>184</v>
      </c>
      <c r="L205">
        <f t="shared" si="3"/>
        <v>204</v>
      </c>
      <c r="M205">
        <f>COUNTIF($A$2:A205,A205)</f>
        <v>1</v>
      </c>
    </row>
    <row r="206" spans="1:13" x14ac:dyDescent="0.3">
      <c r="A206">
        <v>12433</v>
      </c>
      <c r="B206" t="s">
        <v>183</v>
      </c>
      <c r="C206" t="s">
        <v>88</v>
      </c>
      <c r="D206" t="s">
        <v>89</v>
      </c>
      <c r="E206">
        <v>14</v>
      </c>
      <c r="F206">
        <v>44.44</v>
      </c>
      <c r="G206">
        <v>55.56</v>
      </c>
      <c r="H206">
        <v>0</v>
      </c>
      <c r="I206">
        <v>0</v>
      </c>
      <c r="J206" s="1">
        <v>45927.75340040509</v>
      </c>
      <c r="K206" t="s">
        <v>184</v>
      </c>
      <c r="L206">
        <f t="shared" si="3"/>
        <v>205</v>
      </c>
      <c r="M206">
        <f>COUNTIF($A$2:A206,A206)</f>
        <v>2</v>
      </c>
    </row>
    <row r="207" spans="1:13" x14ac:dyDescent="0.3">
      <c r="A207">
        <v>12433</v>
      </c>
      <c r="B207" t="s">
        <v>183</v>
      </c>
      <c r="C207" t="s">
        <v>92</v>
      </c>
      <c r="D207" t="s">
        <v>93</v>
      </c>
      <c r="E207">
        <v>18</v>
      </c>
      <c r="F207">
        <v>33.33</v>
      </c>
      <c r="G207">
        <v>66.67</v>
      </c>
      <c r="H207">
        <v>0</v>
      </c>
      <c r="I207">
        <v>0</v>
      </c>
      <c r="J207" s="1">
        <v>45927.75341996528</v>
      </c>
      <c r="K207" t="s">
        <v>184</v>
      </c>
      <c r="L207">
        <f t="shared" si="3"/>
        <v>206</v>
      </c>
      <c r="M207">
        <f>COUNTIF($A$2:A207,A207)</f>
        <v>3</v>
      </c>
    </row>
    <row r="208" spans="1:13" x14ac:dyDescent="0.3">
      <c r="A208">
        <v>12433</v>
      </c>
      <c r="B208" t="s">
        <v>183</v>
      </c>
      <c r="C208" t="s">
        <v>94</v>
      </c>
      <c r="D208" t="s">
        <v>95</v>
      </c>
      <c r="E208">
        <v>13</v>
      </c>
      <c r="F208">
        <v>66.67</v>
      </c>
      <c r="G208">
        <v>33.33</v>
      </c>
      <c r="H208">
        <v>0</v>
      </c>
      <c r="I208">
        <v>0</v>
      </c>
      <c r="J208" s="1">
        <v>45927.753442372683</v>
      </c>
      <c r="K208" t="s">
        <v>184</v>
      </c>
      <c r="L208">
        <f t="shared" si="3"/>
        <v>207</v>
      </c>
      <c r="M208">
        <f>COUNTIF($A$2:A208,A208)</f>
        <v>4</v>
      </c>
    </row>
    <row r="209" spans="1:13" x14ac:dyDescent="0.3">
      <c r="A209">
        <v>12433</v>
      </c>
      <c r="B209" t="s">
        <v>183</v>
      </c>
      <c r="C209" t="s">
        <v>96</v>
      </c>
      <c r="D209" t="s">
        <v>97</v>
      </c>
      <c r="E209">
        <v>16</v>
      </c>
      <c r="F209">
        <v>77.78</v>
      </c>
      <c r="G209">
        <v>22.22</v>
      </c>
      <c r="H209">
        <v>0</v>
      </c>
      <c r="I209">
        <v>0</v>
      </c>
      <c r="J209" s="1">
        <v>45927.753464004629</v>
      </c>
      <c r="K209" t="s">
        <v>184</v>
      </c>
      <c r="L209">
        <f t="shared" si="3"/>
        <v>208</v>
      </c>
      <c r="M209">
        <f>COUNTIF($A$2:A209,A209)</f>
        <v>5</v>
      </c>
    </row>
    <row r="210" spans="1:13" x14ac:dyDescent="0.3">
      <c r="A210">
        <v>12433</v>
      </c>
      <c r="B210" t="s">
        <v>183</v>
      </c>
      <c r="C210" t="s">
        <v>100</v>
      </c>
      <c r="D210" t="s">
        <v>101</v>
      </c>
      <c r="E210">
        <v>7</v>
      </c>
      <c r="F210">
        <v>77.78</v>
      </c>
      <c r="G210">
        <v>22.22</v>
      </c>
      <c r="H210">
        <v>0</v>
      </c>
      <c r="I210">
        <v>0</v>
      </c>
      <c r="J210" s="1">
        <v>45927.753483958331</v>
      </c>
      <c r="K210" t="s">
        <v>184</v>
      </c>
      <c r="L210">
        <f t="shared" si="3"/>
        <v>209</v>
      </c>
      <c r="M210">
        <f>COUNTIF($A$2:A210,A210)</f>
        <v>6</v>
      </c>
    </row>
    <row r="211" spans="1:13" x14ac:dyDescent="0.3">
      <c r="A211">
        <v>12433</v>
      </c>
      <c r="B211" t="s">
        <v>183</v>
      </c>
      <c r="C211" t="s">
        <v>102</v>
      </c>
      <c r="D211" t="s">
        <v>103</v>
      </c>
      <c r="E211">
        <v>5</v>
      </c>
      <c r="F211">
        <v>100</v>
      </c>
      <c r="G211">
        <v>0</v>
      </c>
      <c r="H211">
        <v>0</v>
      </c>
      <c r="I211">
        <v>0</v>
      </c>
      <c r="J211" s="1">
        <v>45927.753507314817</v>
      </c>
      <c r="K211" t="s">
        <v>184</v>
      </c>
      <c r="L211">
        <f t="shared" si="3"/>
        <v>210</v>
      </c>
      <c r="M211">
        <f>COUNTIF($A$2:A211,A211)</f>
        <v>7</v>
      </c>
    </row>
    <row r="212" spans="1:13" x14ac:dyDescent="0.3">
      <c r="A212">
        <v>12433</v>
      </c>
      <c r="B212" t="s">
        <v>183</v>
      </c>
      <c r="C212" t="s">
        <v>104</v>
      </c>
      <c r="D212" t="s">
        <v>105</v>
      </c>
      <c r="E212">
        <v>13</v>
      </c>
      <c r="F212">
        <v>66.67</v>
      </c>
      <c r="G212">
        <v>33.33</v>
      </c>
      <c r="H212">
        <v>0</v>
      </c>
      <c r="I212">
        <v>0</v>
      </c>
      <c r="J212" s="1">
        <v>45927.753528564812</v>
      </c>
      <c r="K212" t="s">
        <v>184</v>
      </c>
      <c r="L212">
        <f t="shared" si="3"/>
        <v>211</v>
      </c>
      <c r="M212">
        <f>COUNTIF($A$2:A212,A212)</f>
        <v>8</v>
      </c>
    </row>
    <row r="213" spans="1:13" x14ac:dyDescent="0.3">
      <c r="A213">
        <v>12433</v>
      </c>
      <c r="B213" t="s">
        <v>183</v>
      </c>
      <c r="C213" t="s">
        <v>106</v>
      </c>
      <c r="D213" t="s">
        <v>107</v>
      </c>
      <c r="E213">
        <v>7</v>
      </c>
      <c r="F213">
        <v>88.89</v>
      </c>
      <c r="G213">
        <v>11.11</v>
      </c>
      <c r="H213">
        <v>0</v>
      </c>
      <c r="I213">
        <v>0</v>
      </c>
      <c r="J213" s="1">
        <v>45927.753547523149</v>
      </c>
      <c r="K213" t="s">
        <v>184</v>
      </c>
      <c r="L213">
        <f t="shared" si="3"/>
        <v>212</v>
      </c>
      <c r="M213">
        <f>COUNTIF($A$2:A213,A213)</f>
        <v>9</v>
      </c>
    </row>
    <row r="214" spans="1:13" x14ac:dyDescent="0.3">
      <c r="A214">
        <v>12433</v>
      </c>
      <c r="B214" t="s">
        <v>183</v>
      </c>
      <c r="C214" t="s">
        <v>108</v>
      </c>
      <c r="D214" t="s">
        <v>109</v>
      </c>
      <c r="E214">
        <v>2</v>
      </c>
      <c r="F214">
        <v>88.89</v>
      </c>
      <c r="G214">
        <v>11.11</v>
      </c>
      <c r="H214">
        <v>0</v>
      </c>
      <c r="I214">
        <v>0</v>
      </c>
      <c r="J214" s="1">
        <v>45927.753568159722</v>
      </c>
      <c r="K214" t="s">
        <v>184</v>
      </c>
      <c r="L214">
        <f t="shared" si="3"/>
        <v>213</v>
      </c>
      <c r="M214">
        <f>COUNTIF($A$2:A214,A214)</f>
        <v>10</v>
      </c>
    </row>
    <row r="215" spans="1:13" x14ac:dyDescent="0.3">
      <c r="A215">
        <v>12434</v>
      </c>
      <c r="B215" t="s">
        <v>183</v>
      </c>
      <c r="C215" t="s">
        <v>108</v>
      </c>
      <c r="D215" t="s">
        <v>109</v>
      </c>
      <c r="E215">
        <v>0</v>
      </c>
      <c r="F215">
        <v>100</v>
      </c>
      <c r="G215">
        <v>0</v>
      </c>
      <c r="H215">
        <v>0</v>
      </c>
      <c r="I215">
        <v>0</v>
      </c>
      <c r="J215" s="1">
        <v>45927.753611099535</v>
      </c>
      <c r="K215" t="s">
        <v>185</v>
      </c>
      <c r="L215">
        <f t="shared" si="3"/>
        <v>214</v>
      </c>
      <c r="M215">
        <f>COUNTIF($A$2:A215,A215)</f>
        <v>1</v>
      </c>
    </row>
    <row r="216" spans="1:13" x14ac:dyDescent="0.3">
      <c r="A216">
        <v>12434</v>
      </c>
      <c r="B216" t="s">
        <v>183</v>
      </c>
      <c r="C216" t="s">
        <v>106</v>
      </c>
      <c r="D216" t="s">
        <v>107</v>
      </c>
      <c r="E216">
        <v>10</v>
      </c>
      <c r="F216">
        <v>77.78</v>
      </c>
      <c r="G216">
        <v>22.22</v>
      </c>
      <c r="H216">
        <v>0</v>
      </c>
      <c r="I216">
        <v>0</v>
      </c>
      <c r="J216" s="1">
        <v>45927.753634791668</v>
      </c>
      <c r="K216" t="s">
        <v>185</v>
      </c>
      <c r="L216">
        <f t="shared" si="3"/>
        <v>215</v>
      </c>
      <c r="M216">
        <f>COUNTIF($A$2:A216,A216)</f>
        <v>2</v>
      </c>
    </row>
    <row r="217" spans="1:13" x14ac:dyDescent="0.3">
      <c r="A217">
        <v>12434</v>
      </c>
      <c r="B217" t="s">
        <v>183</v>
      </c>
      <c r="C217" t="s">
        <v>104</v>
      </c>
      <c r="D217" t="s">
        <v>105</v>
      </c>
      <c r="F217">
        <v>88.89</v>
      </c>
      <c r="G217">
        <v>11.11</v>
      </c>
      <c r="H217">
        <v>0</v>
      </c>
      <c r="I217">
        <v>0</v>
      </c>
      <c r="J217" s="1">
        <v>45927.753662499999</v>
      </c>
      <c r="K217" t="s">
        <v>185</v>
      </c>
      <c r="L217">
        <f t="shared" si="3"/>
        <v>216</v>
      </c>
      <c r="M217">
        <f>COUNTIF($A$2:A217,A217)</f>
        <v>3</v>
      </c>
    </row>
    <row r="218" spans="1:13" x14ac:dyDescent="0.3">
      <c r="A218">
        <v>12434</v>
      </c>
      <c r="B218" t="s">
        <v>183</v>
      </c>
      <c r="C218" t="s">
        <v>102</v>
      </c>
      <c r="D218" t="s">
        <v>103</v>
      </c>
      <c r="E218">
        <v>4</v>
      </c>
      <c r="F218">
        <v>100</v>
      </c>
      <c r="G218">
        <v>0</v>
      </c>
      <c r="H218">
        <v>0</v>
      </c>
      <c r="I218">
        <v>0</v>
      </c>
      <c r="J218" s="1">
        <v>45927.75368267361</v>
      </c>
      <c r="K218" t="s">
        <v>185</v>
      </c>
      <c r="L218">
        <f t="shared" si="3"/>
        <v>217</v>
      </c>
      <c r="M218">
        <f>COUNTIF($A$2:A218,A218)</f>
        <v>4</v>
      </c>
    </row>
    <row r="219" spans="1:13" x14ac:dyDescent="0.3">
      <c r="A219">
        <v>12434</v>
      </c>
      <c r="B219" t="s">
        <v>183</v>
      </c>
      <c r="C219" t="s">
        <v>100</v>
      </c>
      <c r="D219" t="s">
        <v>101</v>
      </c>
      <c r="E219">
        <v>10</v>
      </c>
      <c r="F219">
        <v>100</v>
      </c>
      <c r="G219">
        <v>0</v>
      </c>
      <c r="H219">
        <v>0</v>
      </c>
      <c r="I219">
        <v>0</v>
      </c>
      <c r="J219" s="1">
        <v>45927.753703333336</v>
      </c>
      <c r="K219" t="s">
        <v>185</v>
      </c>
      <c r="L219">
        <f t="shared" si="3"/>
        <v>218</v>
      </c>
      <c r="M219">
        <f>COUNTIF($A$2:A219,A219)</f>
        <v>5</v>
      </c>
    </row>
    <row r="220" spans="1:13" x14ac:dyDescent="0.3">
      <c r="A220">
        <v>12434</v>
      </c>
      <c r="B220" t="s">
        <v>183</v>
      </c>
      <c r="C220" t="s">
        <v>96</v>
      </c>
      <c r="D220" t="s">
        <v>97</v>
      </c>
      <c r="E220">
        <v>6</v>
      </c>
      <c r="F220">
        <v>77.78</v>
      </c>
      <c r="G220">
        <v>22.22</v>
      </c>
      <c r="H220">
        <v>0</v>
      </c>
      <c r="I220">
        <v>0</v>
      </c>
      <c r="J220" s="1">
        <v>45927.75372390046</v>
      </c>
      <c r="K220" t="s">
        <v>185</v>
      </c>
      <c r="L220">
        <f t="shared" si="3"/>
        <v>219</v>
      </c>
      <c r="M220">
        <f>COUNTIF($A$2:A220,A220)</f>
        <v>6</v>
      </c>
    </row>
    <row r="221" spans="1:13" x14ac:dyDescent="0.3">
      <c r="A221">
        <v>12434</v>
      </c>
      <c r="B221" t="s">
        <v>183</v>
      </c>
      <c r="C221" t="s">
        <v>94</v>
      </c>
      <c r="D221" t="s">
        <v>95</v>
      </c>
      <c r="E221">
        <v>1</v>
      </c>
      <c r="F221">
        <v>100</v>
      </c>
      <c r="G221">
        <v>0</v>
      </c>
      <c r="H221">
        <v>0</v>
      </c>
      <c r="I221">
        <v>0</v>
      </c>
      <c r="J221" s="1">
        <v>45927.753748368057</v>
      </c>
      <c r="K221" t="s">
        <v>185</v>
      </c>
      <c r="L221">
        <f t="shared" si="3"/>
        <v>220</v>
      </c>
      <c r="M221">
        <f>COUNTIF($A$2:A221,A221)</f>
        <v>7</v>
      </c>
    </row>
    <row r="222" spans="1:13" x14ac:dyDescent="0.3">
      <c r="A222">
        <v>12434</v>
      </c>
      <c r="B222" t="s">
        <v>183</v>
      </c>
      <c r="C222" t="s">
        <v>92</v>
      </c>
      <c r="D222" t="s">
        <v>93</v>
      </c>
      <c r="E222">
        <v>7</v>
      </c>
      <c r="F222">
        <v>88.89</v>
      </c>
      <c r="G222">
        <v>11.11</v>
      </c>
      <c r="H222">
        <v>0</v>
      </c>
      <c r="I222">
        <v>0</v>
      </c>
      <c r="J222" s="1">
        <v>45927.753771550924</v>
      </c>
      <c r="K222" t="s">
        <v>185</v>
      </c>
      <c r="L222">
        <f t="shared" si="3"/>
        <v>221</v>
      </c>
      <c r="M222">
        <f>COUNTIF($A$2:A222,A222)</f>
        <v>8</v>
      </c>
    </row>
    <row r="223" spans="1:13" x14ac:dyDescent="0.3">
      <c r="A223">
        <v>12434</v>
      </c>
      <c r="B223" t="s">
        <v>183</v>
      </c>
      <c r="C223" t="s">
        <v>88</v>
      </c>
      <c r="D223" t="s">
        <v>89</v>
      </c>
      <c r="E223">
        <v>16</v>
      </c>
      <c r="F223">
        <v>66.67</v>
      </c>
      <c r="G223">
        <v>33.33</v>
      </c>
      <c r="H223">
        <v>0</v>
      </c>
      <c r="I223">
        <v>0</v>
      </c>
      <c r="J223" s="1">
        <v>45927.753792152776</v>
      </c>
      <c r="K223" t="s">
        <v>185</v>
      </c>
      <c r="L223">
        <f t="shared" si="3"/>
        <v>222</v>
      </c>
      <c r="M223">
        <f>COUNTIF($A$2:A223,A223)</f>
        <v>9</v>
      </c>
    </row>
    <row r="224" spans="1:13" x14ac:dyDescent="0.3">
      <c r="A224">
        <v>12434</v>
      </c>
      <c r="B224" t="s">
        <v>183</v>
      </c>
      <c r="C224" t="s">
        <v>12</v>
      </c>
      <c r="D224" t="s">
        <v>13</v>
      </c>
      <c r="F224">
        <v>88.89</v>
      </c>
      <c r="G224">
        <v>11.11</v>
      </c>
      <c r="H224">
        <v>0</v>
      </c>
      <c r="I224">
        <v>0</v>
      </c>
      <c r="J224" s="1">
        <v>45927.753814629628</v>
      </c>
      <c r="K224" t="s">
        <v>185</v>
      </c>
      <c r="L224">
        <f t="shared" si="3"/>
        <v>223</v>
      </c>
      <c r="M224">
        <f>COUNTIF($A$2:A224,A224)</f>
        <v>10</v>
      </c>
    </row>
    <row r="225" spans="1:13" x14ac:dyDescent="0.3">
      <c r="A225">
        <v>12295</v>
      </c>
      <c r="B225" t="s">
        <v>186</v>
      </c>
      <c r="C225" t="s">
        <v>187</v>
      </c>
      <c r="D225" t="s">
        <v>188</v>
      </c>
      <c r="E225">
        <v>19</v>
      </c>
      <c r="F225">
        <v>76.67</v>
      </c>
      <c r="G225">
        <v>16.670000000000002</v>
      </c>
      <c r="H225">
        <v>6.67</v>
      </c>
      <c r="I225">
        <v>0</v>
      </c>
      <c r="J225" s="1">
        <v>45927.778390324071</v>
      </c>
      <c r="K225" t="s">
        <v>189</v>
      </c>
      <c r="L225">
        <f t="shared" si="3"/>
        <v>224</v>
      </c>
      <c r="M225">
        <f>COUNTIF($A$2:A225,A225)</f>
        <v>1</v>
      </c>
    </row>
    <row r="226" spans="1:13" x14ac:dyDescent="0.3">
      <c r="A226">
        <v>12295</v>
      </c>
      <c r="B226" t="s">
        <v>186</v>
      </c>
      <c r="C226" t="s">
        <v>190</v>
      </c>
      <c r="D226" t="s">
        <v>191</v>
      </c>
      <c r="F226">
        <v>70</v>
      </c>
      <c r="G226">
        <v>23.33</v>
      </c>
      <c r="H226">
        <v>6.67</v>
      </c>
      <c r="I226">
        <v>0</v>
      </c>
      <c r="J226" s="1">
        <v>45927.778411724539</v>
      </c>
      <c r="K226" t="s">
        <v>189</v>
      </c>
      <c r="L226">
        <f t="shared" si="3"/>
        <v>225</v>
      </c>
      <c r="M226">
        <f>COUNTIF($A$2:A226,A226)</f>
        <v>2</v>
      </c>
    </row>
    <row r="227" spans="1:13" x14ac:dyDescent="0.3">
      <c r="A227">
        <v>12295</v>
      </c>
      <c r="B227" t="s">
        <v>186</v>
      </c>
      <c r="C227" t="s">
        <v>192</v>
      </c>
      <c r="D227" t="s">
        <v>193</v>
      </c>
      <c r="E227">
        <v>31</v>
      </c>
      <c r="F227">
        <v>43.33</v>
      </c>
      <c r="G227">
        <v>46.67</v>
      </c>
      <c r="H227">
        <v>10</v>
      </c>
      <c r="I227">
        <v>0</v>
      </c>
      <c r="J227" s="1">
        <v>45927.778426886573</v>
      </c>
      <c r="K227" t="s">
        <v>189</v>
      </c>
      <c r="L227">
        <f t="shared" si="3"/>
        <v>226</v>
      </c>
      <c r="M227">
        <f>COUNTIF($A$2:A227,A227)</f>
        <v>3</v>
      </c>
    </row>
    <row r="228" spans="1:13" x14ac:dyDescent="0.3">
      <c r="A228">
        <v>12295</v>
      </c>
      <c r="B228" t="s">
        <v>186</v>
      </c>
      <c r="C228" t="s">
        <v>194</v>
      </c>
      <c r="D228" t="s">
        <v>195</v>
      </c>
      <c r="E228">
        <v>30</v>
      </c>
      <c r="F228">
        <v>63.33</v>
      </c>
      <c r="G228">
        <v>26.67</v>
      </c>
      <c r="H228">
        <v>10</v>
      </c>
      <c r="I228">
        <v>0</v>
      </c>
      <c r="J228" s="1">
        <v>45927.778446620374</v>
      </c>
      <c r="K228" t="s">
        <v>189</v>
      </c>
      <c r="L228">
        <f t="shared" si="3"/>
        <v>227</v>
      </c>
      <c r="M228">
        <f>COUNTIF($A$2:A228,A228)</f>
        <v>4</v>
      </c>
    </row>
    <row r="229" spans="1:13" x14ac:dyDescent="0.3">
      <c r="A229">
        <v>12295</v>
      </c>
      <c r="B229" t="s">
        <v>186</v>
      </c>
      <c r="C229" t="s">
        <v>21</v>
      </c>
      <c r="D229" t="s">
        <v>22</v>
      </c>
      <c r="E229">
        <v>30</v>
      </c>
      <c r="F229">
        <v>60</v>
      </c>
      <c r="G229">
        <v>26.67</v>
      </c>
      <c r="H229">
        <v>13.33</v>
      </c>
      <c r="I229">
        <v>0</v>
      </c>
      <c r="J229" s="1">
        <v>45927.77848778935</v>
      </c>
      <c r="K229" t="s">
        <v>189</v>
      </c>
      <c r="L229">
        <f t="shared" si="3"/>
        <v>228</v>
      </c>
      <c r="M229">
        <f>COUNTIF($A$2:A229,A229)</f>
        <v>5</v>
      </c>
    </row>
    <row r="230" spans="1:13" x14ac:dyDescent="0.3">
      <c r="A230">
        <v>12295</v>
      </c>
      <c r="B230" t="s">
        <v>186</v>
      </c>
      <c r="C230" t="s">
        <v>19</v>
      </c>
      <c r="D230" t="s">
        <v>20</v>
      </c>
      <c r="E230">
        <v>24</v>
      </c>
      <c r="F230">
        <v>80</v>
      </c>
      <c r="G230">
        <v>6.67</v>
      </c>
      <c r="H230">
        <v>13.33</v>
      </c>
      <c r="I230">
        <v>0</v>
      </c>
      <c r="J230" s="1">
        <v>45927.778507766205</v>
      </c>
      <c r="K230" t="s">
        <v>189</v>
      </c>
      <c r="L230">
        <f t="shared" si="3"/>
        <v>229</v>
      </c>
      <c r="M230">
        <f>COUNTIF($A$2:A230,A230)</f>
        <v>6</v>
      </c>
    </row>
    <row r="231" spans="1:13" x14ac:dyDescent="0.3">
      <c r="A231">
        <v>12295</v>
      </c>
      <c r="B231" t="s">
        <v>186</v>
      </c>
      <c r="C231" t="s">
        <v>17</v>
      </c>
      <c r="D231" t="s">
        <v>18</v>
      </c>
      <c r="E231">
        <v>29</v>
      </c>
      <c r="F231">
        <v>63.33</v>
      </c>
      <c r="G231">
        <v>23.33</v>
      </c>
      <c r="H231">
        <v>13.33</v>
      </c>
      <c r="I231">
        <v>0.01</v>
      </c>
      <c r="J231" s="1">
        <v>45927.778524861111</v>
      </c>
      <c r="K231" t="s">
        <v>189</v>
      </c>
      <c r="L231">
        <f t="shared" si="3"/>
        <v>230</v>
      </c>
      <c r="M231">
        <f>COUNTIF($A$2:A231,A231)</f>
        <v>7</v>
      </c>
    </row>
    <row r="232" spans="1:13" x14ac:dyDescent="0.3">
      <c r="A232">
        <v>12295</v>
      </c>
      <c r="B232" t="s">
        <v>186</v>
      </c>
      <c r="C232" t="s">
        <v>34</v>
      </c>
      <c r="D232" t="s">
        <v>35</v>
      </c>
      <c r="E232">
        <v>33</v>
      </c>
      <c r="F232">
        <v>60</v>
      </c>
      <c r="G232">
        <v>26.67</v>
      </c>
      <c r="H232">
        <v>13.33</v>
      </c>
      <c r="I232">
        <v>0</v>
      </c>
      <c r="J232" s="1">
        <v>45927.77856846065</v>
      </c>
      <c r="K232" t="s">
        <v>189</v>
      </c>
      <c r="L232">
        <f t="shared" si="3"/>
        <v>231</v>
      </c>
      <c r="M232">
        <f>COUNTIF($A$2:A232,A232)</f>
        <v>8</v>
      </c>
    </row>
    <row r="233" spans="1:13" x14ac:dyDescent="0.3">
      <c r="A233">
        <v>12295</v>
      </c>
      <c r="B233" t="s">
        <v>186</v>
      </c>
      <c r="C233" t="s">
        <v>178</v>
      </c>
      <c r="D233" t="s">
        <v>179</v>
      </c>
      <c r="E233">
        <v>46</v>
      </c>
      <c r="F233">
        <v>10</v>
      </c>
      <c r="G233">
        <v>70</v>
      </c>
      <c r="H233">
        <v>20</v>
      </c>
      <c r="I233">
        <v>0</v>
      </c>
      <c r="J233" s="1">
        <v>45927.778588726855</v>
      </c>
      <c r="K233" t="s">
        <v>189</v>
      </c>
      <c r="L233">
        <f t="shared" si="3"/>
        <v>232</v>
      </c>
      <c r="M233">
        <f>COUNTIF($A$2:A233,A233)</f>
        <v>9</v>
      </c>
    </row>
    <row r="234" spans="1:13" x14ac:dyDescent="0.3">
      <c r="A234">
        <v>12295</v>
      </c>
      <c r="B234" t="s">
        <v>186</v>
      </c>
      <c r="C234" t="s">
        <v>176</v>
      </c>
      <c r="D234" t="s">
        <v>177</v>
      </c>
      <c r="E234">
        <v>60</v>
      </c>
      <c r="F234">
        <v>0</v>
      </c>
      <c r="G234">
        <v>80</v>
      </c>
      <c r="H234">
        <v>20</v>
      </c>
      <c r="I234">
        <v>0</v>
      </c>
      <c r="J234" s="1">
        <v>45927.77860474537</v>
      </c>
      <c r="K234" t="s">
        <v>189</v>
      </c>
      <c r="L234">
        <f t="shared" si="3"/>
        <v>233</v>
      </c>
      <c r="M234">
        <f>COUNTIF($A$2:A234,A234)</f>
        <v>10</v>
      </c>
    </row>
    <row r="235" spans="1:13" x14ac:dyDescent="0.3">
      <c r="A235">
        <v>12295</v>
      </c>
      <c r="B235" t="s">
        <v>186</v>
      </c>
      <c r="C235" t="s">
        <v>174</v>
      </c>
      <c r="D235" t="s">
        <v>175</v>
      </c>
      <c r="E235">
        <v>61</v>
      </c>
      <c r="F235">
        <v>3.33</v>
      </c>
      <c r="G235">
        <v>73.33</v>
      </c>
      <c r="H235">
        <v>23.33</v>
      </c>
      <c r="I235">
        <v>0.01</v>
      </c>
      <c r="J235" s="1">
        <v>45927.778620578705</v>
      </c>
      <c r="K235" t="s">
        <v>189</v>
      </c>
      <c r="L235">
        <f t="shared" si="3"/>
        <v>234</v>
      </c>
      <c r="M235">
        <f>COUNTIF($A$2:A235,A235)</f>
        <v>11</v>
      </c>
    </row>
    <row r="236" spans="1:13" x14ac:dyDescent="0.3">
      <c r="A236">
        <v>12295</v>
      </c>
      <c r="B236" t="s">
        <v>186</v>
      </c>
      <c r="C236" t="s">
        <v>88</v>
      </c>
      <c r="D236" t="s">
        <v>89</v>
      </c>
      <c r="E236">
        <v>54</v>
      </c>
      <c r="F236">
        <v>3.33</v>
      </c>
      <c r="G236">
        <v>76.67</v>
      </c>
      <c r="H236">
        <v>20</v>
      </c>
      <c r="I236">
        <v>0</v>
      </c>
      <c r="J236" s="1">
        <v>45927.778635925926</v>
      </c>
      <c r="K236" t="s">
        <v>189</v>
      </c>
      <c r="L236">
        <f t="shared" si="3"/>
        <v>235</v>
      </c>
      <c r="M236">
        <f>COUNTIF($A$2:A236,A236)</f>
        <v>12</v>
      </c>
    </row>
    <row r="237" spans="1:13" x14ac:dyDescent="0.3">
      <c r="A237">
        <v>12295</v>
      </c>
      <c r="B237" t="s">
        <v>186</v>
      </c>
      <c r="C237" t="s">
        <v>90</v>
      </c>
      <c r="D237" t="s">
        <v>91</v>
      </c>
      <c r="E237">
        <v>38</v>
      </c>
      <c r="F237">
        <v>60</v>
      </c>
      <c r="G237">
        <v>20</v>
      </c>
      <c r="H237">
        <v>20</v>
      </c>
      <c r="I237">
        <v>0</v>
      </c>
      <c r="J237" s="1">
        <v>45927.778654583337</v>
      </c>
      <c r="K237" t="s">
        <v>189</v>
      </c>
      <c r="L237">
        <f t="shared" si="3"/>
        <v>236</v>
      </c>
      <c r="M237">
        <f>COUNTIF($A$2:A237,A237)</f>
        <v>13</v>
      </c>
    </row>
    <row r="238" spans="1:13" x14ac:dyDescent="0.3">
      <c r="A238">
        <v>12295</v>
      </c>
      <c r="B238" t="s">
        <v>186</v>
      </c>
      <c r="C238" t="s">
        <v>92</v>
      </c>
      <c r="D238" t="s">
        <v>93</v>
      </c>
      <c r="E238">
        <v>62</v>
      </c>
      <c r="F238">
        <v>0</v>
      </c>
      <c r="G238">
        <v>80</v>
      </c>
      <c r="H238">
        <v>20</v>
      </c>
      <c r="I238">
        <v>0</v>
      </c>
      <c r="J238" s="1">
        <v>45927.778671574073</v>
      </c>
      <c r="K238" t="s">
        <v>189</v>
      </c>
      <c r="L238">
        <f t="shared" si="3"/>
        <v>237</v>
      </c>
      <c r="M238">
        <f>COUNTIF($A$2:A238,A238)</f>
        <v>14</v>
      </c>
    </row>
    <row r="239" spans="1:13" x14ac:dyDescent="0.3">
      <c r="A239">
        <v>12295</v>
      </c>
      <c r="B239" t="s">
        <v>186</v>
      </c>
      <c r="C239" t="s">
        <v>196</v>
      </c>
      <c r="D239" t="s">
        <v>197</v>
      </c>
      <c r="E239">
        <v>57</v>
      </c>
      <c r="F239">
        <v>13.33</v>
      </c>
      <c r="G239">
        <v>63.33</v>
      </c>
      <c r="H239">
        <v>23.33</v>
      </c>
      <c r="I239">
        <v>0.01</v>
      </c>
      <c r="J239" s="1">
        <v>45927.778690462961</v>
      </c>
      <c r="K239" t="s">
        <v>189</v>
      </c>
      <c r="L239">
        <f t="shared" si="3"/>
        <v>238</v>
      </c>
      <c r="M239">
        <f>COUNTIF($A$2:A239,A239)</f>
        <v>15</v>
      </c>
    </row>
    <row r="240" spans="1:13" x14ac:dyDescent="0.3">
      <c r="A240">
        <v>12295</v>
      </c>
      <c r="B240" t="s">
        <v>186</v>
      </c>
      <c r="C240" t="s">
        <v>198</v>
      </c>
      <c r="D240" t="s">
        <v>199</v>
      </c>
      <c r="E240">
        <v>38</v>
      </c>
      <c r="F240">
        <v>3.33</v>
      </c>
      <c r="G240">
        <v>30</v>
      </c>
      <c r="H240">
        <v>3.33</v>
      </c>
      <c r="I240">
        <v>63.34</v>
      </c>
      <c r="J240" s="1">
        <v>45927.778708912039</v>
      </c>
      <c r="K240" t="s">
        <v>189</v>
      </c>
      <c r="L240">
        <f t="shared" si="3"/>
        <v>239</v>
      </c>
      <c r="M240">
        <f>COUNTIF($A$2:A240,A240)</f>
        <v>16</v>
      </c>
    </row>
    <row r="241" spans="1:13" x14ac:dyDescent="0.3">
      <c r="A241">
        <v>12295</v>
      </c>
      <c r="B241" t="s">
        <v>186</v>
      </c>
      <c r="C241" t="s">
        <v>94</v>
      </c>
      <c r="D241" t="s">
        <v>95</v>
      </c>
      <c r="E241">
        <v>32</v>
      </c>
      <c r="F241">
        <v>70</v>
      </c>
      <c r="G241">
        <v>13.33</v>
      </c>
      <c r="H241">
        <v>16.670000000000002</v>
      </c>
      <c r="I241">
        <v>0</v>
      </c>
      <c r="J241" s="1">
        <v>45927.778726006945</v>
      </c>
      <c r="K241" t="s">
        <v>189</v>
      </c>
      <c r="L241">
        <f t="shared" si="3"/>
        <v>240</v>
      </c>
      <c r="M241">
        <f>COUNTIF($A$2:A241,A241)</f>
        <v>17</v>
      </c>
    </row>
    <row r="242" spans="1:13" x14ac:dyDescent="0.3">
      <c r="A242">
        <v>12295</v>
      </c>
      <c r="B242" t="s">
        <v>186</v>
      </c>
      <c r="C242" t="s">
        <v>200</v>
      </c>
      <c r="D242" t="s">
        <v>201</v>
      </c>
      <c r="E242">
        <v>35</v>
      </c>
      <c r="F242">
        <v>60</v>
      </c>
      <c r="G242">
        <v>23.33</v>
      </c>
      <c r="H242">
        <v>16.670000000000002</v>
      </c>
      <c r="I242">
        <v>0</v>
      </c>
      <c r="J242" s="1">
        <v>45927.778744444448</v>
      </c>
      <c r="K242" t="s">
        <v>189</v>
      </c>
      <c r="L242">
        <f t="shared" si="3"/>
        <v>241</v>
      </c>
      <c r="M242">
        <f>COUNTIF($A$2:A242,A242)</f>
        <v>18</v>
      </c>
    </row>
    <row r="243" spans="1:13" x14ac:dyDescent="0.3">
      <c r="A243">
        <v>12295</v>
      </c>
      <c r="B243" t="s">
        <v>186</v>
      </c>
      <c r="C243" t="s">
        <v>202</v>
      </c>
      <c r="D243" t="s">
        <v>203</v>
      </c>
      <c r="E243">
        <v>44</v>
      </c>
      <c r="F243">
        <v>36.67</v>
      </c>
      <c r="G243">
        <v>46.67</v>
      </c>
      <c r="H243">
        <v>16.670000000000002</v>
      </c>
      <c r="I243">
        <v>0</v>
      </c>
      <c r="J243" s="1">
        <v>45927.778790173608</v>
      </c>
      <c r="K243" t="s">
        <v>189</v>
      </c>
      <c r="L243">
        <f t="shared" si="3"/>
        <v>242</v>
      </c>
      <c r="M243">
        <f>COUNTIF($A$2:A243,A243)</f>
        <v>19</v>
      </c>
    </row>
    <row r="244" spans="1:13" x14ac:dyDescent="0.3">
      <c r="A244">
        <v>12295</v>
      </c>
      <c r="B244" t="s">
        <v>186</v>
      </c>
      <c r="C244" t="s">
        <v>96</v>
      </c>
      <c r="D244" t="s">
        <v>97</v>
      </c>
      <c r="E244">
        <v>31</v>
      </c>
      <c r="F244">
        <v>63.33</v>
      </c>
      <c r="G244">
        <v>20</v>
      </c>
      <c r="H244">
        <v>16.670000000000002</v>
      </c>
      <c r="I244">
        <v>0</v>
      </c>
      <c r="J244" s="1">
        <v>45927.778807037037</v>
      </c>
      <c r="K244" t="s">
        <v>189</v>
      </c>
      <c r="L244">
        <f t="shared" si="3"/>
        <v>243</v>
      </c>
      <c r="M244">
        <f>COUNTIF($A$2:A244,A244)</f>
        <v>20</v>
      </c>
    </row>
    <row r="245" spans="1:13" x14ac:dyDescent="0.3">
      <c r="A245">
        <v>12295</v>
      </c>
      <c r="B245" t="s">
        <v>186</v>
      </c>
      <c r="C245" t="s">
        <v>204</v>
      </c>
      <c r="D245" t="s">
        <v>205</v>
      </c>
      <c r="E245">
        <v>64</v>
      </c>
      <c r="F245">
        <v>6.67</v>
      </c>
      <c r="G245">
        <v>63.33</v>
      </c>
      <c r="H245">
        <v>30</v>
      </c>
      <c r="I245">
        <v>0</v>
      </c>
      <c r="J245" s="1">
        <v>45927.778827534719</v>
      </c>
      <c r="K245" t="s">
        <v>189</v>
      </c>
      <c r="L245">
        <f t="shared" si="3"/>
        <v>244</v>
      </c>
      <c r="M245">
        <f>COUNTIF($A$2:A245,A245)</f>
        <v>21</v>
      </c>
    </row>
    <row r="246" spans="1:13" x14ac:dyDescent="0.3">
      <c r="A246">
        <v>12295</v>
      </c>
      <c r="B246" t="s">
        <v>186</v>
      </c>
      <c r="C246" t="s">
        <v>206</v>
      </c>
      <c r="D246" t="s">
        <v>207</v>
      </c>
      <c r="E246">
        <v>73</v>
      </c>
      <c r="F246">
        <v>0</v>
      </c>
      <c r="G246">
        <v>53.33</v>
      </c>
      <c r="H246">
        <v>46.67</v>
      </c>
      <c r="I246">
        <v>0</v>
      </c>
      <c r="J246" s="1">
        <v>45927.778845474539</v>
      </c>
      <c r="K246" t="s">
        <v>189</v>
      </c>
      <c r="L246">
        <f t="shared" si="3"/>
        <v>245</v>
      </c>
      <c r="M246">
        <f>COUNTIF($A$2:A246,A246)</f>
        <v>22</v>
      </c>
    </row>
    <row r="247" spans="1:13" x14ac:dyDescent="0.3">
      <c r="A247">
        <v>12295</v>
      </c>
      <c r="B247" t="s">
        <v>186</v>
      </c>
      <c r="C247" t="s">
        <v>98</v>
      </c>
      <c r="D247" t="s">
        <v>99</v>
      </c>
      <c r="E247">
        <v>26</v>
      </c>
      <c r="F247">
        <v>80</v>
      </c>
      <c r="G247">
        <v>6.67</v>
      </c>
      <c r="H247">
        <v>13.33</v>
      </c>
      <c r="I247">
        <v>0</v>
      </c>
      <c r="J247" s="1">
        <v>45927.778863784719</v>
      </c>
      <c r="K247" t="s">
        <v>189</v>
      </c>
      <c r="L247">
        <f t="shared" si="3"/>
        <v>246</v>
      </c>
      <c r="M247">
        <f>COUNTIF($A$2:A247,A247)</f>
        <v>23</v>
      </c>
    </row>
    <row r="248" spans="1:13" x14ac:dyDescent="0.3">
      <c r="A248">
        <v>12295</v>
      </c>
      <c r="B248" t="s">
        <v>186</v>
      </c>
      <c r="C248" t="s">
        <v>208</v>
      </c>
      <c r="D248" t="s">
        <v>209</v>
      </c>
      <c r="F248">
        <v>50</v>
      </c>
      <c r="G248">
        <v>36.67</v>
      </c>
      <c r="H248">
        <v>13.33</v>
      </c>
      <c r="I248">
        <v>0</v>
      </c>
      <c r="J248" s="1">
        <v>45927.778887534725</v>
      </c>
      <c r="K248" t="s">
        <v>189</v>
      </c>
      <c r="L248">
        <f t="shared" si="3"/>
        <v>247</v>
      </c>
      <c r="M248">
        <f>COUNTIF($A$2:A248,A248)</f>
        <v>24</v>
      </c>
    </row>
    <row r="249" spans="1:13" x14ac:dyDescent="0.3">
      <c r="A249">
        <v>12295</v>
      </c>
      <c r="B249" t="s">
        <v>186</v>
      </c>
      <c r="C249" t="s">
        <v>210</v>
      </c>
      <c r="D249" t="s">
        <v>211</v>
      </c>
      <c r="E249">
        <v>54</v>
      </c>
      <c r="F249">
        <v>6.67</v>
      </c>
      <c r="G249">
        <v>76.67</v>
      </c>
      <c r="H249">
        <v>16.670000000000002</v>
      </c>
      <c r="I249">
        <v>0</v>
      </c>
      <c r="J249" s="1">
        <v>45927.778927384257</v>
      </c>
      <c r="K249" t="s">
        <v>189</v>
      </c>
      <c r="L249">
        <f t="shared" si="3"/>
        <v>248</v>
      </c>
      <c r="M249">
        <f>COUNTIF($A$2:A249,A249)</f>
        <v>25</v>
      </c>
    </row>
    <row r="250" spans="1:13" x14ac:dyDescent="0.3">
      <c r="A250">
        <v>12295</v>
      </c>
      <c r="B250" t="s">
        <v>186</v>
      </c>
      <c r="C250" t="s">
        <v>212</v>
      </c>
      <c r="D250" t="s">
        <v>213</v>
      </c>
      <c r="E250">
        <v>43</v>
      </c>
      <c r="F250">
        <v>36.67</v>
      </c>
      <c r="G250">
        <v>46.67</v>
      </c>
      <c r="H250">
        <v>16.670000000000002</v>
      </c>
      <c r="I250">
        <v>0</v>
      </c>
      <c r="J250" s="1">
        <v>45927.778968622682</v>
      </c>
      <c r="K250" t="s">
        <v>189</v>
      </c>
      <c r="L250">
        <f t="shared" si="3"/>
        <v>249</v>
      </c>
      <c r="M250">
        <f>COUNTIF($A$2:A250,A250)</f>
        <v>26</v>
      </c>
    </row>
    <row r="251" spans="1:13" x14ac:dyDescent="0.3">
      <c r="A251">
        <v>12295</v>
      </c>
      <c r="B251" t="s">
        <v>186</v>
      </c>
      <c r="C251" t="s">
        <v>214</v>
      </c>
      <c r="D251" t="s">
        <v>215</v>
      </c>
      <c r="E251">
        <v>60</v>
      </c>
      <c r="F251">
        <v>0</v>
      </c>
      <c r="G251">
        <v>83.33</v>
      </c>
      <c r="H251">
        <v>16.670000000000002</v>
      </c>
      <c r="I251">
        <v>0</v>
      </c>
      <c r="J251" s="1">
        <v>45927.778983958335</v>
      </c>
      <c r="K251" t="s">
        <v>189</v>
      </c>
      <c r="L251">
        <f t="shared" si="3"/>
        <v>250</v>
      </c>
      <c r="M251">
        <f>COUNTIF($A$2:A251,A251)</f>
        <v>27</v>
      </c>
    </row>
    <row r="252" spans="1:13" x14ac:dyDescent="0.3">
      <c r="A252">
        <v>12295</v>
      </c>
      <c r="B252" t="s">
        <v>186</v>
      </c>
      <c r="C252" t="s">
        <v>216</v>
      </c>
      <c r="D252" t="s">
        <v>217</v>
      </c>
      <c r="E252">
        <v>70</v>
      </c>
      <c r="F252">
        <v>0</v>
      </c>
      <c r="G252">
        <v>83.33</v>
      </c>
      <c r="H252">
        <v>16.670000000000002</v>
      </c>
      <c r="I252">
        <v>0</v>
      </c>
      <c r="J252" s="1">
        <v>45927.779001805553</v>
      </c>
      <c r="K252" t="s">
        <v>189</v>
      </c>
      <c r="L252">
        <f t="shared" si="3"/>
        <v>251</v>
      </c>
      <c r="M252">
        <f>COUNTIF($A$2:A252,A252)</f>
        <v>28</v>
      </c>
    </row>
    <row r="253" spans="1:13" x14ac:dyDescent="0.3">
      <c r="A253">
        <v>12295</v>
      </c>
      <c r="B253" t="s">
        <v>186</v>
      </c>
      <c r="C253" t="s">
        <v>218</v>
      </c>
      <c r="D253" t="s">
        <v>219</v>
      </c>
      <c r="E253">
        <v>62</v>
      </c>
      <c r="F253">
        <v>0</v>
      </c>
      <c r="G253">
        <v>83.33</v>
      </c>
      <c r="H253">
        <v>16.670000000000002</v>
      </c>
      <c r="I253">
        <v>0</v>
      </c>
      <c r="J253" s="1">
        <v>45927.779020231479</v>
      </c>
      <c r="K253" t="s">
        <v>189</v>
      </c>
      <c r="L253">
        <f t="shared" si="3"/>
        <v>252</v>
      </c>
      <c r="M253">
        <f>COUNTIF($A$2:A253,A253)</f>
        <v>29</v>
      </c>
    </row>
    <row r="254" spans="1:13" x14ac:dyDescent="0.3">
      <c r="A254">
        <v>12295</v>
      </c>
      <c r="B254" t="s">
        <v>186</v>
      </c>
      <c r="C254" t="s">
        <v>220</v>
      </c>
      <c r="D254" t="s">
        <v>221</v>
      </c>
      <c r="E254">
        <v>70</v>
      </c>
      <c r="F254">
        <v>10</v>
      </c>
      <c r="G254">
        <v>40</v>
      </c>
      <c r="H254">
        <v>50</v>
      </c>
      <c r="I254">
        <v>0</v>
      </c>
      <c r="J254" s="1">
        <v>45927.77904115741</v>
      </c>
      <c r="K254" t="s">
        <v>189</v>
      </c>
      <c r="L254">
        <f t="shared" si="3"/>
        <v>253</v>
      </c>
      <c r="M254">
        <f>COUNTIF($A$2:A254,A254)</f>
        <v>30</v>
      </c>
    </row>
    <row r="255" spans="1:13" x14ac:dyDescent="0.3">
      <c r="A255">
        <v>12295</v>
      </c>
      <c r="B255" t="s">
        <v>186</v>
      </c>
      <c r="C255" t="s">
        <v>222</v>
      </c>
      <c r="D255" t="s">
        <v>223</v>
      </c>
      <c r="E255">
        <v>29</v>
      </c>
      <c r="F255">
        <v>43.33</v>
      </c>
      <c r="G255">
        <v>50</v>
      </c>
      <c r="H255">
        <v>6.67</v>
      </c>
      <c r="I255">
        <v>0</v>
      </c>
      <c r="J255" s="1">
        <v>45927.779080775465</v>
      </c>
      <c r="K255" t="s">
        <v>189</v>
      </c>
      <c r="L255">
        <f t="shared" si="3"/>
        <v>254</v>
      </c>
      <c r="M255">
        <f>COUNTIF($A$2:A255,A255)</f>
        <v>31</v>
      </c>
    </row>
    <row r="256" spans="1:13" x14ac:dyDescent="0.3">
      <c r="A256">
        <v>12295</v>
      </c>
      <c r="B256" t="s">
        <v>186</v>
      </c>
      <c r="C256" t="s">
        <v>224</v>
      </c>
      <c r="D256" t="s">
        <v>225</v>
      </c>
      <c r="E256">
        <v>12</v>
      </c>
      <c r="F256">
        <v>96.67</v>
      </c>
      <c r="G256">
        <v>0</v>
      </c>
      <c r="H256">
        <v>3.33</v>
      </c>
      <c r="I256">
        <v>0</v>
      </c>
      <c r="J256" s="1">
        <v>45927.77912446759</v>
      </c>
      <c r="K256" t="s">
        <v>189</v>
      </c>
      <c r="L256">
        <f t="shared" si="3"/>
        <v>255</v>
      </c>
      <c r="M256">
        <f>COUNTIF($A$2:A256,A256)</f>
        <v>32</v>
      </c>
    </row>
    <row r="257" spans="1:13" x14ac:dyDescent="0.3">
      <c r="A257">
        <v>12295</v>
      </c>
      <c r="B257" t="s">
        <v>186</v>
      </c>
      <c r="C257" t="s">
        <v>226</v>
      </c>
      <c r="D257" t="s">
        <v>227</v>
      </c>
      <c r="F257">
        <v>90</v>
      </c>
      <c r="G257">
        <v>6.67</v>
      </c>
      <c r="H257">
        <v>3.33</v>
      </c>
      <c r="I257">
        <v>0</v>
      </c>
      <c r="J257" s="1">
        <v>45927.77914943287</v>
      </c>
      <c r="K257" t="s">
        <v>189</v>
      </c>
      <c r="L257">
        <f t="shared" si="3"/>
        <v>256</v>
      </c>
      <c r="M257">
        <f>COUNTIF($A$2:A257,A257)</f>
        <v>33</v>
      </c>
    </row>
    <row r="258" spans="1:13" x14ac:dyDescent="0.3">
      <c r="A258">
        <v>12295</v>
      </c>
      <c r="B258" t="s">
        <v>186</v>
      </c>
      <c r="C258" t="s">
        <v>228</v>
      </c>
      <c r="D258" t="s">
        <v>229</v>
      </c>
      <c r="E258">
        <v>19</v>
      </c>
      <c r="F258">
        <v>70</v>
      </c>
      <c r="G258">
        <v>26.67</v>
      </c>
      <c r="H258">
        <v>3.33</v>
      </c>
      <c r="I258">
        <v>0</v>
      </c>
      <c r="J258" s="1">
        <v>45927.779188993052</v>
      </c>
      <c r="K258" t="s">
        <v>189</v>
      </c>
      <c r="L258">
        <f t="shared" ref="L258:L321" si="4">ROW()-1</f>
        <v>257</v>
      </c>
      <c r="M258">
        <f>COUNTIF($A$2:A258,A258)</f>
        <v>34</v>
      </c>
    </row>
    <row r="259" spans="1:13" x14ac:dyDescent="0.3">
      <c r="A259">
        <v>12295</v>
      </c>
      <c r="B259" t="s">
        <v>186</v>
      </c>
      <c r="C259" t="s">
        <v>230</v>
      </c>
      <c r="D259" t="s">
        <v>230</v>
      </c>
      <c r="E259">
        <v>23</v>
      </c>
      <c r="F259">
        <v>56.67</v>
      </c>
      <c r="G259">
        <v>36.67</v>
      </c>
      <c r="H259">
        <v>6.67</v>
      </c>
      <c r="I259">
        <v>0</v>
      </c>
      <c r="J259" s="1">
        <v>45927.779233136571</v>
      </c>
      <c r="K259" t="s">
        <v>189</v>
      </c>
      <c r="L259">
        <f t="shared" si="4"/>
        <v>258</v>
      </c>
      <c r="M259">
        <f>COUNTIF($A$2:A259,A259)</f>
        <v>35</v>
      </c>
    </row>
    <row r="260" spans="1:13" x14ac:dyDescent="0.3">
      <c r="A260">
        <v>12295</v>
      </c>
      <c r="B260" t="s">
        <v>186</v>
      </c>
      <c r="C260" t="s">
        <v>231</v>
      </c>
      <c r="D260" t="s">
        <v>232</v>
      </c>
      <c r="E260">
        <v>4</v>
      </c>
      <c r="F260">
        <v>90</v>
      </c>
      <c r="G260">
        <v>3.33</v>
      </c>
      <c r="H260">
        <v>6.67</v>
      </c>
      <c r="I260">
        <v>0</v>
      </c>
      <c r="J260" s="1">
        <v>45927.779253113426</v>
      </c>
      <c r="K260" t="s">
        <v>189</v>
      </c>
      <c r="L260">
        <f t="shared" si="4"/>
        <v>259</v>
      </c>
      <c r="M260">
        <f>COUNTIF($A$2:A260,A260)</f>
        <v>36</v>
      </c>
    </row>
    <row r="261" spans="1:13" x14ac:dyDescent="0.3">
      <c r="A261">
        <v>12296</v>
      </c>
      <c r="B261" t="s">
        <v>186</v>
      </c>
      <c r="C261" t="s">
        <v>231</v>
      </c>
      <c r="D261" t="s">
        <v>232</v>
      </c>
      <c r="E261">
        <v>5</v>
      </c>
      <c r="F261">
        <v>90</v>
      </c>
      <c r="G261">
        <v>10</v>
      </c>
      <c r="H261">
        <v>0</v>
      </c>
      <c r="I261">
        <v>0</v>
      </c>
      <c r="J261" s="1">
        <v>45927.779293437503</v>
      </c>
      <c r="K261" t="s">
        <v>233</v>
      </c>
      <c r="L261">
        <f t="shared" si="4"/>
        <v>260</v>
      </c>
      <c r="M261">
        <f>COUNTIF($A$2:A261,A261)</f>
        <v>1</v>
      </c>
    </row>
    <row r="262" spans="1:13" x14ac:dyDescent="0.3">
      <c r="A262">
        <v>12296</v>
      </c>
      <c r="B262" t="s">
        <v>186</v>
      </c>
      <c r="C262" t="s">
        <v>230</v>
      </c>
      <c r="D262" t="s">
        <v>230</v>
      </c>
      <c r="E262">
        <v>23</v>
      </c>
      <c r="F262">
        <v>43.33</v>
      </c>
      <c r="G262">
        <v>46.67</v>
      </c>
      <c r="H262">
        <v>10</v>
      </c>
      <c r="I262">
        <v>0</v>
      </c>
      <c r="J262" s="1">
        <v>45927.779313055558</v>
      </c>
      <c r="K262" t="s">
        <v>233</v>
      </c>
      <c r="L262">
        <f t="shared" si="4"/>
        <v>261</v>
      </c>
      <c r="M262">
        <f>COUNTIF($A$2:A262,A262)</f>
        <v>2</v>
      </c>
    </row>
    <row r="263" spans="1:13" x14ac:dyDescent="0.3">
      <c r="A263">
        <v>12296</v>
      </c>
      <c r="B263" t="s">
        <v>186</v>
      </c>
      <c r="C263" t="s">
        <v>228</v>
      </c>
      <c r="D263" t="s">
        <v>229</v>
      </c>
      <c r="E263">
        <v>34</v>
      </c>
      <c r="F263">
        <v>16.670000000000002</v>
      </c>
      <c r="G263">
        <v>73.33</v>
      </c>
      <c r="H263">
        <v>10</v>
      </c>
      <c r="I263">
        <v>0</v>
      </c>
      <c r="J263" s="1">
        <v>45927.779328368058</v>
      </c>
      <c r="K263" t="s">
        <v>233</v>
      </c>
      <c r="L263">
        <f t="shared" si="4"/>
        <v>262</v>
      </c>
      <c r="M263">
        <f>COUNTIF($A$2:A263,A263)</f>
        <v>3</v>
      </c>
    </row>
    <row r="264" spans="1:13" x14ac:dyDescent="0.3">
      <c r="A264">
        <v>12296</v>
      </c>
      <c r="B264" t="s">
        <v>186</v>
      </c>
      <c r="C264" t="s">
        <v>226</v>
      </c>
      <c r="D264" t="s">
        <v>227</v>
      </c>
      <c r="E264">
        <v>45</v>
      </c>
      <c r="F264">
        <v>3.33</v>
      </c>
      <c r="G264">
        <v>76.67</v>
      </c>
      <c r="H264">
        <v>20</v>
      </c>
      <c r="I264">
        <v>0</v>
      </c>
      <c r="J264" s="1">
        <v>45927.779344421295</v>
      </c>
      <c r="K264" t="s">
        <v>233</v>
      </c>
      <c r="L264">
        <f t="shared" si="4"/>
        <v>263</v>
      </c>
      <c r="M264">
        <f>COUNTIF($A$2:A264,A264)</f>
        <v>4</v>
      </c>
    </row>
    <row r="265" spans="1:13" x14ac:dyDescent="0.3">
      <c r="A265">
        <v>12296</v>
      </c>
      <c r="B265" t="s">
        <v>186</v>
      </c>
      <c r="C265" t="s">
        <v>224</v>
      </c>
      <c r="D265" t="s">
        <v>225</v>
      </c>
      <c r="E265">
        <v>21</v>
      </c>
      <c r="F265">
        <v>66.67</v>
      </c>
      <c r="G265">
        <v>23.33</v>
      </c>
      <c r="H265">
        <v>10</v>
      </c>
      <c r="I265">
        <v>0</v>
      </c>
      <c r="J265" s="1">
        <v>45927.779363020833</v>
      </c>
      <c r="K265" t="s">
        <v>233</v>
      </c>
      <c r="L265">
        <f t="shared" si="4"/>
        <v>264</v>
      </c>
      <c r="M265">
        <f>COUNTIF($A$2:A265,A265)</f>
        <v>5</v>
      </c>
    </row>
    <row r="266" spans="1:13" x14ac:dyDescent="0.3">
      <c r="A266">
        <v>12296</v>
      </c>
      <c r="B266" t="s">
        <v>186</v>
      </c>
      <c r="C266" t="s">
        <v>222</v>
      </c>
      <c r="D266" t="s">
        <v>223</v>
      </c>
      <c r="E266">
        <v>21</v>
      </c>
      <c r="F266">
        <v>60</v>
      </c>
      <c r="G266">
        <v>30</v>
      </c>
      <c r="H266">
        <v>10</v>
      </c>
      <c r="I266">
        <v>0</v>
      </c>
      <c r="J266" s="1">
        <v>45927.779380196756</v>
      </c>
      <c r="K266" t="s">
        <v>233</v>
      </c>
      <c r="L266">
        <f t="shared" si="4"/>
        <v>265</v>
      </c>
      <c r="M266">
        <f>COUNTIF($A$2:A266,A266)</f>
        <v>6</v>
      </c>
    </row>
    <row r="267" spans="1:13" x14ac:dyDescent="0.3">
      <c r="A267">
        <v>12296</v>
      </c>
      <c r="B267" t="s">
        <v>186</v>
      </c>
      <c r="C267" t="s">
        <v>220</v>
      </c>
      <c r="D267" t="s">
        <v>221</v>
      </c>
      <c r="E267">
        <v>28</v>
      </c>
      <c r="F267">
        <v>43.33</v>
      </c>
      <c r="G267">
        <v>46.67</v>
      </c>
      <c r="H267">
        <v>10</v>
      </c>
      <c r="I267">
        <v>0</v>
      </c>
      <c r="J267" s="1">
        <v>45927.779400613428</v>
      </c>
      <c r="K267" t="s">
        <v>233</v>
      </c>
      <c r="L267">
        <f t="shared" si="4"/>
        <v>266</v>
      </c>
      <c r="M267">
        <f>COUNTIF($A$2:A267,A267)</f>
        <v>7</v>
      </c>
    </row>
    <row r="268" spans="1:13" x14ac:dyDescent="0.3">
      <c r="A268">
        <v>12296</v>
      </c>
      <c r="B268" t="s">
        <v>186</v>
      </c>
      <c r="C268" t="s">
        <v>218</v>
      </c>
      <c r="D268" t="s">
        <v>219</v>
      </c>
      <c r="E268">
        <v>20</v>
      </c>
      <c r="F268">
        <v>56.67</v>
      </c>
      <c r="G268">
        <v>36.67</v>
      </c>
      <c r="H268">
        <v>6.67</v>
      </c>
      <c r="I268">
        <v>0</v>
      </c>
      <c r="J268" s="1">
        <v>45927.779445335647</v>
      </c>
      <c r="K268" t="s">
        <v>233</v>
      </c>
      <c r="L268">
        <f t="shared" si="4"/>
        <v>267</v>
      </c>
      <c r="M268">
        <f>COUNTIF($A$2:A268,A268)</f>
        <v>8</v>
      </c>
    </row>
    <row r="269" spans="1:13" x14ac:dyDescent="0.3">
      <c r="A269">
        <v>12296</v>
      </c>
      <c r="B269" t="s">
        <v>186</v>
      </c>
      <c r="C269" t="s">
        <v>216</v>
      </c>
      <c r="D269" t="s">
        <v>217</v>
      </c>
      <c r="E269">
        <v>29</v>
      </c>
      <c r="F269">
        <v>30</v>
      </c>
      <c r="G269">
        <v>60</v>
      </c>
      <c r="H269">
        <v>10</v>
      </c>
      <c r="I269">
        <v>0</v>
      </c>
      <c r="J269" s="1">
        <v>45927.779465115738</v>
      </c>
      <c r="K269" t="s">
        <v>233</v>
      </c>
      <c r="L269">
        <f t="shared" si="4"/>
        <v>268</v>
      </c>
      <c r="M269">
        <f>COUNTIF($A$2:A269,A269)</f>
        <v>9</v>
      </c>
    </row>
    <row r="270" spans="1:13" x14ac:dyDescent="0.3">
      <c r="A270">
        <v>12296</v>
      </c>
      <c r="B270" t="s">
        <v>186</v>
      </c>
      <c r="C270" t="s">
        <v>214</v>
      </c>
      <c r="D270" t="s">
        <v>215</v>
      </c>
      <c r="E270">
        <v>47</v>
      </c>
      <c r="F270">
        <v>3.33</v>
      </c>
      <c r="G270">
        <v>76.67</v>
      </c>
      <c r="H270">
        <v>20</v>
      </c>
      <c r="I270">
        <v>0</v>
      </c>
      <c r="J270" s="1">
        <v>45927.77948070602</v>
      </c>
      <c r="K270" t="s">
        <v>233</v>
      </c>
      <c r="L270">
        <f t="shared" si="4"/>
        <v>269</v>
      </c>
      <c r="M270">
        <f>COUNTIF($A$2:A270,A270)</f>
        <v>10</v>
      </c>
    </row>
    <row r="271" spans="1:13" x14ac:dyDescent="0.3">
      <c r="A271">
        <v>12296</v>
      </c>
      <c r="B271" t="s">
        <v>186</v>
      </c>
      <c r="C271" t="s">
        <v>212</v>
      </c>
      <c r="D271" t="s">
        <v>213</v>
      </c>
      <c r="E271">
        <v>38</v>
      </c>
      <c r="F271">
        <v>23.33</v>
      </c>
      <c r="G271">
        <v>63.33</v>
      </c>
      <c r="H271">
        <v>13.33</v>
      </c>
      <c r="I271">
        <v>0.01</v>
      </c>
      <c r="J271" s="1">
        <v>45927.77949572917</v>
      </c>
      <c r="K271" t="s">
        <v>233</v>
      </c>
      <c r="L271">
        <f t="shared" si="4"/>
        <v>270</v>
      </c>
      <c r="M271">
        <f>COUNTIF($A$2:A271,A271)</f>
        <v>11</v>
      </c>
    </row>
    <row r="272" spans="1:13" x14ac:dyDescent="0.3">
      <c r="A272">
        <v>12296</v>
      </c>
      <c r="B272" t="s">
        <v>186</v>
      </c>
      <c r="C272" t="s">
        <v>210</v>
      </c>
      <c r="D272" t="s">
        <v>211</v>
      </c>
      <c r="F272">
        <v>13.33</v>
      </c>
      <c r="G272">
        <v>70</v>
      </c>
      <c r="H272">
        <v>16.670000000000002</v>
      </c>
      <c r="I272">
        <v>0</v>
      </c>
      <c r="J272" s="1">
        <v>45927.779515428243</v>
      </c>
      <c r="K272" t="s">
        <v>233</v>
      </c>
      <c r="L272">
        <f t="shared" si="4"/>
        <v>271</v>
      </c>
      <c r="M272">
        <f>COUNTIF($A$2:A272,A272)</f>
        <v>12</v>
      </c>
    </row>
    <row r="273" spans="1:13" x14ac:dyDescent="0.3">
      <c r="A273">
        <v>12296</v>
      </c>
      <c r="B273" t="s">
        <v>186</v>
      </c>
      <c r="C273" t="s">
        <v>208</v>
      </c>
      <c r="D273" t="s">
        <v>209</v>
      </c>
      <c r="F273">
        <v>10</v>
      </c>
      <c r="G273">
        <v>73.33</v>
      </c>
      <c r="H273">
        <v>16.670000000000002</v>
      </c>
      <c r="I273">
        <v>0</v>
      </c>
      <c r="J273" s="1">
        <v>45927.779536678237</v>
      </c>
      <c r="K273" t="s">
        <v>233</v>
      </c>
      <c r="L273">
        <f t="shared" si="4"/>
        <v>272</v>
      </c>
      <c r="M273">
        <f>COUNTIF($A$2:A273,A273)</f>
        <v>13</v>
      </c>
    </row>
    <row r="274" spans="1:13" x14ac:dyDescent="0.3">
      <c r="A274">
        <v>12296</v>
      </c>
      <c r="B274" t="s">
        <v>186</v>
      </c>
      <c r="C274" t="s">
        <v>98</v>
      </c>
      <c r="D274" t="s">
        <v>99</v>
      </c>
      <c r="E274">
        <v>8</v>
      </c>
      <c r="F274">
        <v>83.33</v>
      </c>
      <c r="G274">
        <v>13.33</v>
      </c>
      <c r="H274">
        <v>3.33</v>
      </c>
      <c r="I274">
        <v>0.01</v>
      </c>
      <c r="J274" s="1">
        <v>45927.779552199077</v>
      </c>
      <c r="K274" t="s">
        <v>233</v>
      </c>
      <c r="L274">
        <f t="shared" si="4"/>
        <v>273</v>
      </c>
      <c r="M274">
        <f>COUNTIF($A$2:A274,A274)</f>
        <v>14</v>
      </c>
    </row>
    <row r="275" spans="1:13" x14ac:dyDescent="0.3">
      <c r="A275">
        <v>12296</v>
      </c>
      <c r="B275" t="s">
        <v>186</v>
      </c>
      <c r="C275" t="s">
        <v>206</v>
      </c>
      <c r="D275" t="s">
        <v>207</v>
      </c>
      <c r="E275">
        <v>13</v>
      </c>
      <c r="F275">
        <v>80</v>
      </c>
      <c r="G275">
        <v>13.33</v>
      </c>
      <c r="H275">
        <v>6.67</v>
      </c>
      <c r="I275">
        <v>0</v>
      </c>
      <c r="J275" s="1">
        <v>45927.779570254628</v>
      </c>
      <c r="K275" t="s">
        <v>233</v>
      </c>
      <c r="L275">
        <f t="shared" si="4"/>
        <v>274</v>
      </c>
      <c r="M275">
        <f>COUNTIF($A$2:A275,A275)</f>
        <v>15</v>
      </c>
    </row>
    <row r="276" spans="1:13" x14ac:dyDescent="0.3">
      <c r="A276">
        <v>12296</v>
      </c>
      <c r="B276" t="s">
        <v>186</v>
      </c>
      <c r="C276" t="s">
        <v>204</v>
      </c>
      <c r="D276" t="s">
        <v>205</v>
      </c>
      <c r="E276">
        <v>27</v>
      </c>
      <c r="F276">
        <v>36.67</v>
      </c>
      <c r="G276">
        <v>53.33</v>
      </c>
      <c r="H276">
        <v>10</v>
      </c>
      <c r="I276">
        <v>0</v>
      </c>
      <c r="J276" s="1">
        <v>45927.779586296296</v>
      </c>
      <c r="K276" t="s">
        <v>233</v>
      </c>
      <c r="L276">
        <f t="shared" si="4"/>
        <v>275</v>
      </c>
      <c r="M276">
        <f>COUNTIF($A$2:A276,A276)</f>
        <v>16</v>
      </c>
    </row>
    <row r="277" spans="1:13" x14ac:dyDescent="0.3">
      <c r="A277">
        <v>12296</v>
      </c>
      <c r="B277" t="s">
        <v>186</v>
      </c>
      <c r="C277" t="s">
        <v>96</v>
      </c>
      <c r="D277" t="s">
        <v>97</v>
      </c>
      <c r="E277">
        <v>22</v>
      </c>
      <c r="F277">
        <v>53.33</v>
      </c>
      <c r="G277">
        <v>36.67</v>
      </c>
      <c r="H277">
        <v>10</v>
      </c>
      <c r="I277">
        <v>0</v>
      </c>
      <c r="J277" s="1">
        <v>45927.77960603009</v>
      </c>
      <c r="K277" t="s">
        <v>233</v>
      </c>
      <c r="L277">
        <f t="shared" si="4"/>
        <v>276</v>
      </c>
      <c r="M277">
        <f>COUNTIF($A$2:A277,A277)</f>
        <v>17</v>
      </c>
    </row>
    <row r="278" spans="1:13" x14ac:dyDescent="0.3">
      <c r="A278">
        <v>12296</v>
      </c>
      <c r="B278" t="s">
        <v>186</v>
      </c>
      <c r="C278" t="s">
        <v>202</v>
      </c>
      <c r="D278" t="s">
        <v>203</v>
      </c>
      <c r="E278">
        <v>41</v>
      </c>
      <c r="F278">
        <v>13.33</v>
      </c>
      <c r="G278">
        <v>63.33</v>
      </c>
      <c r="H278">
        <v>23.33</v>
      </c>
      <c r="I278">
        <v>0.01</v>
      </c>
      <c r="J278" s="1">
        <v>45927.779623645831</v>
      </c>
      <c r="K278" t="s">
        <v>233</v>
      </c>
      <c r="L278">
        <f t="shared" si="4"/>
        <v>277</v>
      </c>
      <c r="M278">
        <f>COUNTIF($A$2:A278,A278)</f>
        <v>18</v>
      </c>
    </row>
    <row r="279" spans="1:13" x14ac:dyDescent="0.3">
      <c r="A279">
        <v>12296</v>
      </c>
      <c r="B279" t="s">
        <v>186</v>
      </c>
      <c r="C279" t="s">
        <v>200</v>
      </c>
      <c r="D279" t="s">
        <v>201</v>
      </c>
      <c r="F279">
        <v>6.67</v>
      </c>
      <c r="G279">
        <v>70</v>
      </c>
      <c r="H279">
        <v>23.33</v>
      </c>
      <c r="I279">
        <v>0</v>
      </c>
      <c r="J279" s="1">
        <v>45927.779645949071</v>
      </c>
      <c r="K279" t="s">
        <v>233</v>
      </c>
      <c r="L279">
        <f t="shared" si="4"/>
        <v>278</v>
      </c>
      <c r="M279">
        <f>COUNTIF($A$2:A279,A279)</f>
        <v>19</v>
      </c>
    </row>
    <row r="280" spans="1:13" x14ac:dyDescent="0.3">
      <c r="A280">
        <v>12296</v>
      </c>
      <c r="B280" t="s">
        <v>186</v>
      </c>
      <c r="C280" t="s">
        <v>94</v>
      </c>
      <c r="D280" t="s">
        <v>95</v>
      </c>
      <c r="E280">
        <v>10</v>
      </c>
      <c r="F280">
        <v>83.33</v>
      </c>
      <c r="G280">
        <v>16.670000000000002</v>
      </c>
      <c r="H280">
        <v>0</v>
      </c>
      <c r="I280">
        <v>0</v>
      </c>
      <c r="J280" s="1">
        <v>45927.779666296294</v>
      </c>
      <c r="K280" t="s">
        <v>233</v>
      </c>
      <c r="L280">
        <f t="shared" si="4"/>
        <v>279</v>
      </c>
      <c r="M280">
        <f>COUNTIF($A$2:A280,A280)</f>
        <v>20</v>
      </c>
    </row>
    <row r="281" spans="1:13" x14ac:dyDescent="0.3">
      <c r="A281">
        <v>12296</v>
      </c>
      <c r="B281" t="s">
        <v>186</v>
      </c>
      <c r="C281" t="s">
        <v>198</v>
      </c>
      <c r="D281" t="s">
        <v>199</v>
      </c>
      <c r="E281">
        <v>39</v>
      </c>
      <c r="F281">
        <v>3.33</v>
      </c>
      <c r="G281">
        <v>23.33</v>
      </c>
      <c r="H281">
        <v>10</v>
      </c>
      <c r="I281">
        <v>63.34</v>
      </c>
      <c r="J281" s="1">
        <v>45927.779683912035</v>
      </c>
      <c r="K281" t="s">
        <v>233</v>
      </c>
      <c r="L281">
        <f t="shared" si="4"/>
        <v>280</v>
      </c>
      <c r="M281">
        <f>COUNTIF($A$2:A281,A281)</f>
        <v>21</v>
      </c>
    </row>
    <row r="282" spans="1:13" x14ac:dyDescent="0.3">
      <c r="A282">
        <v>12296</v>
      </c>
      <c r="B282" t="s">
        <v>186</v>
      </c>
      <c r="C282" t="s">
        <v>196</v>
      </c>
      <c r="D282" t="s">
        <v>197</v>
      </c>
      <c r="E282">
        <v>43</v>
      </c>
      <c r="F282">
        <v>0</v>
      </c>
      <c r="G282">
        <v>86.67</v>
      </c>
      <c r="H282">
        <v>13.33</v>
      </c>
      <c r="I282">
        <v>0</v>
      </c>
      <c r="J282" s="1">
        <v>45927.77972820602</v>
      </c>
      <c r="K282" t="s">
        <v>233</v>
      </c>
      <c r="L282">
        <f t="shared" si="4"/>
        <v>281</v>
      </c>
      <c r="M282">
        <f>COUNTIF($A$2:A282,A282)</f>
        <v>22</v>
      </c>
    </row>
    <row r="283" spans="1:13" x14ac:dyDescent="0.3">
      <c r="A283">
        <v>12296</v>
      </c>
      <c r="B283" t="s">
        <v>186</v>
      </c>
      <c r="C283" t="s">
        <v>92</v>
      </c>
      <c r="D283" t="s">
        <v>93</v>
      </c>
      <c r="E283">
        <v>51</v>
      </c>
      <c r="F283">
        <v>6.67</v>
      </c>
      <c r="G283">
        <v>73.33</v>
      </c>
      <c r="H283">
        <v>20</v>
      </c>
      <c r="I283">
        <v>0</v>
      </c>
      <c r="J283" s="1">
        <v>45927.779746400462</v>
      </c>
      <c r="K283" t="s">
        <v>233</v>
      </c>
      <c r="L283">
        <f t="shared" si="4"/>
        <v>282</v>
      </c>
      <c r="M283">
        <f>COUNTIF($A$2:A283,A283)</f>
        <v>23</v>
      </c>
    </row>
    <row r="284" spans="1:13" x14ac:dyDescent="0.3">
      <c r="A284">
        <v>12296</v>
      </c>
      <c r="B284" t="s">
        <v>186</v>
      </c>
      <c r="C284" t="s">
        <v>90</v>
      </c>
      <c r="D284" t="s">
        <v>91</v>
      </c>
      <c r="E284">
        <v>57</v>
      </c>
      <c r="F284">
        <v>3.33</v>
      </c>
      <c r="G284">
        <v>63.33</v>
      </c>
      <c r="H284">
        <v>33.33</v>
      </c>
      <c r="I284">
        <v>0.01</v>
      </c>
      <c r="J284" s="1">
        <v>45927.779764282408</v>
      </c>
      <c r="K284" t="s">
        <v>233</v>
      </c>
      <c r="L284">
        <f t="shared" si="4"/>
        <v>283</v>
      </c>
      <c r="M284">
        <f>COUNTIF($A$2:A284,A284)</f>
        <v>24</v>
      </c>
    </row>
    <row r="285" spans="1:13" x14ac:dyDescent="0.3">
      <c r="A285">
        <v>12296</v>
      </c>
      <c r="B285" t="s">
        <v>186</v>
      </c>
      <c r="C285" t="s">
        <v>88</v>
      </c>
      <c r="D285" t="s">
        <v>89</v>
      </c>
      <c r="E285">
        <v>23</v>
      </c>
      <c r="F285">
        <v>46.67</v>
      </c>
      <c r="G285">
        <v>46.67</v>
      </c>
      <c r="H285">
        <v>6.67</v>
      </c>
      <c r="I285">
        <v>0</v>
      </c>
      <c r="J285" s="1">
        <v>45927.779808148145</v>
      </c>
      <c r="K285" t="s">
        <v>233</v>
      </c>
      <c r="L285">
        <f t="shared" si="4"/>
        <v>284</v>
      </c>
      <c r="M285">
        <f>COUNTIF($A$2:A285,A285)</f>
        <v>25</v>
      </c>
    </row>
    <row r="286" spans="1:13" x14ac:dyDescent="0.3">
      <c r="A286">
        <v>12296</v>
      </c>
      <c r="B286" t="s">
        <v>186</v>
      </c>
      <c r="C286" t="s">
        <v>174</v>
      </c>
      <c r="D286" t="s">
        <v>175</v>
      </c>
      <c r="E286">
        <v>29</v>
      </c>
      <c r="F286">
        <v>36.67</v>
      </c>
      <c r="G286">
        <v>53.33</v>
      </c>
      <c r="H286">
        <v>10</v>
      </c>
      <c r="I286">
        <v>0</v>
      </c>
      <c r="J286" s="1">
        <v>45927.779825358797</v>
      </c>
      <c r="K286" t="s">
        <v>233</v>
      </c>
      <c r="L286">
        <f t="shared" si="4"/>
        <v>285</v>
      </c>
      <c r="M286">
        <f>COUNTIF($A$2:A286,A286)</f>
        <v>26</v>
      </c>
    </row>
    <row r="287" spans="1:13" x14ac:dyDescent="0.3">
      <c r="A287">
        <v>12296</v>
      </c>
      <c r="B287" t="s">
        <v>186</v>
      </c>
      <c r="C287" t="s">
        <v>176</v>
      </c>
      <c r="D287" t="s">
        <v>177</v>
      </c>
      <c r="E287">
        <v>25</v>
      </c>
      <c r="F287">
        <v>46.67</v>
      </c>
      <c r="G287">
        <v>46.67</v>
      </c>
      <c r="H287">
        <v>6.67</v>
      </c>
      <c r="I287">
        <v>0</v>
      </c>
      <c r="J287" s="1">
        <v>45927.779870046295</v>
      </c>
      <c r="K287" t="s">
        <v>233</v>
      </c>
      <c r="L287">
        <f t="shared" si="4"/>
        <v>286</v>
      </c>
      <c r="M287">
        <f>COUNTIF($A$2:A287,A287)</f>
        <v>27</v>
      </c>
    </row>
    <row r="288" spans="1:13" x14ac:dyDescent="0.3">
      <c r="A288">
        <v>12296</v>
      </c>
      <c r="B288" t="s">
        <v>186</v>
      </c>
      <c r="C288" t="s">
        <v>178</v>
      </c>
      <c r="D288" t="s">
        <v>179</v>
      </c>
      <c r="E288">
        <v>14</v>
      </c>
      <c r="F288">
        <v>80</v>
      </c>
      <c r="G288">
        <v>13.33</v>
      </c>
      <c r="H288">
        <v>6.67</v>
      </c>
      <c r="I288">
        <v>0</v>
      </c>
      <c r="J288" s="1">
        <v>45927.779891342594</v>
      </c>
      <c r="K288" t="s">
        <v>233</v>
      </c>
      <c r="L288">
        <f t="shared" si="4"/>
        <v>287</v>
      </c>
      <c r="M288">
        <f>COUNTIF($A$2:A288,A288)</f>
        <v>28</v>
      </c>
    </row>
    <row r="289" spans="1:13" x14ac:dyDescent="0.3">
      <c r="A289">
        <v>12296</v>
      </c>
      <c r="B289" t="s">
        <v>186</v>
      </c>
      <c r="C289" t="s">
        <v>34</v>
      </c>
      <c r="D289" t="s">
        <v>35</v>
      </c>
      <c r="F289">
        <v>26.67</v>
      </c>
      <c r="G289">
        <v>66.67</v>
      </c>
      <c r="H289">
        <v>6.67</v>
      </c>
      <c r="I289">
        <v>0</v>
      </c>
      <c r="J289" s="1">
        <v>45927.779914189814</v>
      </c>
      <c r="K289" t="s">
        <v>233</v>
      </c>
      <c r="L289">
        <f t="shared" si="4"/>
        <v>288</v>
      </c>
      <c r="M289">
        <f>COUNTIF($A$2:A289,A289)</f>
        <v>29</v>
      </c>
    </row>
    <row r="290" spans="1:13" x14ac:dyDescent="0.3">
      <c r="A290">
        <v>12296</v>
      </c>
      <c r="B290" t="s">
        <v>186</v>
      </c>
      <c r="C290" t="s">
        <v>17</v>
      </c>
      <c r="D290" t="s">
        <v>18</v>
      </c>
      <c r="E290">
        <v>32</v>
      </c>
      <c r="F290">
        <v>26.67</v>
      </c>
      <c r="G290">
        <v>66.67</v>
      </c>
      <c r="H290">
        <v>6.67</v>
      </c>
      <c r="I290">
        <v>0</v>
      </c>
      <c r="J290" s="1">
        <v>45927.779959432868</v>
      </c>
      <c r="K290" t="s">
        <v>233</v>
      </c>
      <c r="L290">
        <f t="shared" si="4"/>
        <v>289</v>
      </c>
      <c r="M290">
        <f>COUNTIF($A$2:A290,A290)</f>
        <v>30</v>
      </c>
    </row>
    <row r="291" spans="1:13" x14ac:dyDescent="0.3">
      <c r="A291">
        <v>12296</v>
      </c>
      <c r="B291" t="s">
        <v>186</v>
      </c>
      <c r="C291" t="s">
        <v>19</v>
      </c>
      <c r="D291" t="s">
        <v>20</v>
      </c>
      <c r="E291">
        <v>37</v>
      </c>
      <c r="F291">
        <v>46.67</v>
      </c>
      <c r="G291">
        <v>40</v>
      </c>
      <c r="H291">
        <v>13.33</v>
      </c>
      <c r="I291">
        <v>0</v>
      </c>
      <c r="J291" s="1">
        <v>45927.77999909722</v>
      </c>
      <c r="K291" t="s">
        <v>233</v>
      </c>
      <c r="L291">
        <f t="shared" si="4"/>
        <v>290</v>
      </c>
      <c r="M291">
        <f>COUNTIF($A$2:A291,A291)</f>
        <v>31</v>
      </c>
    </row>
    <row r="292" spans="1:13" x14ac:dyDescent="0.3">
      <c r="A292">
        <v>12296</v>
      </c>
      <c r="B292" t="s">
        <v>186</v>
      </c>
      <c r="C292" t="s">
        <v>21</v>
      </c>
      <c r="D292" t="s">
        <v>22</v>
      </c>
      <c r="E292">
        <v>31</v>
      </c>
      <c r="F292">
        <v>56.67</v>
      </c>
      <c r="G292">
        <v>30</v>
      </c>
      <c r="H292">
        <v>13.33</v>
      </c>
      <c r="I292">
        <v>0</v>
      </c>
      <c r="J292" s="1">
        <v>45927.780041597223</v>
      </c>
      <c r="K292" t="s">
        <v>233</v>
      </c>
      <c r="L292">
        <f t="shared" si="4"/>
        <v>291</v>
      </c>
      <c r="M292">
        <f>COUNTIF($A$2:A292,A292)</f>
        <v>32</v>
      </c>
    </row>
    <row r="293" spans="1:13" x14ac:dyDescent="0.3">
      <c r="A293">
        <v>12296</v>
      </c>
      <c r="B293" t="s">
        <v>186</v>
      </c>
      <c r="C293" t="s">
        <v>194</v>
      </c>
      <c r="D293" t="s">
        <v>195</v>
      </c>
      <c r="E293">
        <v>46</v>
      </c>
      <c r="F293">
        <v>30</v>
      </c>
      <c r="G293">
        <v>56.67</v>
      </c>
      <c r="H293">
        <v>13.33</v>
      </c>
      <c r="I293">
        <v>0</v>
      </c>
      <c r="J293" s="1">
        <v>45927.780084803242</v>
      </c>
      <c r="K293" t="s">
        <v>233</v>
      </c>
      <c r="L293">
        <f t="shared" si="4"/>
        <v>292</v>
      </c>
      <c r="M293">
        <f>COUNTIF($A$2:A293,A293)</f>
        <v>33</v>
      </c>
    </row>
    <row r="294" spans="1:13" x14ac:dyDescent="0.3">
      <c r="A294">
        <v>12296</v>
      </c>
      <c r="B294" t="s">
        <v>186</v>
      </c>
      <c r="C294" t="s">
        <v>192</v>
      </c>
      <c r="D294" t="s">
        <v>193</v>
      </c>
      <c r="E294">
        <v>49</v>
      </c>
      <c r="F294">
        <v>20</v>
      </c>
      <c r="G294">
        <v>66.67</v>
      </c>
      <c r="H294">
        <v>13.33</v>
      </c>
      <c r="I294">
        <v>0</v>
      </c>
      <c r="J294" s="1">
        <v>45927.780128622682</v>
      </c>
      <c r="K294" t="s">
        <v>233</v>
      </c>
      <c r="L294">
        <f t="shared" si="4"/>
        <v>293</v>
      </c>
      <c r="M294">
        <f>COUNTIF($A$2:A294,A294)</f>
        <v>34</v>
      </c>
    </row>
    <row r="295" spans="1:13" x14ac:dyDescent="0.3">
      <c r="A295">
        <v>12296</v>
      </c>
      <c r="B295" t="s">
        <v>186</v>
      </c>
      <c r="C295" t="s">
        <v>190</v>
      </c>
      <c r="D295" t="s">
        <v>191</v>
      </c>
      <c r="E295">
        <v>45</v>
      </c>
      <c r="F295">
        <v>20</v>
      </c>
      <c r="G295">
        <v>66.67</v>
      </c>
      <c r="H295">
        <v>13.33</v>
      </c>
      <c r="I295">
        <v>0</v>
      </c>
      <c r="J295" s="1">
        <v>45927.780170219907</v>
      </c>
      <c r="K295" t="s">
        <v>233</v>
      </c>
      <c r="L295">
        <f t="shared" si="4"/>
        <v>294</v>
      </c>
      <c r="M295">
        <f>COUNTIF($A$2:A295,A295)</f>
        <v>35</v>
      </c>
    </row>
    <row r="296" spans="1:13" x14ac:dyDescent="0.3">
      <c r="A296">
        <v>12296</v>
      </c>
      <c r="B296" t="s">
        <v>186</v>
      </c>
      <c r="C296" t="s">
        <v>187</v>
      </c>
      <c r="D296" t="s">
        <v>188</v>
      </c>
      <c r="E296">
        <v>10</v>
      </c>
      <c r="F296">
        <v>86.67</v>
      </c>
      <c r="G296">
        <v>0</v>
      </c>
      <c r="H296">
        <v>13.33</v>
      </c>
      <c r="I296">
        <v>0</v>
      </c>
      <c r="J296" s="1">
        <v>45927.780214178238</v>
      </c>
      <c r="K296" t="s">
        <v>233</v>
      </c>
      <c r="L296">
        <f t="shared" si="4"/>
        <v>295</v>
      </c>
      <c r="M296">
        <f>COUNTIF($A$2:A296,A296)</f>
        <v>36</v>
      </c>
    </row>
    <row r="297" spans="1:13" x14ac:dyDescent="0.3">
      <c r="A297">
        <v>12841</v>
      </c>
      <c r="B297" t="s">
        <v>234</v>
      </c>
      <c r="C297" t="s">
        <v>114</v>
      </c>
      <c r="D297" t="s">
        <v>115</v>
      </c>
      <c r="E297">
        <v>18</v>
      </c>
      <c r="F297">
        <v>53.33</v>
      </c>
      <c r="G297">
        <v>30</v>
      </c>
      <c r="H297">
        <v>6.67</v>
      </c>
      <c r="I297">
        <v>10</v>
      </c>
      <c r="J297" s="1">
        <v>45927.780250150463</v>
      </c>
      <c r="K297" t="s">
        <v>235</v>
      </c>
      <c r="L297">
        <f t="shared" si="4"/>
        <v>296</v>
      </c>
      <c r="M297">
        <f>COUNTIF($A$2:A297,A297)</f>
        <v>1</v>
      </c>
    </row>
    <row r="298" spans="1:13" x14ac:dyDescent="0.3">
      <c r="A298">
        <v>12841</v>
      </c>
      <c r="B298" t="s">
        <v>234</v>
      </c>
      <c r="C298" t="s">
        <v>236</v>
      </c>
      <c r="D298" t="s">
        <v>237</v>
      </c>
      <c r="F298">
        <v>10</v>
      </c>
      <c r="G298">
        <v>0</v>
      </c>
      <c r="H298">
        <v>0</v>
      </c>
      <c r="I298">
        <v>90</v>
      </c>
      <c r="J298" s="1">
        <v>45927.780270474534</v>
      </c>
      <c r="K298" t="s">
        <v>235</v>
      </c>
      <c r="L298">
        <f t="shared" si="4"/>
        <v>297</v>
      </c>
      <c r="M298">
        <f>COUNTIF($A$2:A298,A298)</f>
        <v>2</v>
      </c>
    </row>
    <row r="299" spans="1:13" x14ac:dyDescent="0.3">
      <c r="A299">
        <v>12841</v>
      </c>
      <c r="B299" t="s">
        <v>234</v>
      </c>
      <c r="C299" t="s">
        <v>181</v>
      </c>
      <c r="D299" t="s">
        <v>182</v>
      </c>
      <c r="E299">
        <v>20</v>
      </c>
      <c r="F299">
        <v>63.33</v>
      </c>
      <c r="G299">
        <v>26.67</v>
      </c>
      <c r="H299">
        <v>10</v>
      </c>
      <c r="I299">
        <v>0</v>
      </c>
      <c r="J299" s="1">
        <v>45927.780288726855</v>
      </c>
      <c r="K299" t="s">
        <v>235</v>
      </c>
      <c r="L299">
        <f t="shared" si="4"/>
        <v>298</v>
      </c>
      <c r="M299">
        <f>COUNTIF($A$2:A299,A299)</f>
        <v>3</v>
      </c>
    </row>
    <row r="300" spans="1:13" x14ac:dyDescent="0.3">
      <c r="A300">
        <v>12841</v>
      </c>
      <c r="B300" t="s">
        <v>234</v>
      </c>
      <c r="C300" t="s">
        <v>117</v>
      </c>
      <c r="D300" t="s">
        <v>118</v>
      </c>
      <c r="E300">
        <v>34</v>
      </c>
      <c r="F300">
        <v>23.33</v>
      </c>
      <c r="G300">
        <v>60</v>
      </c>
      <c r="H300">
        <v>16.670000000000002</v>
      </c>
      <c r="I300">
        <v>0</v>
      </c>
      <c r="J300" s="1">
        <v>45927.780304027779</v>
      </c>
      <c r="K300" t="s">
        <v>235</v>
      </c>
      <c r="L300">
        <f t="shared" si="4"/>
        <v>299</v>
      </c>
      <c r="M300">
        <f>COUNTIF($A$2:A300,A300)</f>
        <v>4</v>
      </c>
    </row>
    <row r="301" spans="1:13" x14ac:dyDescent="0.3">
      <c r="A301">
        <v>12841</v>
      </c>
      <c r="B301" t="s">
        <v>234</v>
      </c>
      <c r="C301" t="s">
        <v>119</v>
      </c>
      <c r="D301" t="s">
        <v>120</v>
      </c>
      <c r="E301">
        <v>53</v>
      </c>
      <c r="F301">
        <v>10</v>
      </c>
      <c r="G301">
        <v>60</v>
      </c>
      <c r="H301">
        <v>30</v>
      </c>
      <c r="I301">
        <v>0</v>
      </c>
      <c r="J301" s="1">
        <v>45927.780324247688</v>
      </c>
      <c r="K301" t="s">
        <v>235</v>
      </c>
      <c r="L301">
        <f t="shared" si="4"/>
        <v>300</v>
      </c>
      <c r="M301">
        <f>COUNTIF($A$2:A301,A301)</f>
        <v>5</v>
      </c>
    </row>
    <row r="302" spans="1:13" x14ac:dyDescent="0.3">
      <c r="A302">
        <v>12841</v>
      </c>
      <c r="B302" t="s">
        <v>234</v>
      </c>
      <c r="C302" t="s">
        <v>121</v>
      </c>
      <c r="D302" t="s">
        <v>122</v>
      </c>
      <c r="F302">
        <v>46.67</v>
      </c>
      <c r="G302">
        <v>33.33</v>
      </c>
      <c r="H302">
        <v>20</v>
      </c>
      <c r="I302">
        <v>0</v>
      </c>
      <c r="J302" s="1">
        <v>45927.780347465276</v>
      </c>
      <c r="K302" t="s">
        <v>235</v>
      </c>
      <c r="L302">
        <f t="shared" si="4"/>
        <v>301</v>
      </c>
      <c r="M302">
        <f>COUNTIF($A$2:A302,A302)</f>
        <v>6</v>
      </c>
    </row>
    <row r="303" spans="1:13" x14ac:dyDescent="0.3">
      <c r="A303">
        <v>12841</v>
      </c>
      <c r="B303" t="s">
        <v>234</v>
      </c>
      <c r="C303" t="s">
        <v>123</v>
      </c>
      <c r="D303" t="s">
        <v>124</v>
      </c>
      <c r="E303">
        <v>36</v>
      </c>
      <c r="F303">
        <v>46.67</v>
      </c>
      <c r="G303">
        <v>33.33</v>
      </c>
      <c r="H303">
        <v>20</v>
      </c>
      <c r="I303">
        <v>0</v>
      </c>
      <c r="J303" s="1">
        <v>45927.780367534724</v>
      </c>
      <c r="K303" t="s">
        <v>235</v>
      </c>
      <c r="L303">
        <f t="shared" si="4"/>
        <v>302</v>
      </c>
      <c r="M303">
        <f>COUNTIF($A$2:A303,A303)</f>
        <v>7</v>
      </c>
    </row>
    <row r="304" spans="1:13" x14ac:dyDescent="0.3">
      <c r="A304">
        <v>12841</v>
      </c>
      <c r="B304" t="s">
        <v>234</v>
      </c>
      <c r="C304" t="s">
        <v>125</v>
      </c>
      <c r="D304" t="s">
        <v>126</v>
      </c>
      <c r="E304">
        <v>48</v>
      </c>
      <c r="F304">
        <v>20</v>
      </c>
      <c r="G304">
        <v>50</v>
      </c>
      <c r="H304">
        <v>30</v>
      </c>
      <c r="I304">
        <v>0</v>
      </c>
      <c r="J304" s="1">
        <v>45927.78038478009</v>
      </c>
      <c r="K304" t="s">
        <v>235</v>
      </c>
      <c r="L304">
        <f t="shared" si="4"/>
        <v>303</v>
      </c>
      <c r="M304">
        <f>COUNTIF($A$2:A304,A304)</f>
        <v>8</v>
      </c>
    </row>
    <row r="305" spans="1:13" x14ac:dyDescent="0.3">
      <c r="A305">
        <v>12841</v>
      </c>
      <c r="B305" t="s">
        <v>234</v>
      </c>
      <c r="C305" t="s">
        <v>127</v>
      </c>
      <c r="D305" t="s">
        <v>128</v>
      </c>
      <c r="E305">
        <v>49</v>
      </c>
      <c r="F305">
        <v>23.33</v>
      </c>
      <c r="G305">
        <v>50</v>
      </c>
      <c r="H305">
        <v>26.67</v>
      </c>
      <c r="I305">
        <v>0</v>
      </c>
      <c r="J305" s="1">
        <v>45927.780404513891</v>
      </c>
      <c r="K305" t="s">
        <v>235</v>
      </c>
      <c r="L305">
        <f t="shared" si="4"/>
        <v>304</v>
      </c>
      <c r="M305">
        <f>COUNTIF($A$2:A305,A305)</f>
        <v>9</v>
      </c>
    </row>
    <row r="306" spans="1:13" x14ac:dyDescent="0.3">
      <c r="A306">
        <v>12841</v>
      </c>
      <c r="B306" t="s">
        <v>234</v>
      </c>
      <c r="C306" t="s">
        <v>129</v>
      </c>
      <c r="D306" t="s">
        <v>130</v>
      </c>
      <c r="E306">
        <v>71</v>
      </c>
      <c r="F306">
        <v>3.33</v>
      </c>
      <c r="G306">
        <v>50</v>
      </c>
      <c r="H306">
        <v>46.67</v>
      </c>
      <c r="I306">
        <v>0</v>
      </c>
      <c r="J306" s="1">
        <v>45927.78042333333</v>
      </c>
      <c r="K306" t="s">
        <v>235</v>
      </c>
      <c r="L306">
        <f t="shared" si="4"/>
        <v>305</v>
      </c>
      <c r="M306">
        <f>COUNTIF($A$2:A306,A306)</f>
        <v>10</v>
      </c>
    </row>
    <row r="307" spans="1:13" x14ac:dyDescent="0.3">
      <c r="A307">
        <v>12841</v>
      </c>
      <c r="B307" t="s">
        <v>234</v>
      </c>
      <c r="C307" t="s">
        <v>135</v>
      </c>
      <c r="D307" t="s">
        <v>136</v>
      </c>
      <c r="E307">
        <v>63</v>
      </c>
      <c r="F307">
        <v>6.67</v>
      </c>
      <c r="G307">
        <v>50</v>
      </c>
      <c r="H307">
        <v>43.33</v>
      </c>
      <c r="I307">
        <v>0</v>
      </c>
      <c r="J307" s="1">
        <v>45927.780443333337</v>
      </c>
      <c r="K307" t="s">
        <v>235</v>
      </c>
      <c r="L307">
        <f t="shared" si="4"/>
        <v>306</v>
      </c>
      <c r="M307">
        <f>COUNTIF($A$2:A307,A307)</f>
        <v>11</v>
      </c>
    </row>
    <row r="308" spans="1:13" x14ac:dyDescent="0.3">
      <c r="A308">
        <v>12841</v>
      </c>
      <c r="B308" t="s">
        <v>234</v>
      </c>
      <c r="C308" t="s">
        <v>151</v>
      </c>
      <c r="D308" t="s">
        <v>152</v>
      </c>
      <c r="E308">
        <v>48</v>
      </c>
      <c r="F308">
        <v>50</v>
      </c>
      <c r="G308">
        <v>23.33</v>
      </c>
      <c r="H308">
        <v>26.67</v>
      </c>
      <c r="I308">
        <v>0</v>
      </c>
      <c r="J308" s="1">
        <v>45927.780458194444</v>
      </c>
      <c r="K308" t="s">
        <v>235</v>
      </c>
      <c r="L308">
        <f t="shared" si="4"/>
        <v>307</v>
      </c>
      <c r="M308">
        <f>COUNTIF($A$2:A308,A308)</f>
        <v>12</v>
      </c>
    </row>
    <row r="309" spans="1:13" x14ac:dyDescent="0.3">
      <c r="A309">
        <v>12841</v>
      </c>
      <c r="B309" t="s">
        <v>234</v>
      </c>
      <c r="C309" t="s">
        <v>160</v>
      </c>
      <c r="D309" t="s">
        <v>161</v>
      </c>
      <c r="F309">
        <v>0</v>
      </c>
      <c r="G309">
        <v>63.33</v>
      </c>
      <c r="H309">
        <v>36.67</v>
      </c>
      <c r="I309">
        <v>0</v>
      </c>
      <c r="J309" s="1">
        <v>45927.780481319445</v>
      </c>
      <c r="K309" t="s">
        <v>235</v>
      </c>
      <c r="L309">
        <f t="shared" si="4"/>
        <v>308</v>
      </c>
      <c r="M309">
        <f>COUNTIF($A$2:A309,A309)</f>
        <v>13</v>
      </c>
    </row>
    <row r="310" spans="1:13" x14ac:dyDescent="0.3">
      <c r="A310">
        <v>12841</v>
      </c>
      <c r="B310" t="s">
        <v>234</v>
      </c>
      <c r="C310" t="s">
        <v>164</v>
      </c>
      <c r="D310" t="s">
        <v>165</v>
      </c>
      <c r="E310">
        <v>71</v>
      </c>
      <c r="F310">
        <v>6.67</v>
      </c>
      <c r="G310">
        <v>60</v>
      </c>
      <c r="H310">
        <v>33.33</v>
      </c>
      <c r="I310">
        <v>0</v>
      </c>
      <c r="J310" s="1">
        <v>45927.780500624998</v>
      </c>
      <c r="K310" t="s">
        <v>235</v>
      </c>
      <c r="L310">
        <f t="shared" si="4"/>
        <v>309</v>
      </c>
      <c r="M310">
        <f>COUNTIF($A$2:A310,A310)</f>
        <v>14</v>
      </c>
    </row>
    <row r="311" spans="1:13" x14ac:dyDescent="0.3">
      <c r="A311">
        <v>12841</v>
      </c>
      <c r="B311" t="s">
        <v>234</v>
      </c>
      <c r="C311" t="s">
        <v>166</v>
      </c>
      <c r="D311" t="s">
        <v>167</v>
      </c>
      <c r="E311">
        <v>71</v>
      </c>
      <c r="F311">
        <v>3.33</v>
      </c>
      <c r="G311">
        <v>63.33</v>
      </c>
      <c r="H311">
        <v>33.33</v>
      </c>
      <c r="I311">
        <v>0.01</v>
      </c>
      <c r="J311" s="1">
        <v>45927.780519259257</v>
      </c>
      <c r="K311" t="s">
        <v>235</v>
      </c>
      <c r="L311">
        <f t="shared" si="4"/>
        <v>310</v>
      </c>
      <c r="M311">
        <f>COUNTIF($A$2:A311,A311)</f>
        <v>15</v>
      </c>
    </row>
    <row r="312" spans="1:13" x14ac:dyDescent="0.3">
      <c r="A312">
        <v>12841</v>
      </c>
      <c r="B312" t="s">
        <v>234</v>
      </c>
      <c r="C312" t="s">
        <v>88</v>
      </c>
      <c r="D312" t="s">
        <v>89</v>
      </c>
      <c r="E312">
        <v>45</v>
      </c>
      <c r="F312">
        <v>40</v>
      </c>
      <c r="G312">
        <v>33.33</v>
      </c>
      <c r="H312">
        <v>26.67</v>
      </c>
      <c r="I312">
        <v>0</v>
      </c>
      <c r="J312" s="1">
        <v>45927.780535011574</v>
      </c>
      <c r="K312" t="s">
        <v>235</v>
      </c>
      <c r="L312">
        <f t="shared" si="4"/>
        <v>311</v>
      </c>
      <c r="M312">
        <f>COUNTIF($A$2:A312,A312)</f>
        <v>16</v>
      </c>
    </row>
    <row r="313" spans="1:13" x14ac:dyDescent="0.3">
      <c r="A313">
        <v>12841</v>
      </c>
      <c r="B313" t="s">
        <v>234</v>
      </c>
      <c r="C313" t="s">
        <v>12</v>
      </c>
      <c r="D313" t="s">
        <v>13</v>
      </c>
      <c r="E313">
        <v>21</v>
      </c>
      <c r="F313">
        <v>66.67</v>
      </c>
      <c r="G313">
        <v>10</v>
      </c>
      <c r="H313">
        <v>23.33</v>
      </c>
      <c r="I313">
        <v>0</v>
      </c>
      <c r="J313" s="1">
        <v>45927.780550729163</v>
      </c>
      <c r="K313" t="s">
        <v>235</v>
      </c>
      <c r="L313">
        <f t="shared" si="4"/>
        <v>312</v>
      </c>
      <c r="M313">
        <f>COUNTIF($A$2:A313,A313)</f>
        <v>17</v>
      </c>
    </row>
    <row r="314" spans="1:13" x14ac:dyDescent="0.3">
      <c r="A314">
        <v>12842</v>
      </c>
      <c r="B314" t="s">
        <v>234</v>
      </c>
      <c r="C314" t="s">
        <v>12</v>
      </c>
      <c r="D314" t="s">
        <v>13</v>
      </c>
      <c r="E314">
        <v>31</v>
      </c>
      <c r="F314">
        <v>76.67</v>
      </c>
      <c r="G314">
        <v>10</v>
      </c>
      <c r="H314">
        <v>13.33</v>
      </c>
      <c r="I314">
        <v>0</v>
      </c>
      <c r="J314" s="1">
        <v>45927.780615393516</v>
      </c>
      <c r="K314" t="s">
        <v>238</v>
      </c>
      <c r="L314">
        <f t="shared" si="4"/>
        <v>313</v>
      </c>
      <c r="M314">
        <f>COUNTIF($A$2:A314,A314)</f>
        <v>1</v>
      </c>
    </row>
    <row r="315" spans="1:13" x14ac:dyDescent="0.3">
      <c r="A315">
        <v>12842</v>
      </c>
      <c r="B315" t="s">
        <v>234</v>
      </c>
      <c r="C315" t="s">
        <v>174</v>
      </c>
      <c r="D315" t="s">
        <v>175</v>
      </c>
      <c r="E315">
        <v>50</v>
      </c>
      <c r="F315">
        <v>36.67</v>
      </c>
      <c r="G315">
        <v>43.33</v>
      </c>
      <c r="H315">
        <v>20</v>
      </c>
      <c r="I315">
        <v>0</v>
      </c>
      <c r="J315" s="1">
        <v>45927.780635509262</v>
      </c>
      <c r="K315" t="s">
        <v>238</v>
      </c>
      <c r="L315">
        <f t="shared" si="4"/>
        <v>314</v>
      </c>
      <c r="M315">
        <f>COUNTIF($A$2:A315,A315)</f>
        <v>2</v>
      </c>
    </row>
    <row r="316" spans="1:13" x14ac:dyDescent="0.3">
      <c r="A316">
        <v>12842</v>
      </c>
      <c r="B316" t="s">
        <v>234</v>
      </c>
      <c r="C316" t="s">
        <v>88</v>
      </c>
      <c r="D316" t="s">
        <v>89</v>
      </c>
      <c r="E316">
        <v>56</v>
      </c>
      <c r="F316">
        <v>16.670000000000002</v>
      </c>
      <c r="G316">
        <v>60</v>
      </c>
      <c r="H316">
        <v>23.33</v>
      </c>
      <c r="I316">
        <v>0</v>
      </c>
      <c r="J316" s="1">
        <v>45927.780653946757</v>
      </c>
      <c r="K316" t="s">
        <v>238</v>
      </c>
      <c r="L316">
        <f t="shared" si="4"/>
        <v>315</v>
      </c>
      <c r="M316">
        <f>COUNTIF($A$2:A316,A316)</f>
        <v>3</v>
      </c>
    </row>
    <row r="317" spans="1:13" x14ac:dyDescent="0.3">
      <c r="A317">
        <v>12842</v>
      </c>
      <c r="B317" t="s">
        <v>234</v>
      </c>
      <c r="C317" t="s">
        <v>166</v>
      </c>
      <c r="D317" t="s">
        <v>167</v>
      </c>
      <c r="E317">
        <v>68</v>
      </c>
      <c r="F317">
        <v>3.33</v>
      </c>
      <c r="G317">
        <v>70</v>
      </c>
      <c r="H317">
        <v>26.67</v>
      </c>
      <c r="I317">
        <v>0</v>
      </c>
      <c r="J317" s="1">
        <v>45927.780669143518</v>
      </c>
      <c r="K317" t="s">
        <v>238</v>
      </c>
      <c r="L317">
        <f t="shared" si="4"/>
        <v>316</v>
      </c>
      <c r="M317">
        <f>COUNTIF($A$2:A317,A317)</f>
        <v>4</v>
      </c>
    </row>
    <row r="318" spans="1:13" x14ac:dyDescent="0.3">
      <c r="A318">
        <v>12842</v>
      </c>
      <c r="B318" t="s">
        <v>234</v>
      </c>
      <c r="C318" t="s">
        <v>164</v>
      </c>
      <c r="D318" t="s">
        <v>165</v>
      </c>
      <c r="E318">
        <v>75</v>
      </c>
      <c r="F318">
        <v>3.33</v>
      </c>
      <c r="G318">
        <v>56.67</v>
      </c>
      <c r="H318">
        <v>40</v>
      </c>
      <c r="I318">
        <v>0</v>
      </c>
      <c r="J318" s="1">
        <v>45927.780689259256</v>
      </c>
      <c r="K318" t="s">
        <v>238</v>
      </c>
      <c r="L318">
        <f t="shared" si="4"/>
        <v>317</v>
      </c>
      <c r="M318">
        <f>COUNTIF($A$2:A318,A318)</f>
        <v>5</v>
      </c>
    </row>
    <row r="319" spans="1:13" x14ac:dyDescent="0.3">
      <c r="A319">
        <v>12842</v>
      </c>
      <c r="B319" t="s">
        <v>234</v>
      </c>
      <c r="C319" t="s">
        <v>160</v>
      </c>
      <c r="D319" t="s">
        <v>161</v>
      </c>
      <c r="E319">
        <v>100</v>
      </c>
      <c r="F319">
        <v>0</v>
      </c>
      <c r="G319">
        <v>16.670000000000002</v>
      </c>
      <c r="H319">
        <v>83.33</v>
      </c>
      <c r="I319">
        <v>0</v>
      </c>
      <c r="J319" s="1">
        <v>45927.780709340281</v>
      </c>
      <c r="K319" t="s">
        <v>238</v>
      </c>
      <c r="L319">
        <f t="shared" si="4"/>
        <v>318</v>
      </c>
      <c r="M319">
        <f>COUNTIF($A$2:A319,A319)</f>
        <v>6</v>
      </c>
    </row>
    <row r="320" spans="1:13" x14ac:dyDescent="0.3">
      <c r="A320">
        <v>12842</v>
      </c>
      <c r="B320" t="s">
        <v>234</v>
      </c>
      <c r="C320" t="s">
        <v>151</v>
      </c>
      <c r="D320" t="s">
        <v>152</v>
      </c>
      <c r="E320">
        <v>35</v>
      </c>
      <c r="F320">
        <v>60</v>
      </c>
      <c r="G320">
        <v>23.33</v>
      </c>
      <c r="H320">
        <v>16.670000000000002</v>
      </c>
      <c r="I320">
        <v>0</v>
      </c>
      <c r="J320" s="1">
        <v>45927.780728900463</v>
      </c>
      <c r="K320" t="s">
        <v>238</v>
      </c>
      <c r="L320">
        <f t="shared" si="4"/>
        <v>319</v>
      </c>
      <c r="M320">
        <f>COUNTIF($A$2:A320,A320)</f>
        <v>7</v>
      </c>
    </row>
    <row r="321" spans="1:13" x14ac:dyDescent="0.3">
      <c r="A321">
        <v>12842</v>
      </c>
      <c r="B321" t="s">
        <v>234</v>
      </c>
      <c r="C321" t="s">
        <v>135</v>
      </c>
      <c r="D321" t="s">
        <v>136</v>
      </c>
      <c r="F321">
        <v>20</v>
      </c>
      <c r="G321">
        <v>53.33</v>
      </c>
      <c r="H321">
        <v>26.67</v>
      </c>
      <c r="I321">
        <v>0</v>
      </c>
      <c r="J321" s="1">
        <v>45927.78075164352</v>
      </c>
      <c r="K321" t="s">
        <v>238</v>
      </c>
      <c r="L321">
        <f t="shared" si="4"/>
        <v>320</v>
      </c>
      <c r="M321">
        <f>COUNTIF($A$2:A321,A321)</f>
        <v>8</v>
      </c>
    </row>
    <row r="322" spans="1:13" x14ac:dyDescent="0.3">
      <c r="A322">
        <v>12842</v>
      </c>
      <c r="B322" t="s">
        <v>234</v>
      </c>
      <c r="C322" t="s">
        <v>129</v>
      </c>
      <c r="D322" t="s">
        <v>130</v>
      </c>
      <c r="E322">
        <v>79</v>
      </c>
      <c r="F322">
        <v>0</v>
      </c>
      <c r="G322">
        <v>60</v>
      </c>
      <c r="H322">
        <v>40</v>
      </c>
      <c r="I322">
        <v>0</v>
      </c>
      <c r="J322" s="1">
        <v>45927.780768287033</v>
      </c>
      <c r="K322" t="s">
        <v>238</v>
      </c>
      <c r="L322">
        <f t="shared" ref="L322:L385" si="5">ROW()-1</f>
        <v>321</v>
      </c>
      <c r="M322">
        <f>COUNTIF($A$2:A322,A322)</f>
        <v>9</v>
      </c>
    </row>
    <row r="323" spans="1:13" x14ac:dyDescent="0.3">
      <c r="A323">
        <v>12842</v>
      </c>
      <c r="B323" t="s">
        <v>234</v>
      </c>
      <c r="C323" t="s">
        <v>127</v>
      </c>
      <c r="D323" t="s">
        <v>128</v>
      </c>
      <c r="E323">
        <v>77</v>
      </c>
      <c r="F323">
        <v>0</v>
      </c>
      <c r="G323">
        <v>56.67</v>
      </c>
      <c r="H323">
        <v>43.33</v>
      </c>
      <c r="I323">
        <v>0</v>
      </c>
      <c r="J323" s="1">
        <v>45927.780784178241</v>
      </c>
      <c r="K323" t="s">
        <v>238</v>
      </c>
      <c r="L323">
        <f t="shared" si="5"/>
        <v>322</v>
      </c>
      <c r="M323">
        <f>COUNTIF($A$2:A323,A323)</f>
        <v>10</v>
      </c>
    </row>
    <row r="324" spans="1:13" x14ac:dyDescent="0.3">
      <c r="A324">
        <v>12842</v>
      </c>
      <c r="B324" t="s">
        <v>234</v>
      </c>
      <c r="C324" t="s">
        <v>125</v>
      </c>
      <c r="D324" t="s">
        <v>126</v>
      </c>
      <c r="E324">
        <v>80</v>
      </c>
      <c r="F324">
        <v>0</v>
      </c>
      <c r="G324">
        <v>53.33</v>
      </c>
      <c r="H324">
        <v>46.67</v>
      </c>
      <c r="I324">
        <v>0</v>
      </c>
      <c r="J324" s="1">
        <v>45927.780801608795</v>
      </c>
      <c r="K324" t="s">
        <v>238</v>
      </c>
      <c r="L324">
        <f t="shared" si="5"/>
        <v>323</v>
      </c>
      <c r="M324">
        <f>COUNTIF($A$2:A324,A324)</f>
        <v>11</v>
      </c>
    </row>
    <row r="325" spans="1:13" x14ac:dyDescent="0.3">
      <c r="A325">
        <v>12842</v>
      </c>
      <c r="B325" t="s">
        <v>234</v>
      </c>
      <c r="C325" t="s">
        <v>123</v>
      </c>
      <c r="D325" t="s">
        <v>124</v>
      </c>
      <c r="E325">
        <v>104</v>
      </c>
      <c r="F325">
        <v>0</v>
      </c>
      <c r="G325">
        <v>13.33</v>
      </c>
      <c r="H325">
        <v>86.67</v>
      </c>
      <c r="I325">
        <v>0</v>
      </c>
      <c r="J325" s="1">
        <v>45927.780819814812</v>
      </c>
      <c r="K325" t="s">
        <v>238</v>
      </c>
      <c r="L325">
        <f t="shared" si="5"/>
        <v>324</v>
      </c>
      <c r="M325">
        <f>COUNTIF($A$2:A325,A325)</f>
        <v>12</v>
      </c>
    </row>
    <row r="326" spans="1:13" x14ac:dyDescent="0.3">
      <c r="A326">
        <v>12842</v>
      </c>
      <c r="B326" t="s">
        <v>234</v>
      </c>
      <c r="C326" t="s">
        <v>121</v>
      </c>
      <c r="D326" t="s">
        <v>122</v>
      </c>
      <c r="E326">
        <v>45</v>
      </c>
      <c r="F326">
        <v>40</v>
      </c>
      <c r="G326">
        <v>36.67</v>
      </c>
      <c r="H326">
        <v>23.33</v>
      </c>
      <c r="I326">
        <v>0</v>
      </c>
      <c r="J326" s="1">
        <v>45927.780836550926</v>
      </c>
      <c r="K326" t="s">
        <v>238</v>
      </c>
      <c r="L326">
        <f t="shared" si="5"/>
        <v>325</v>
      </c>
      <c r="M326">
        <f>COUNTIF($A$2:A326,A326)</f>
        <v>13</v>
      </c>
    </row>
    <row r="327" spans="1:13" x14ac:dyDescent="0.3">
      <c r="A327">
        <v>12842</v>
      </c>
      <c r="B327" t="s">
        <v>234</v>
      </c>
      <c r="C327" t="s">
        <v>119</v>
      </c>
      <c r="D327" t="s">
        <v>120</v>
      </c>
      <c r="E327">
        <v>58</v>
      </c>
      <c r="F327">
        <v>13.33</v>
      </c>
      <c r="G327">
        <v>63.33</v>
      </c>
      <c r="H327">
        <v>23.33</v>
      </c>
      <c r="I327">
        <v>0.01</v>
      </c>
      <c r="J327" s="1">
        <v>45927.780855810182</v>
      </c>
      <c r="K327" t="s">
        <v>238</v>
      </c>
      <c r="L327">
        <f t="shared" si="5"/>
        <v>326</v>
      </c>
      <c r="M327">
        <f>COUNTIF($A$2:A327,A327)</f>
        <v>14</v>
      </c>
    </row>
    <row r="328" spans="1:13" x14ac:dyDescent="0.3">
      <c r="A328">
        <v>12842</v>
      </c>
      <c r="B328" t="s">
        <v>234</v>
      </c>
      <c r="C328" t="s">
        <v>117</v>
      </c>
      <c r="D328" t="s">
        <v>118</v>
      </c>
      <c r="E328">
        <v>89</v>
      </c>
      <c r="F328">
        <v>0</v>
      </c>
      <c r="G328">
        <v>56.67</v>
      </c>
      <c r="H328">
        <v>43.33</v>
      </c>
      <c r="I328">
        <v>0</v>
      </c>
      <c r="J328" s="1">
        <v>45927.780873796299</v>
      </c>
      <c r="K328" t="s">
        <v>238</v>
      </c>
      <c r="L328">
        <f t="shared" si="5"/>
        <v>327</v>
      </c>
      <c r="M328">
        <f>COUNTIF($A$2:A328,A328)</f>
        <v>15</v>
      </c>
    </row>
    <row r="329" spans="1:13" x14ac:dyDescent="0.3">
      <c r="A329">
        <v>12842</v>
      </c>
      <c r="B329" t="s">
        <v>234</v>
      </c>
      <c r="C329" t="s">
        <v>181</v>
      </c>
      <c r="D329" t="s">
        <v>182</v>
      </c>
      <c r="E329">
        <v>51</v>
      </c>
      <c r="F329">
        <v>36.67</v>
      </c>
      <c r="G329">
        <v>33.33</v>
      </c>
      <c r="H329">
        <v>30</v>
      </c>
      <c r="I329">
        <v>0</v>
      </c>
      <c r="J329" s="1">
        <v>45927.780894733798</v>
      </c>
      <c r="K329" t="s">
        <v>238</v>
      </c>
      <c r="L329">
        <f t="shared" si="5"/>
        <v>328</v>
      </c>
      <c r="M329">
        <f>COUNTIF($A$2:A329,A329)</f>
        <v>16</v>
      </c>
    </row>
    <row r="330" spans="1:13" x14ac:dyDescent="0.3">
      <c r="A330">
        <v>12842</v>
      </c>
      <c r="B330" t="s">
        <v>234</v>
      </c>
      <c r="C330" t="s">
        <v>114</v>
      </c>
      <c r="D330" t="s">
        <v>115</v>
      </c>
      <c r="E330">
        <v>63</v>
      </c>
      <c r="F330">
        <v>53.33</v>
      </c>
      <c r="G330">
        <v>10</v>
      </c>
      <c r="H330">
        <v>26.67</v>
      </c>
      <c r="I330">
        <v>10</v>
      </c>
      <c r="J330" s="1">
        <v>45927.780912372684</v>
      </c>
      <c r="K330" t="s">
        <v>238</v>
      </c>
      <c r="L330">
        <f t="shared" si="5"/>
        <v>329</v>
      </c>
      <c r="M330">
        <f>COUNTIF($A$2:A330,A330)</f>
        <v>17</v>
      </c>
    </row>
    <row r="331" spans="1:13" x14ac:dyDescent="0.3">
      <c r="A331">
        <v>12842</v>
      </c>
      <c r="B331" t="s">
        <v>234</v>
      </c>
      <c r="C331" t="s">
        <v>236</v>
      </c>
      <c r="D331" t="s">
        <v>237</v>
      </c>
      <c r="E331">
        <v>53</v>
      </c>
      <c r="F331">
        <v>3.33</v>
      </c>
      <c r="G331">
        <v>0</v>
      </c>
      <c r="H331">
        <v>6.67</v>
      </c>
      <c r="I331">
        <v>90</v>
      </c>
      <c r="J331" s="1">
        <v>45927.780928217595</v>
      </c>
      <c r="K331" t="s">
        <v>238</v>
      </c>
      <c r="L331">
        <f t="shared" si="5"/>
        <v>330</v>
      </c>
      <c r="M331">
        <f>COUNTIF($A$2:A331,A331)</f>
        <v>18</v>
      </c>
    </row>
    <row r="332" spans="1:13" x14ac:dyDescent="0.3">
      <c r="A332">
        <v>12625</v>
      </c>
      <c r="B332" t="s">
        <v>239</v>
      </c>
      <c r="C332" t="s">
        <v>240</v>
      </c>
      <c r="D332" t="s">
        <v>241</v>
      </c>
      <c r="E332">
        <v>7</v>
      </c>
      <c r="F332">
        <v>94.52</v>
      </c>
      <c r="G332">
        <v>4.93</v>
      </c>
      <c r="H332">
        <v>0.55000000000000004</v>
      </c>
      <c r="I332">
        <v>0</v>
      </c>
      <c r="J332" s="1">
        <v>45927.78099107639</v>
      </c>
      <c r="K332" t="s">
        <v>242</v>
      </c>
      <c r="L332">
        <f t="shared" si="5"/>
        <v>331</v>
      </c>
      <c r="M332">
        <f>COUNTIF($A$2:A332,A332)</f>
        <v>1</v>
      </c>
    </row>
    <row r="333" spans="1:13" x14ac:dyDescent="0.3">
      <c r="A333">
        <v>12625</v>
      </c>
      <c r="B333" t="s">
        <v>239</v>
      </c>
      <c r="C333" t="s">
        <v>243</v>
      </c>
      <c r="D333" t="s">
        <v>244</v>
      </c>
      <c r="E333">
        <v>8</v>
      </c>
      <c r="F333">
        <v>89.59</v>
      </c>
      <c r="G333">
        <v>9.59</v>
      </c>
      <c r="H333">
        <v>0.82</v>
      </c>
      <c r="I333">
        <v>0</v>
      </c>
      <c r="J333" s="1">
        <v>45927.781032881947</v>
      </c>
      <c r="K333" t="s">
        <v>242</v>
      </c>
      <c r="L333">
        <f t="shared" si="5"/>
        <v>332</v>
      </c>
      <c r="M333">
        <f>COUNTIF($A$2:A333,A333)</f>
        <v>2</v>
      </c>
    </row>
    <row r="334" spans="1:13" x14ac:dyDescent="0.3">
      <c r="A334">
        <v>12625</v>
      </c>
      <c r="B334" t="s">
        <v>239</v>
      </c>
      <c r="C334" t="s">
        <v>245</v>
      </c>
      <c r="D334" t="s">
        <v>246</v>
      </c>
      <c r="E334">
        <v>10</v>
      </c>
      <c r="F334">
        <v>87.12</v>
      </c>
      <c r="G334">
        <v>12.05</v>
      </c>
      <c r="H334">
        <v>0.82</v>
      </c>
      <c r="I334">
        <v>0.01</v>
      </c>
      <c r="J334" s="1">
        <v>45927.781048923614</v>
      </c>
      <c r="K334" t="s">
        <v>242</v>
      </c>
      <c r="L334">
        <f t="shared" si="5"/>
        <v>333</v>
      </c>
      <c r="M334">
        <f>COUNTIF($A$2:A334,A334)</f>
        <v>3</v>
      </c>
    </row>
    <row r="335" spans="1:13" x14ac:dyDescent="0.3">
      <c r="A335">
        <v>12625</v>
      </c>
      <c r="B335" t="s">
        <v>239</v>
      </c>
      <c r="C335" t="s">
        <v>247</v>
      </c>
      <c r="D335" t="s">
        <v>248</v>
      </c>
      <c r="F335">
        <v>64.930000000000007</v>
      </c>
      <c r="G335">
        <v>33.97</v>
      </c>
      <c r="H335">
        <v>1.1000000000000001</v>
      </c>
      <c r="I335">
        <v>0</v>
      </c>
      <c r="J335" s="1">
        <v>45927.781076828702</v>
      </c>
      <c r="K335" t="s">
        <v>242</v>
      </c>
      <c r="L335">
        <f t="shared" si="5"/>
        <v>334</v>
      </c>
      <c r="M335">
        <f>COUNTIF($A$2:A335,A335)</f>
        <v>4</v>
      </c>
    </row>
    <row r="336" spans="1:13" x14ac:dyDescent="0.3">
      <c r="A336">
        <v>12625</v>
      </c>
      <c r="B336" t="s">
        <v>239</v>
      </c>
      <c r="C336" t="s">
        <v>249</v>
      </c>
      <c r="D336" t="s">
        <v>250</v>
      </c>
      <c r="E336">
        <v>17</v>
      </c>
      <c r="F336">
        <v>58.36</v>
      </c>
      <c r="G336">
        <v>40.549999999999997</v>
      </c>
      <c r="H336">
        <v>1.1000000000000001</v>
      </c>
      <c r="I336">
        <v>0</v>
      </c>
      <c r="J336" s="1">
        <v>45927.781118125</v>
      </c>
      <c r="K336" t="s">
        <v>242</v>
      </c>
      <c r="L336">
        <f t="shared" si="5"/>
        <v>335</v>
      </c>
      <c r="M336">
        <f>COUNTIF($A$2:A336,A336)</f>
        <v>5</v>
      </c>
    </row>
    <row r="337" spans="1:13" x14ac:dyDescent="0.3">
      <c r="A337">
        <v>12625</v>
      </c>
      <c r="B337" t="s">
        <v>239</v>
      </c>
      <c r="C337" t="s">
        <v>251</v>
      </c>
      <c r="D337" t="s">
        <v>252</v>
      </c>
      <c r="E337">
        <v>17</v>
      </c>
      <c r="F337">
        <v>53.42</v>
      </c>
      <c r="G337">
        <v>45.48</v>
      </c>
      <c r="H337">
        <v>1.1000000000000001</v>
      </c>
      <c r="I337">
        <v>0</v>
      </c>
      <c r="J337" s="1">
        <v>45927.78116204861</v>
      </c>
      <c r="K337" t="s">
        <v>242</v>
      </c>
      <c r="L337">
        <f t="shared" si="5"/>
        <v>336</v>
      </c>
      <c r="M337">
        <f>COUNTIF($A$2:A337,A337)</f>
        <v>6</v>
      </c>
    </row>
    <row r="338" spans="1:13" x14ac:dyDescent="0.3">
      <c r="A338">
        <v>12625</v>
      </c>
      <c r="B338" t="s">
        <v>239</v>
      </c>
      <c r="C338" t="s">
        <v>253</v>
      </c>
      <c r="D338" t="s">
        <v>254</v>
      </c>
      <c r="E338">
        <v>21</v>
      </c>
      <c r="F338">
        <v>38.630000000000003</v>
      </c>
      <c r="G338">
        <v>60</v>
      </c>
      <c r="H338">
        <v>1.37</v>
      </c>
      <c r="I338">
        <v>0</v>
      </c>
      <c r="J338" s="1">
        <v>45927.781206331019</v>
      </c>
      <c r="K338" t="s">
        <v>242</v>
      </c>
      <c r="L338">
        <f t="shared" si="5"/>
        <v>337</v>
      </c>
      <c r="M338">
        <f>COUNTIF($A$2:A338,A338)</f>
        <v>7</v>
      </c>
    </row>
    <row r="339" spans="1:13" x14ac:dyDescent="0.3">
      <c r="A339">
        <v>12625</v>
      </c>
      <c r="B339" t="s">
        <v>239</v>
      </c>
      <c r="C339" t="s">
        <v>255</v>
      </c>
      <c r="D339" t="s">
        <v>256</v>
      </c>
      <c r="E339">
        <v>21</v>
      </c>
      <c r="F339">
        <v>41.64</v>
      </c>
      <c r="G339">
        <v>56.71</v>
      </c>
      <c r="H339">
        <v>1.64</v>
      </c>
      <c r="I339">
        <v>0.01</v>
      </c>
      <c r="J339" s="1">
        <v>45927.781224606479</v>
      </c>
      <c r="K339" t="s">
        <v>242</v>
      </c>
      <c r="L339">
        <f t="shared" si="5"/>
        <v>338</v>
      </c>
      <c r="M339">
        <f>COUNTIF($A$2:A339,A339)</f>
        <v>8</v>
      </c>
    </row>
    <row r="340" spans="1:13" x14ac:dyDescent="0.3">
      <c r="A340">
        <v>12625</v>
      </c>
      <c r="B340" t="s">
        <v>239</v>
      </c>
      <c r="C340" t="s">
        <v>257</v>
      </c>
      <c r="D340" t="s">
        <v>258</v>
      </c>
      <c r="F340">
        <v>33.700000000000003</v>
      </c>
      <c r="G340">
        <v>63.84</v>
      </c>
      <c r="H340">
        <v>2.4700000000000002</v>
      </c>
      <c r="I340">
        <v>0</v>
      </c>
      <c r="J340" s="1">
        <v>45927.781254629626</v>
      </c>
      <c r="K340" t="s">
        <v>242</v>
      </c>
      <c r="L340">
        <f t="shared" si="5"/>
        <v>339</v>
      </c>
      <c r="M340">
        <f>COUNTIF($A$2:A340,A340)</f>
        <v>9</v>
      </c>
    </row>
    <row r="341" spans="1:13" x14ac:dyDescent="0.3">
      <c r="A341">
        <v>12625</v>
      </c>
      <c r="B341" t="s">
        <v>239</v>
      </c>
      <c r="C341" t="s">
        <v>259</v>
      </c>
      <c r="D341" t="s">
        <v>260</v>
      </c>
      <c r="E341">
        <v>23</v>
      </c>
      <c r="F341">
        <v>36.71</v>
      </c>
      <c r="G341">
        <v>60.82</v>
      </c>
      <c r="H341">
        <v>2.4700000000000002</v>
      </c>
      <c r="I341">
        <v>0</v>
      </c>
      <c r="J341" s="1">
        <v>45927.78129791667</v>
      </c>
      <c r="K341" t="s">
        <v>242</v>
      </c>
      <c r="L341">
        <f t="shared" si="5"/>
        <v>340</v>
      </c>
      <c r="M341">
        <f>COUNTIF($A$2:A341,A341)</f>
        <v>10</v>
      </c>
    </row>
    <row r="342" spans="1:13" x14ac:dyDescent="0.3">
      <c r="A342">
        <v>12625</v>
      </c>
      <c r="B342" t="s">
        <v>239</v>
      </c>
      <c r="C342" t="s">
        <v>261</v>
      </c>
      <c r="D342" t="s">
        <v>262</v>
      </c>
      <c r="E342">
        <v>25</v>
      </c>
      <c r="F342">
        <v>31.23</v>
      </c>
      <c r="G342">
        <v>65.48</v>
      </c>
      <c r="H342">
        <v>3.29</v>
      </c>
      <c r="I342">
        <v>0</v>
      </c>
      <c r="J342" s="1">
        <v>45927.781339675923</v>
      </c>
      <c r="K342" t="s">
        <v>242</v>
      </c>
      <c r="L342">
        <f t="shared" si="5"/>
        <v>341</v>
      </c>
      <c r="M342">
        <f>COUNTIF($A$2:A342,A342)</f>
        <v>11</v>
      </c>
    </row>
    <row r="343" spans="1:13" x14ac:dyDescent="0.3">
      <c r="A343">
        <v>12625</v>
      </c>
      <c r="B343" t="s">
        <v>239</v>
      </c>
      <c r="C343" t="s">
        <v>263</v>
      </c>
      <c r="D343" t="s">
        <v>264</v>
      </c>
      <c r="E343">
        <v>27</v>
      </c>
      <c r="F343">
        <v>24.93</v>
      </c>
      <c r="G343">
        <v>70.959999999999994</v>
      </c>
      <c r="H343">
        <v>4.1100000000000003</v>
      </c>
      <c r="I343">
        <v>0</v>
      </c>
      <c r="J343" s="1">
        <v>45927.781383807873</v>
      </c>
      <c r="K343" t="s">
        <v>242</v>
      </c>
      <c r="L343">
        <f t="shared" si="5"/>
        <v>342</v>
      </c>
      <c r="M343">
        <f>COUNTIF($A$2:A343,A343)</f>
        <v>12</v>
      </c>
    </row>
    <row r="344" spans="1:13" x14ac:dyDescent="0.3">
      <c r="A344">
        <v>12625</v>
      </c>
      <c r="B344" t="s">
        <v>239</v>
      </c>
      <c r="C344" t="s">
        <v>265</v>
      </c>
      <c r="D344" t="s">
        <v>266</v>
      </c>
      <c r="E344">
        <v>30</v>
      </c>
      <c r="F344">
        <v>10.14</v>
      </c>
      <c r="G344">
        <v>85.48</v>
      </c>
      <c r="H344">
        <v>4.38</v>
      </c>
      <c r="I344">
        <v>0</v>
      </c>
      <c r="J344" s="1">
        <v>45927.781425578702</v>
      </c>
      <c r="K344" t="s">
        <v>242</v>
      </c>
      <c r="L344">
        <f t="shared" si="5"/>
        <v>343</v>
      </c>
      <c r="M344">
        <f>COUNTIF($A$2:A344,A344)</f>
        <v>13</v>
      </c>
    </row>
    <row r="345" spans="1:13" x14ac:dyDescent="0.3">
      <c r="A345">
        <v>12625</v>
      </c>
      <c r="B345" t="s">
        <v>239</v>
      </c>
      <c r="C345" t="s">
        <v>267</v>
      </c>
      <c r="D345" t="s">
        <v>268</v>
      </c>
      <c r="E345">
        <v>17</v>
      </c>
      <c r="F345">
        <v>70.14</v>
      </c>
      <c r="G345">
        <v>26.85</v>
      </c>
      <c r="H345">
        <v>3.01</v>
      </c>
      <c r="I345">
        <v>0</v>
      </c>
      <c r="J345" s="1">
        <v>45927.781467766203</v>
      </c>
      <c r="K345" t="s">
        <v>242</v>
      </c>
      <c r="L345">
        <f t="shared" si="5"/>
        <v>344</v>
      </c>
      <c r="M345">
        <f>COUNTIF($A$2:A345,A345)</f>
        <v>14</v>
      </c>
    </row>
    <row r="346" spans="1:13" x14ac:dyDescent="0.3">
      <c r="A346">
        <v>12625</v>
      </c>
      <c r="B346" t="s">
        <v>239</v>
      </c>
      <c r="C346" t="s">
        <v>269</v>
      </c>
      <c r="D346" t="s">
        <v>270</v>
      </c>
      <c r="E346">
        <v>26</v>
      </c>
      <c r="F346">
        <v>25.48</v>
      </c>
      <c r="G346">
        <v>71.23</v>
      </c>
      <c r="H346">
        <v>3.29</v>
      </c>
      <c r="I346">
        <v>0</v>
      </c>
      <c r="J346" s="1">
        <v>45927.781511145833</v>
      </c>
      <c r="K346" t="s">
        <v>242</v>
      </c>
      <c r="L346">
        <f t="shared" si="5"/>
        <v>345</v>
      </c>
      <c r="M346">
        <f>COUNTIF($A$2:A346,A346)</f>
        <v>15</v>
      </c>
    </row>
    <row r="347" spans="1:13" x14ac:dyDescent="0.3">
      <c r="A347">
        <v>12625</v>
      </c>
      <c r="B347" t="s">
        <v>239</v>
      </c>
      <c r="C347" t="s">
        <v>31</v>
      </c>
      <c r="D347" t="s">
        <v>32</v>
      </c>
      <c r="E347">
        <v>17</v>
      </c>
      <c r="F347">
        <v>65.48</v>
      </c>
      <c r="G347">
        <v>31.23</v>
      </c>
      <c r="H347">
        <v>3.29</v>
      </c>
      <c r="I347">
        <v>0</v>
      </c>
      <c r="J347" s="1">
        <v>45927.781555023146</v>
      </c>
      <c r="K347" t="s">
        <v>242</v>
      </c>
      <c r="L347">
        <f t="shared" si="5"/>
        <v>346</v>
      </c>
      <c r="M347">
        <f>COUNTIF($A$2:A347,A347)</f>
        <v>16</v>
      </c>
    </row>
    <row r="348" spans="1:13" x14ac:dyDescent="0.3">
      <c r="A348">
        <v>12625</v>
      </c>
      <c r="B348" t="s">
        <v>239</v>
      </c>
      <c r="C348" t="s">
        <v>27</v>
      </c>
      <c r="D348" t="s">
        <v>28</v>
      </c>
      <c r="E348">
        <v>18</v>
      </c>
      <c r="F348">
        <v>61.1</v>
      </c>
      <c r="G348">
        <v>35.619999999999997</v>
      </c>
      <c r="H348">
        <v>3.29</v>
      </c>
      <c r="I348">
        <v>0</v>
      </c>
      <c r="J348" s="1">
        <v>45927.781598715279</v>
      </c>
      <c r="K348" t="s">
        <v>242</v>
      </c>
      <c r="L348">
        <f t="shared" si="5"/>
        <v>347</v>
      </c>
      <c r="M348">
        <f>COUNTIF($A$2:A348,A348)</f>
        <v>17</v>
      </c>
    </row>
    <row r="349" spans="1:13" x14ac:dyDescent="0.3">
      <c r="A349">
        <v>12625</v>
      </c>
      <c r="B349" t="s">
        <v>239</v>
      </c>
      <c r="C349" t="s">
        <v>25</v>
      </c>
      <c r="D349" t="s">
        <v>26</v>
      </c>
      <c r="E349">
        <v>20</v>
      </c>
      <c r="F349">
        <v>53.42</v>
      </c>
      <c r="G349">
        <v>43.29</v>
      </c>
      <c r="H349">
        <v>3.29</v>
      </c>
      <c r="I349">
        <v>0</v>
      </c>
      <c r="J349" s="1">
        <v>45927.781639050925</v>
      </c>
      <c r="K349" t="s">
        <v>242</v>
      </c>
      <c r="L349">
        <f t="shared" si="5"/>
        <v>348</v>
      </c>
      <c r="M349">
        <f>COUNTIF($A$2:A349,A349)</f>
        <v>18</v>
      </c>
    </row>
    <row r="350" spans="1:13" x14ac:dyDescent="0.3">
      <c r="A350">
        <v>12625</v>
      </c>
      <c r="B350" t="s">
        <v>239</v>
      </c>
      <c r="C350" t="s">
        <v>23</v>
      </c>
      <c r="D350" t="s">
        <v>24</v>
      </c>
      <c r="E350">
        <v>18</v>
      </c>
      <c r="F350">
        <v>58.36</v>
      </c>
      <c r="G350">
        <v>38.36</v>
      </c>
      <c r="H350">
        <v>3.29</v>
      </c>
      <c r="I350">
        <v>0</v>
      </c>
      <c r="J350" s="1">
        <v>45927.78168359954</v>
      </c>
      <c r="K350" t="s">
        <v>242</v>
      </c>
      <c r="L350">
        <f t="shared" si="5"/>
        <v>349</v>
      </c>
      <c r="M350">
        <f>COUNTIF($A$2:A350,A350)</f>
        <v>19</v>
      </c>
    </row>
    <row r="351" spans="1:13" x14ac:dyDescent="0.3">
      <c r="A351">
        <v>12625</v>
      </c>
      <c r="B351" t="s">
        <v>239</v>
      </c>
      <c r="C351" t="s">
        <v>21</v>
      </c>
      <c r="D351" t="s">
        <v>22</v>
      </c>
      <c r="E351">
        <v>12</v>
      </c>
      <c r="F351">
        <v>89.86</v>
      </c>
      <c r="G351">
        <v>7.4</v>
      </c>
      <c r="H351">
        <v>2.74</v>
      </c>
      <c r="I351">
        <v>0</v>
      </c>
      <c r="J351" s="1">
        <v>45927.781700416665</v>
      </c>
      <c r="K351" t="s">
        <v>242</v>
      </c>
      <c r="L351">
        <f t="shared" si="5"/>
        <v>350</v>
      </c>
      <c r="M351">
        <f>COUNTIF($A$2:A351,A351)</f>
        <v>20</v>
      </c>
    </row>
    <row r="352" spans="1:13" x14ac:dyDescent="0.3">
      <c r="A352">
        <v>12625</v>
      </c>
      <c r="B352" t="s">
        <v>239</v>
      </c>
      <c r="C352" t="s">
        <v>19</v>
      </c>
      <c r="D352" t="s">
        <v>20</v>
      </c>
      <c r="E352">
        <v>9</v>
      </c>
      <c r="F352">
        <v>93.7</v>
      </c>
      <c r="G352">
        <v>4.1100000000000003</v>
      </c>
      <c r="H352">
        <v>2.19</v>
      </c>
      <c r="I352">
        <v>0</v>
      </c>
      <c r="J352" s="1">
        <v>45927.78174564815</v>
      </c>
      <c r="K352" t="s">
        <v>242</v>
      </c>
      <c r="L352">
        <f t="shared" si="5"/>
        <v>351</v>
      </c>
      <c r="M352">
        <f>COUNTIF($A$2:A352,A352)</f>
        <v>21</v>
      </c>
    </row>
    <row r="353" spans="1:13" x14ac:dyDescent="0.3">
      <c r="A353">
        <v>12625</v>
      </c>
      <c r="B353" t="s">
        <v>239</v>
      </c>
      <c r="C353" t="s">
        <v>271</v>
      </c>
      <c r="D353" t="s">
        <v>272</v>
      </c>
      <c r="E353">
        <v>17</v>
      </c>
      <c r="F353">
        <v>65.209999999999994</v>
      </c>
      <c r="G353">
        <v>31.78</v>
      </c>
      <c r="H353">
        <v>3.01</v>
      </c>
      <c r="I353">
        <v>0</v>
      </c>
      <c r="J353" s="1">
        <v>45927.781787523149</v>
      </c>
      <c r="K353" t="s">
        <v>242</v>
      </c>
      <c r="L353">
        <f t="shared" si="5"/>
        <v>352</v>
      </c>
      <c r="M353">
        <f>COUNTIF($A$2:A353,A353)</f>
        <v>22</v>
      </c>
    </row>
    <row r="354" spans="1:13" x14ac:dyDescent="0.3">
      <c r="A354">
        <v>12625</v>
      </c>
      <c r="B354" t="s">
        <v>239</v>
      </c>
      <c r="C354" t="s">
        <v>273</v>
      </c>
      <c r="D354" t="s">
        <v>274</v>
      </c>
      <c r="E354">
        <v>20</v>
      </c>
      <c r="F354">
        <v>56.16</v>
      </c>
      <c r="G354">
        <v>40.82</v>
      </c>
      <c r="H354">
        <v>3.01</v>
      </c>
      <c r="I354">
        <v>0.01</v>
      </c>
      <c r="J354" s="1">
        <v>45927.781804976854</v>
      </c>
      <c r="K354" t="s">
        <v>242</v>
      </c>
      <c r="L354">
        <f t="shared" si="5"/>
        <v>353</v>
      </c>
      <c r="M354">
        <f>COUNTIF($A$2:A354,A354)</f>
        <v>23</v>
      </c>
    </row>
    <row r="355" spans="1:13" x14ac:dyDescent="0.3">
      <c r="A355">
        <v>12625</v>
      </c>
      <c r="B355" t="s">
        <v>239</v>
      </c>
      <c r="C355" t="s">
        <v>275</v>
      </c>
      <c r="D355" t="s">
        <v>276</v>
      </c>
      <c r="E355">
        <v>31</v>
      </c>
      <c r="F355">
        <v>15.34</v>
      </c>
      <c r="G355">
        <v>80.819999999999993</v>
      </c>
      <c r="H355">
        <v>3.84</v>
      </c>
      <c r="I355">
        <v>0</v>
      </c>
      <c r="J355" s="1">
        <v>45927.781847847225</v>
      </c>
      <c r="K355" t="s">
        <v>242</v>
      </c>
      <c r="L355">
        <f t="shared" si="5"/>
        <v>354</v>
      </c>
      <c r="M355">
        <f>COUNTIF($A$2:A355,A355)</f>
        <v>24</v>
      </c>
    </row>
    <row r="356" spans="1:13" x14ac:dyDescent="0.3">
      <c r="A356">
        <v>12625</v>
      </c>
      <c r="B356" t="s">
        <v>239</v>
      </c>
      <c r="C356" t="s">
        <v>178</v>
      </c>
      <c r="D356" t="s">
        <v>179</v>
      </c>
      <c r="E356">
        <v>19</v>
      </c>
      <c r="F356">
        <v>53.7</v>
      </c>
      <c r="G356">
        <v>42.47</v>
      </c>
      <c r="H356">
        <v>3.01</v>
      </c>
      <c r="I356">
        <v>0.82</v>
      </c>
      <c r="J356" s="1">
        <v>45927.781864328703</v>
      </c>
      <c r="K356" t="s">
        <v>242</v>
      </c>
      <c r="L356">
        <f t="shared" si="5"/>
        <v>355</v>
      </c>
      <c r="M356">
        <f>COUNTIF($A$2:A356,A356)</f>
        <v>25</v>
      </c>
    </row>
    <row r="357" spans="1:13" x14ac:dyDescent="0.3">
      <c r="A357">
        <v>12625</v>
      </c>
      <c r="B357" t="s">
        <v>239</v>
      </c>
      <c r="C357" t="s">
        <v>176</v>
      </c>
      <c r="D357" t="s">
        <v>177</v>
      </c>
      <c r="E357">
        <v>27</v>
      </c>
      <c r="F357">
        <v>26.85</v>
      </c>
      <c r="G357">
        <v>68.489999999999995</v>
      </c>
      <c r="H357">
        <v>3.84</v>
      </c>
      <c r="I357">
        <v>0.82</v>
      </c>
      <c r="J357" s="1">
        <v>45927.781883819443</v>
      </c>
      <c r="K357" t="s">
        <v>242</v>
      </c>
      <c r="L357">
        <f t="shared" si="5"/>
        <v>356</v>
      </c>
      <c r="M357">
        <f>COUNTIF($A$2:A357,A357)</f>
        <v>26</v>
      </c>
    </row>
    <row r="358" spans="1:13" x14ac:dyDescent="0.3">
      <c r="A358">
        <v>12625</v>
      </c>
      <c r="B358" t="s">
        <v>239</v>
      </c>
      <c r="C358" t="s">
        <v>88</v>
      </c>
      <c r="D358" t="s">
        <v>89</v>
      </c>
      <c r="E358">
        <v>20</v>
      </c>
      <c r="F358">
        <v>57.53</v>
      </c>
      <c r="G358">
        <v>36.71</v>
      </c>
      <c r="H358">
        <v>4.93</v>
      </c>
      <c r="I358">
        <v>0.83</v>
      </c>
      <c r="J358" s="1">
        <v>45927.78190396991</v>
      </c>
      <c r="K358" t="s">
        <v>242</v>
      </c>
      <c r="L358">
        <f t="shared" si="5"/>
        <v>357</v>
      </c>
      <c r="M358">
        <f>COUNTIF($A$2:A358,A358)</f>
        <v>27</v>
      </c>
    </row>
    <row r="359" spans="1:13" x14ac:dyDescent="0.3">
      <c r="A359">
        <v>12625</v>
      </c>
      <c r="B359" t="s">
        <v>239</v>
      </c>
      <c r="C359" t="s">
        <v>92</v>
      </c>
      <c r="D359" t="s">
        <v>93</v>
      </c>
      <c r="E359">
        <v>84</v>
      </c>
      <c r="F359">
        <v>1.1000000000000001</v>
      </c>
      <c r="G359">
        <v>15.62</v>
      </c>
      <c r="H359">
        <v>82.47</v>
      </c>
      <c r="I359">
        <v>0.81</v>
      </c>
      <c r="J359" s="1">
        <v>45927.781920023146</v>
      </c>
      <c r="K359" t="s">
        <v>242</v>
      </c>
      <c r="L359">
        <f t="shared" si="5"/>
        <v>358</v>
      </c>
      <c r="M359">
        <f>COUNTIF($A$2:A359,A359)</f>
        <v>28</v>
      </c>
    </row>
    <row r="360" spans="1:13" x14ac:dyDescent="0.3">
      <c r="A360">
        <v>12625</v>
      </c>
      <c r="B360" t="s">
        <v>239</v>
      </c>
      <c r="C360" t="s">
        <v>196</v>
      </c>
      <c r="D360" t="s">
        <v>197</v>
      </c>
      <c r="E360">
        <v>48</v>
      </c>
      <c r="F360">
        <v>18.899999999999999</v>
      </c>
      <c r="G360">
        <v>52.6</v>
      </c>
      <c r="H360">
        <v>27.67</v>
      </c>
      <c r="I360">
        <v>0.83</v>
      </c>
      <c r="J360" s="1">
        <v>45927.78194054398</v>
      </c>
      <c r="K360" t="s">
        <v>242</v>
      </c>
      <c r="L360">
        <f t="shared" si="5"/>
        <v>359</v>
      </c>
      <c r="M360">
        <f>COUNTIF($A$2:A360,A360)</f>
        <v>29</v>
      </c>
    </row>
    <row r="361" spans="1:13" x14ac:dyDescent="0.3">
      <c r="A361">
        <v>12625</v>
      </c>
      <c r="B361" t="s">
        <v>239</v>
      </c>
      <c r="C361" t="s">
        <v>94</v>
      </c>
      <c r="D361" t="s">
        <v>95</v>
      </c>
      <c r="E361">
        <v>18</v>
      </c>
      <c r="F361">
        <v>75.62</v>
      </c>
      <c r="G361">
        <v>18.36</v>
      </c>
      <c r="H361">
        <v>5.21</v>
      </c>
      <c r="I361">
        <v>0.81</v>
      </c>
      <c r="J361" s="1">
        <v>45927.781956678242</v>
      </c>
      <c r="K361" t="s">
        <v>242</v>
      </c>
      <c r="L361">
        <f t="shared" si="5"/>
        <v>360</v>
      </c>
      <c r="M361">
        <f>COUNTIF($A$2:A361,A361)</f>
        <v>30</v>
      </c>
    </row>
    <row r="362" spans="1:13" x14ac:dyDescent="0.3">
      <c r="A362">
        <v>12625</v>
      </c>
      <c r="B362" t="s">
        <v>239</v>
      </c>
      <c r="C362" t="s">
        <v>200</v>
      </c>
      <c r="D362" t="s">
        <v>201</v>
      </c>
      <c r="E362">
        <v>19</v>
      </c>
      <c r="F362">
        <v>65.75</v>
      </c>
      <c r="G362">
        <v>27.95</v>
      </c>
      <c r="H362">
        <v>5.48</v>
      </c>
      <c r="I362">
        <v>0.82</v>
      </c>
      <c r="J362" s="1">
        <v>45927.781978101855</v>
      </c>
      <c r="K362" t="s">
        <v>242</v>
      </c>
      <c r="L362">
        <f t="shared" si="5"/>
        <v>361</v>
      </c>
      <c r="M362">
        <f>COUNTIF($A$2:A362,A362)</f>
        <v>31</v>
      </c>
    </row>
    <row r="363" spans="1:13" x14ac:dyDescent="0.3">
      <c r="A363">
        <v>12625</v>
      </c>
      <c r="B363" t="s">
        <v>239</v>
      </c>
      <c r="C363" t="s">
        <v>202</v>
      </c>
      <c r="D363" t="s">
        <v>203</v>
      </c>
      <c r="E363">
        <v>38</v>
      </c>
      <c r="F363">
        <v>15.07</v>
      </c>
      <c r="G363">
        <v>72.05</v>
      </c>
      <c r="H363">
        <v>12.05</v>
      </c>
      <c r="I363">
        <v>0.83</v>
      </c>
      <c r="J363" s="1">
        <v>45927.781994606485</v>
      </c>
      <c r="K363" t="s">
        <v>242</v>
      </c>
      <c r="L363">
        <f t="shared" si="5"/>
        <v>362</v>
      </c>
      <c r="M363">
        <f>COUNTIF($A$2:A363,A363)</f>
        <v>32</v>
      </c>
    </row>
    <row r="364" spans="1:13" x14ac:dyDescent="0.3">
      <c r="A364">
        <v>12625</v>
      </c>
      <c r="B364" t="s">
        <v>239</v>
      </c>
      <c r="C364" t="s">
        <v>96</v>
      </c>
      <c r="D364" t="s">
        <v>97</v>
      </c>
      <c r="E364">
        <v>50</v>
      </c>
      <c r="F364">
        <v>6.3</v>
      </c>
      <c r="G364">
        <v>71.78</v>
      </c>
      <c r="H364">
        <v>21.1</v>
      </c>
      <c r="I364">
        <v>0.82</v>
      </c>
      <c r="J364" s="1">
        <v>45927.782010138886</v>
      </c>
      <c r="K364" t="s">
        <v>242</v>
      </c>
      <c r="L364">
        <f t="shared" si="5"/>
        <v>363</v>
      </c>
      <c r="M364">
        <f>COUNTIF($A$2:A364,A364)</f>
        <v>33</v>
      </c>
    </row>
    <row r="365" spans="1:13" x14ac:dyDescent="0.3">
      <c r="A365">
        <v>12625</v>
      </c>
      <c r="B365" t="s">
        <v>239</v>
      </c>
      <c r="C365" t="s">
        <v>98</v>
      </c>
      <c r="D365" t="s">
        <v>99</v>
      </c>
      <c r="E365">
        <v>28</v>
      </c>
      <c r="F365">
        <v>54.52</v>
      </c>
      <c r="G365">
        <v>36.99</v>
      </c>
      <c r="H365">
        <v>8.49</v>
      </c>
      <c r="I365">
        <v>0</v>
      </c>
      <c r="J365" s="1">
        <v>45927.782053842595</v>
      </c>
      <c r="K365" t="s">
        <v>242</v>
      </c>
      <c r="L365">
        <f t="shared" si="5"/>
        <v>364</v>
      </c>
      <c r="M365">
        <f>COUNTIF($A$2:A365,A365)</f>
        <v>34</v>
      </c>
    </row>
    <row r="366" spans="1:13" x14ac:dyDescent="0.3">
      <c r="A366">
        <v>12625</v>
      </c>
      <c r="B366" t="s">
        <v>239</v>
      </c>
      <c r="C366" t="s">
        <v>100</v>
      </c>
      <c r="D366" t="s">
        <v>101</v>
      </c>
      <c r="E366">
        <v>28</v>
      </c>
      <c r="F366">
        <v>57.26</v>
      </c>
      <c r="G366">
        <v>34.520000000000003</v>
      </c>
      <c r="H366">
        <v>8.2200000000000006</v>
      </c>
      <c r="I366">
        <v>0</v>
      </c>
      <c r="J366" s="1">
        <v>45927.782093611109</v>
      </c>
      <c r="K366" t="s">
        <v>242</v>
      </c>
      <c r="L366">
        <f t="shared" si="5"/>
        <v>365</v>
      </c>
      <c r="M366">
        <f>COUNTIF($A$2:A366,A366)</f>
        <v>35</v>
      </c>
    </row>
    <row r="367" spans="1:13" x14ac:dyDescent="0.3">
      <c r="A367">
        <v>12625</v>
      </c>
      <c r="B367" t="s">
        <v>239</v>
      </c>
      <c r="C367" t="s">
        <v>277</v>
      </c>
      <c r="D367" t="s">
        <v>278</v>
      </c>
      <c r="E367">
        <v>25</v>
      </c>
      <c r="F367">
        <v>70.959999999999994</v>
      </c>
      <c r="G367">
        <v>20.27</v>
      </c>
      <c r="H367">
        <v>8.77</v>
      </c>
      <c r="I367">
        <v>0</v>
      </c>
      <c r="J367" s="1">
        <v>45927.782136712965</v>
      </c>
      <c r="K367" t="s">
        <v>242</v>
      </c>
      <c r="L367">
        <f t="shared" si="5"/>
        <v>366</v>
      </c>
      <c r="M367">
        <f>COUNTIF($A$2:A367,A367)</f>
        <v>36</v>
      </c>
    </row>
    <row r="368" spans="1:13" x14ac:dyDescent="0.3">
      <c r="A368">
        <v>12625</v>
      </c>
      <c r="B368" t="s">
        <v>239</v>
      </c>
      <c r="C368" t="s">
        <v>102</v>
      </c>
      <c r="D368" t="s">
        <v>103</v>
      </c>
      <c r="E368">
        <v>38</v>
      </c>
      <c r="F368">
        <v>44.66</v>
      </c>
      <c r="G368">
        <v>41.64</v>
      </c>
      <c r="H368">
        <v>13.7</v>
      </c>
      <c r="I368">
        <v>0</v>
      </c>
      <c r="J368" s="1">
        <v>45927.78218234954</v>
      </c>
      <c r="K368" t="s">
        <v>242</v>
      </c>
      <c r="L368">
        <f t="shared" si="5"/>
        <v>367</v>
      </c>
      <c r="M368">
        <f>COUNTIF($A$2:A368,A368)</f>
        <v>37</v>
      </c>
    </row>
    <row r="369" spans="1:13" x14ac:dyDescent="0.3">
      <c r="A369">
        <v>12625</v>
      </c>
      <c r="B369" t="s">
        <v>239</v>
      </c>
      <c r="C369" t="s">
        <v>104</v>
      </c>
      <c r="D369" t="s">
        <v>105</v>
      </c>
      <c r="E369">
        <v>45</v>
      </c>
      <c r="F369">
        <v>39.450000000000003</v>
      </c>
      <c r="G369">
        <v>43.29</v>
      </c>
      <c r="H369">
        <v>17.260000000000002</v>
      </c>
      <c r="I369">
        <v>0</v>
      </c>
      <c r="J369" s="1">
        <v>45927.782227557873</v>
      </c>
      <c r="K369" t="s">
        <v>242</v>
      </c>
      <c r="L369">
        <f t="shared" si="5"/>
        <v>368</v>
      </c>
      <c r="M369">
        <f>COUNTIF($A$2:A369,A369)</f>
        <v>38</v>
      </c>
    </row>
    <row r="370" spans="1:13" x14ac:dyDescent="0.3">
      <c r="A370">
        <v>12625</v>
      </c>
      <c r="B370" t="s">
        <v>239</v>
      </c>
      <c r="C370" t="s">
        <v>106</v>
      </c>
      <c r="D370" t="s">
        <v>107</v>
      </c>
      <c r="E370">
        <v>43</v>
      </c>
      <c r="F370">
        <v>58.36</v>
      </c>
      <c r="G370">
        <v>23.01</v>
      </c>
      <c r="H370">
        <v>18.63</v>
      </c>
      <c r="I370">
        <v>0</v>
      </c>
      <c r="J370" s="1">
        <v>45927.782247916664</v>
      </c>
      <c r="K370" t="s">
        <v>242</v>
      </c>
      <c r="L370">
        <f t="shared" si="5"/>
        <v>369</v>
      </c>
      <c r="M370">
        <f>COUNTIF($A$2:A370,A370)</f>
        <v>39</v>
      </c>
    </row>
    <row r="371" spans="1:13" x14ac:dyDescent="0.3">
      <c r="A371">
        <v>12625</v>
      </c>
      <c r="B371" t="s">
        <v>239</v>
      </c>
      <c r="C371" t="s">
        <v>279</v>
      </c>
      <c r="D371" t="s">
        <v>280</v>
      </c>
      <c r="E371">
        <v>60</v>
      </c>
      <c r="F371">
        <v>13.15</v>
      </c>
      <c r="G371">
        <v>63.29</v>
      </c>
      <c r="H371">
        <v>23.56</v>
      </c>
      <c r="I371">
        <v>0</v>
      </c>
      <c r="J371" s="1">
        <v>45927.782293113429</v>
      </c>
      <c r="K371" t="s">
        <v>242</v>
      </c>
      <c r="L371">
        <f t="shared" si="5"/>
        <v>370</v>
      </c>
      <c r="M371">
        <f>COUNTIF($A$2:A371,A371)</f>
        <v>40</v>
      </c>
    </row>
    <row r="372" spans="1:13" x14ac:dyDescent="0.3">
      <c r="A372">
        <v>12625</v>
      </c>
      <c r="B372" t="s">
        <v>239</v>
      </c>
      <c r="C372" t="s">
        <v>281</v>
      </c>
      <c r="D372" t="s">
        <v>282</v>
      </c>
      <c r="E372">
        <v>45</v>
      </c>
      <c r="F372">
        <v>60.82</v>
      </c>
      <c r="G372">
        <v>18.36</v>
      </c>
      <c r="H372">
        <v>20.82</v>
      </c>
      <c r="I372">
        <v>0</v>
      </c>
      <c r="J372" s="1">
        <v>45927.782309386574</v>
      </c>
      <c r="K372" t="s">
        <v>242</v>
      </c>
      <c r="L372">
        <f t="shared" si="5"/>
        <v>371</v>
      </c>
      <c r="M372">
        <f>COUNTIF($A$2:A372,A372)</f>
        <v>41</v>
      </c>
    </row>
    <row r="373" spans="1:13" x14ac:dyDescent="0.3">
      <c r="A373">
        <v>12625</v>
      </c>
      <c r="B373" t="s">
        <v>239</v>
      </c>
      <c r="C373" t="s">
        <v>108</v>
      </c>
      <c r="D373" t="s">
        <v>109</v>
      </c>
      <c r="E373">
        <v>60</v>
      </c>
      <c r="F373">
        <v>47.67</v>
      </c>
      <c r="G373">
        <v>27.67</v>
      </c>
      <c r="H373">
        <v>24.66</v>
      </c>
      <c r="I373">
        <v>0</v>
      </c>
      <c r="J373" s="1">
        <v>45927.782353078706</v>
      </c>
      <c r="K373" t="s">
        <v>242</v>
      </c>
      <c r="L373">
        <f t="shared" si="5"/>
        <v>372</v>
      </c>
      <c r="M373">
        <f>COUNTIF($A$2:A373,A373)</f>
        <v>42</v>
      </c>
    </row>
    <row r="374" spans="1:13" x14ac:dyDescent="0.3">
      <c r="A374">
        <v>12625</v>
      </c>
      <c r="B374" t="s">
        <v>239</v>
      </c>
      <c r="C374" t="s">
        <v>110</v>
      </c>
      <c r="D374" t="s">
        <v>111</v>
      </c>
      <c r="E374">
        <v>50</v>
      </c>
      <c r="F374">
        <v>62.74</v>
      </c>
      <c r="G374">
        <v>16.440000000000001</v>
      </c>
      <c r="H374">
        <v>20.82</v>
      </c>
      <c r="I374">
        <v>0</v>
      </c>
      <c r="J374" s="1">
        <v>45927.782398506941</v>
      </c>
      <c r="K374" t="s">
        <v>242</v>
      </c>
      <c r="L374">
        <f t="shared" si="5"/>
        <v>373</v>
      </c>
      <c r="M374">
        <f>COUNTIF($A$2:A374,A374)</f>
        <v>43</v>
      </c>
    </row>
    <row r="375" spans="1:13" x14ac:dyDescent="0.3">
      <c r="A375">
        <v>12626</v>
      </c>
      <c r="B375" t="s">
        <v>239</v>
      </c>
      <c r="C375" t="s">
        <v>110</v>
      </c>
      <c r="D375" t="s">
        <v>111</v>
      </c>
      <c r="E375">
        <v>35</v>
      </c>
      <c r="F375">
        <v>84.38</v>
      </c>
      <c r="G375">
        <v>3.84</v>
      </c>
      <c r="H375">
        <v>11.78</v>
      </c>
      <c r="I375">
        <v>0</v>
      </c>
      <c r="J375" s="1">
        <v>45927.782456539353</v>
      </c>
      <c r="K375" t="s">
        <v>283</v>
      </c>
      <c r="L375">
        <f t="shared" si="5"/>
        <v>374</v>
      </c>
      <c r="M375">
        <f>COUNTIF($A$2:A375,A375)</f>
        <v>1</v>
      </c>
    </row>
    <row r="376" spans="1:13" x14ac:dyDescent="0.3">
      <c r="A376">
        <v>12626</v>
      </c>
      <c r="B376" t="s">
        <v>239</v>
      </c>
      <c r="C376" t="s">
        <v>279</v>
      </c>
      <c r="D376" t="s">
        <v>280</v>
      </c>
      <c r="E376">
        <v>63</v>
      </c>
      <c r="F376">
        <v>13.7</v>
      </c>
      <c r="G376">
        <v>70.959999999999994</v>
      </c>
      <c r="H376">
        <v>15.34</v>
      </c>
      <c r="I376">
        <v>0</v>
      </c>
      <c r="J376" s="1">
        <v>45927.782502083333</v>
      </c>
      <c r="K376" t="s">
        <v>283</v>
      </c>
      <c r="L376">
        <f t="shared" si="5"/>
        <v>375</v>
      </c>
      <c r="M376">
        <f>COUNTIF($A$2:A376,A376)</f>
        <v>2</v>
      </c>
    </row>
    <row r="377" spans="1:13" x14ac:dyDescent="0.3">
      <c r="A377">
        <v>12626</v>
      </c>
      <c r="B377" t="s">
        <v>239</v>
      </c>
      <c r="C377" t="s">
        <v>106</v>
      </c>
      <c r="D377" t="s">
        <v>107</v>
      </c>
      <c r="E377">
        <v>68</v>
      </c>
      <c r="F377">
        <v>5.75</v>
      </c>
      <c r="G377">
        <v>77.53</v>
      </c>
      <c r="H377">
        <v>16.16</v>
      </c>
      <c r="I377">
        <v>0.56000000000000005</v>
      </c>
      <c r="J377" s="1">
        <v>45927.782520196757</v>
      </c>
      <c r="K377" t="s">
        <v>283</v>
      </c>
      <c r="L377">
        <f t="shared" si="5"/>
        <v>376</v>
      </c>
      <c r="M377">
        <f>COUNTIF($A$2:A377,A377)</f>
        <v>3</v>
      </c>
    </row>
    <row r="378" spans="1:13" x14ac:dyDescent="0.3">
      <c r="A378">
        <v>12626</v>
      </c>
      <c r="B378" t="s">
        <v>239</v>
      </c>
      <c r="C378" t="s">
        <v>104</v>
      </c>
      <c r="D378" t="s">
        <v>105</v>
      </c>
      <c r="E378">
        <v>64</v>
      </c>
      <c r="F378">
        <v>39.450000000000003</v>
      </c>
      <c r="G378">
        <v>43.56</v>
      </c>
      <c r="H378">
        <v>16.440000000000001</v>
      </c>
      <c r="I378">
        <v>0.55000000000000004</v>
      </c>
      <c r="J378" s="1">
        <v>45927.782539618056</v>
      </c>
      <c r="K378" t="s">
        <v>283</v>
      </c>
      <c r="L378">
        <f t="shared" si="5"/>
        <v>377</v>
      </c>
      <c r="M378">
        <f>COUNTIF($A$2:A378,A378)</f>
        <v>4</v>
      </c>
    </row>
    <row r="379" spans="1:13" x14ac:dyDescent="0.3">
      <c r="A379">
        <v>12626</v>
      </c>
      <c r="B379" t="s">
        <v>239</v>
      </c>
      <c r="C379" t="s">
        <v>102</v>
      </c>
      <c r="D379" t="s">
        <v>103</v>
      </c>
      <c r="E379">
        <v>64</v>
      </c>
      <c r="F379">
        <v>53.15</v>
      </c>
      <c r="G379">
        <v>28.77</v>
      </c>
      <c r="H379">
        <v>17.53</v>
      </c>
      <c r="I379">
        <v>0.55000000000000004</v>
      </c>
      <c r="J379" s="1">
        <v>45927.782559050924</v>
      </c>
      <c r="K379" t="s">
        <v>283</v>
      </c>
      <c r="L379">
        <f t="shared" si="5"/>
        <v>378</v>
      </c>
      <c r="M379">
        <f>COUNTIF($A$2:A379,A379)</f>
        <v>5</v>
      </c>
    </row>
    <row r="380" spans="1:13" x14ac:dyDescent="0.3">
      <c r="A380">
        <v>12626</v>
      </c>
      <c r="B380" t="s">
        <v>239</v>
      </c>
      <c r="C380" t="s">
        <v>277</v>
      </c>
      <c r="D380" t="s">
        <v>278</v>
      </c>
      <c r="E380">
        <v>68</v>
      </c>
      <c r="F380">
        <v>65.75</v>
      </c>
      <c r="G380">
        <v>15.62</v>
      </c>
      <c r="H380">
        <v>18.63</v>
      </c>
      <c r="I380">
        <v>0</v>
      </c>
      <c r="J380" s="1">
        <v>45927.782602743056</v>
      </c>
      <c r="K380" t="s">
        <v>283</v>
      </c>
      <c r="L380">
        <f t="shared" si="5"/>
        <v>379</v>
      </c>
      <c r="M380">
        <f>COUNTIF($A$2:A380,A380)</f>
        <v>6</v>
      </c>
    </row>
    <row r="381" spans="1:13" x14ac:dyDescent="0.3">
      <c r="A381">
        <v>12626</v>
      </c>
      <c r="B381" t="s">
        <v>239</v>
      </c>
      <c r="C381" t="s">
        <v>100</v>
      </c>
      <c r="D381" t="s">
        <v>101</v>
      </c>
      <c r="E381">
        <v>80</v>
      </c>
      <c r="F381">
        <v>42.74</v>
      </c>
      <c r="G381">
        <v>36.99</v>
      </c>
      <c r="H381">
        <v>20.27</v>
      </c>
      <c r="I381">
        <v>0</v>
      </c>
      <c r="J381" s="1">
        <v>45927.782644791667</v>
      </c>
      <c r="K381" t="s">
        <v>283</v>
      </c>
      <c r="L381">
        <f t="shared" si="5"/>
        <v>380</v>
      </c>
      <c r="M381">
        <f>COUNTIF($A$2:A381,A381)</f>
        <v>7</v>
      </c>
    </row>
    <row r="382" spans="1:13" x14ac:dyDescent="0.3">
      <c r="A382">
        <v>12626</v>
      </c>
      <c r="B382" t="s">
        <v>239</v>
      </c>
      <c r="C382" t="s">
        <v>98</v>
      </c>
      <c r="D382" t="s">
        <v>99</v>
      </c>
      <c r="E382">
        <v>76</v>
      </c>
      <c r="F382">
        <v>54.25</v>
      </c>
      <c r="G382">
        <v>26.03</v>
      </c>
      <c r="H382">
        <v>19.73</v>
      </c>
      <c r="I382">
        <v>0</v>
      </c>
      <c r="J382" s="1">
        <v>45927.782686273145</v>
      </c>
      <c r="K382" t="s">
        <v>283</v>
      </c>
      <c r="L382">
        <f t="shared" si="5"/>
        <v>381</v>
      </c>
      <c r="M382">
        <f>COUNTIF($A$2:A382,A382)</f>
        <v>8</v>
      </c>
    </row>
    <row r="383" spans="1:13" x14ac:dyDescent="0.3">
      <c r="A383">
        <v>12626</v>
      </c>
      <c r="B383" t="s">
        <v>239</v>
      </c>
      <c r="C383" t="s">
        <v>96</v>
      </c>
      <c r="D383" t="s">
        <v>97</v>
      </c>
      <c r="E383">
        <v>88</v>
      </c>
      <c r="F383">
        <v>30.96</v>
      </c>
      <c r="G383">
        <v>48.22</v>
      </c>
      <c r="H383">
        <v>20.55</v>
      </c>
      <c r="I383">
        <v>0.27</v>
      </c>
      <c r="J383" s="1">
        <v>45927.782706759259</v>
      </c>
      <c r="K383" t="s">
        <v>283</v>
      </c>
      <c r="L383">
        <f t="shared" si="5"/>
        <v>382</v>
      </c>
      <c r="M383">
        <f>COUNTIF($A$2:A383,A383)</f>
        <v>9</v>
      </c>
    </row>
    <row r="384" spans="1:13" x14ac:dyDescent="0.3">
      <c r="A384">
        <v>12626</v>
      </c>
      <c r="B384" t="s">
        <v>239</v>
      </c>
      <c r="C384" t="s">
        <v>202</v>
      </c>
      <c r="D384" t="s">
        <v>203</v>
      </c>
      <c r="E384">
        <v>103</v>
      </c>
      <c r="F384">
        <v>9.32</v>
      </c>
      <c r="G384">
        <v>60.27</v>
      </c>
      <c r="H384">
        <v>30.14</v>
      </c>
      <c r="I384">
        <v>0.27</v>
      </c>
      <c r="J384" s="1">
        <v>45927.782722488424</v>
      </c>
      <c r="K384" t="s">
        <v>283</v>
      </c>
      <c r="L384">
        <f t="shared" si="5"/>
        <v>383</v>
      </c>
      <c r="M384">
        <f>COUNTIF($A$2:A384,A384)</f>
        <v>10</v>
      </c>
    </row>
    <row r="385" spans="1:13" x14ac:dyDescent="0.3">
      <c r="A385">
        <v>12626</v>
      </c>
      <c r="B385" t="s">
        <v>239</v>
      </c>
      <c r="C385" t="s">
        <v>200</v>
      </c>
      <c r="D385" t="s">
        <v>201</v>
      </c>
      <c r="E385">
        <v>116</v>
      </c>
      <c r="F385">
        <v>1.92</v>
      </c>
      <c r="G385">
        <v>58.36</v>
      </c>
      <c r="H385">
        <v>39.450000000000003</v>
      </c>
      <c r="I385">
        <v>0.27</v>
      </c>
      <c r="J385" s="1">
        <v>45927.782737986112</v>
      </c>
      <c r="K385" t="s">
        <v>283</v>
      </c>
      <c r="L385">
        <f t="shared" si="5"/>
        <v>384</v>
      </c>
      <c r="M385">
        <f>COUNTIF($A$2:A385,A385)</f>
        <v>11</v>
      </c>
    </row>
    <row r="386" spans="1:13" x14ac:dyDescent="0.3">
      <c r="A386">
        <v>12626</v>
      </c>
      <c r="B386" t="s">
        <v>239</v>
      </c>
      <c r="C386" t="s">
        <v>94</v>
      </c>
      <c r="D386" t="s">
        <v>95</v>
      </c>
      <c r="F386">
        <v>46.58</v>
      </c>
      <c r="G386">
        <v>29.86</v>
      </c>
      <c r="H386">
        <v>23.29</v>
      </c>
      <c r="I386">
        <v>0.27</v>
      </c>
      <c r="J386" s="1">
        <v>45927.78276746528</v>
      </c>
      <c r="K386" t="s">
        <v>283</v>
      </c>
      <c r="L386">
        <f t="shared" ref="L386:L449" si="6">ROW()-1</f>
        <v>385</v>
      </c>
      <c r="M386">
        <f>COUNTIF($A$2:A386,A386)</f>
        <v>12</v>
      </c>
    </row>
    <row r="387" spans="1:13" x14ac:dyDescent="0.3">
      <c r="A387">
        <v>12626</v>
      </c>
      <c r="B387" t="s">
        <v>239</v>
      </c>
      <c r="C387" t="s">
        <v>196</v>
      </c>
      <c r="D387" t="s">
        <v>197</v>
      </c>
      <c r="E387">
        <v>118</v>
      </c>
      <c r="F387">
        <v>1.37</v>
      </c>
      <c r="G387">
        <v>57.26</v>
      </c>
      <c r="H387">
        <v>41.1</v>
      </c>
      <c r="I387">
        <v>0.27</v>
      </c>
      <c r="J387" s="1">
        <v>45927.782786018521</v>
      </c>
      <c r="K387" t="s">
        <v>283</v>
      </c>
      <c r="L387">
        <f t="shared" si="6"/>
        <v>386</v>
      </c>
      <c r="M387">
        <f>COUNTIF($A$2:A387,A387)</f>
        <v>13</v>
      </c>
    </row>
    <row r="388" spans="1:13" x14ac:dyDescent="0.3">
      <c r="A388">
        <v>12626</v>
      </c>
      <c r="B388" t="s">
        <v>239</v>
      </c>
      <c r="C388" t="s">
        <v>92</v>
      </c>
      <c r="D388" t="s">
        <v>93</v>
      </c>
      <c r="E388">
        <v>128</v>
      </c>
      <c r="F388">
        <v>1.37</v>
      </c>
      <c r="G388">
        <v>47.12</v>
      </c>
      <c r="H388">
        <v>51.23</v>
      </c>
      <c r="I388">
        <v>0.28000000000000003</v>
      </c>
      <c r="J388" s="1">
        <v>45927.78280267361</v>
      </c>
      <c r="K388" t="s">
        <v>283</v>
      </c>
      <c r="L388">
        <f t="shared" si="6"/>
        <v>387</v>
      </c>
      <c r="M388">
        <f>COUNTIF($A$2:A388,A388)</f>
        <v>14</v>
      </c>
    </row>
    <row r="389" spans="1:13" x14ac:dyDescent="0.3">
      <c r="A389">
        <v>12626</v>
      </c>
      <c r="B389" t="s">
        <v>239</v>
      </c>
      <c r="C389" t="s">
        <v>88</v>
      </c>
      <c r="D389" t="s">
        <v>89</v>
      </c>
      <c r="E389">
        <v>98</v>
      </c>
      <c r="F389">
        <v>26.85</v>
      </c>
      <c r="G389">
        <v>43.84</v>
      </c>
      <c r="H389">
        <v>29.04</v>
      </c>
      <c r="I389">
        <v>0.27</v>
      </c>
      <c r="J389" s="1">
        <v>45927.782821342589</v>
      </c>
      <c r="K389" t="s">
        <v>283</v>
      </c>
      <c r="L389">
        <f t="shared" si="6"/>
        <v>388</v>
      </c>
      <c r="M389">
        <f>COUNTIF($A$2:A389,A389)</f>
        <v>15</v>
      </c>
    </row>
    <row r="390" spans="1:13" x14ac:dyDescent="0.3">
      <c r="A390">
        <v>12626</v>
      </c>
      <c r="B390" t="s">
        <v>239</v>
      </c>
      <c r="C390" t="s">
        <v>176</v>
      </c>
      <c r="D390" t="s">
        <v>177</v>
      </c>
      <c r="E390">
        <v>103</v>
      </c>
      <c r="F390">
        <v>24.38</v>
      </c>
      <c r="G390">
        <v>41.1</v>
      </c>
      <c r="H390">
        <v>34.25</v>
      </c>
      <c r="I390">
        <v>0.27</v>
      </c>
      <c r="J390" s="1">
        <v>45927.782841030094</v>
      </c>
      <c r="K390" t="s">
        <v>283</v>
      </c>
      <c r="L390">
        <f t="shared" si="6"/>
        <v>389</v>
      </c>
      <c r="M390">
        <f>COUNTIF($A$2:A390,A390)</f>
        <v>16</v>
      </c>
    </row>
    <row r="391" spans="1:13" x14ac:dyDescent="0.3">
      <c r="A391">
        <v>12626</v>
      </c>
      <c r="B391" t="s">
        <v>239</v>
      </c>
      <c r="C391" t="s">
        <v>178</v>
      </c>
      <c r="D391" t="s">
        <v>179</v>
      </c>
      <c r="E391">
        <v>107</v>
      </c>
      <c r="F391">
        <v>23.56</v>
      </c>
      <c r="G391">
        <v>39.729999999999997</v>
      </c>
      <c r="H391">
        <v>36.44</v>
      </c>
      <c r="I391">
        <v>0.27</v>
      </c>
      <c r="J391" s="1">
        <v>45927.782858078703</v>
      </c>
      <c r="K391" t="s">
        <v>283</v>
      </c>
      <c r="L391">
        <f t="shared" si="6"/>
        <v>390</v>
      </c>
      <c r="M391">
        <f>COUNTIF($A$2:A391,A391)</f>
        <v>17</v>
      </c>
    </row>
    <row r="392" spans="1:13" x14ac:dyDescent="0.3">
      <c r="A392">
        <v>12626</v>
      </c>
      <c r="B392" t="s">
        <v>239</v>
      </c>
      <c r="C392" t="s">
        <v>275</v>
      </c>
      <c r="D392" t="s">
        <v>276</v>
      </c>
      <c r="E392">
        <v>107</v>
      </c>
      <c r="F392">
        <v>33.15</v>
      </c>
      <c r="G392">
        <v>31.23</v>
      </c>
      <c r="H392">
        <v>35.619999999999997</v>
      </c>
      <c r="I392">
        <v>0</v>
      </c>
      <c r="J392" s="1">
        <v>45927.78289829861</v>
      </c>
      <c r="K392" t="s">
        <v>283</v>
      </c>
      <c r="L392">
        <f t="shared" si="6"/>
        <v>391</v>
      </c>
      <c r="M392">
        <f>COUNTIF($A$2:A392,A392)</f>
        <v>18</v>
      </c>
    </row>
    <row r="393" spans="1:13" x14ac:dyDescent="0.3">
      <c r="A393">
        <v>12626</v>
      </c>
      <c r="B393" t="s">
        <v>239</v>
      </c>
      <c r="C393" t="s">
        <v>273</v>
      </c>
      <c r="D393" t="s">
        <v>274</v>
      </c>
      <c r="E393">
        <v>114</v>
      </c>
      <c r="F393">
        <v>13.7</v>
      </c>
      <c r="G393">
        <v>49.59</v>
      </c>
      <c r="H393">
        <v>36.71</v>
      </c>
      <c r="I393">
        <v>0</v>
      </c>
      <c r="J393" s="1">
        <v>45927.7829408912</v>
      </c>
      <c r="K393" t="s">
        <v>283</v>
      </c>
      <c r="L393">
        <f t="shared" si="6"/>
        <v>392</v>
      </c>
      <c r="M393">
        <f>COUNTIF($A$2:A393,A393)</f>
        <v>19</v>
      </c>
    </row>
    <row r="394" spans="1:13" x14ac:dyDescent="0.3">
      <c r="A394">
        <v>12626</v>
      </c>
      <c r="B394" t="s">
        <v>239</v>
      </c>
      <c r="C394" t="s">
        <v>271</v>
      </c>
      <c r="D394" t="s">
        <v>272</v>
      </c>
      <c r="E394">
        <v>105</v>
      </c>
      <c r="F394">
        <v>36.99</v>
      </c>
      <c r="G394">
        <v>28.22</v>
      </c>
      <c r="H394">
        <v>34.79</v>
      </c>
      <c r="I394">
        <v>0</v>
      </c>
      <c r="J394" s="1">
        <v>45927.782958668984</v>
      </c>
      <c r="K394" t="s">
        <v>283</v>
      </c>
      <c r="L394">
        <f t="shared" si="6"/>
        <v>393</v>
      </c>
      <c r="M394">
        <f>COUNTIF($A$2:A394,A394)</f>
        <v>20</v>
      </c>
    </row>
    <row r="395" spans="1:13" x14ac:dyDescent="0.3">
      <c r="A395">
        <v>12626</v>
      </c>
      <c r="B395" t="s">
        <v>239</v>
      </c>
      <c r="C395" t="s">
        <v>19</v>
      </c>
      <c r="D395" t="s">
        <v>20</v>
      </c>
      <c r="E395">
        <v>98</v>
      </c>
      <c r="F395">
        <v>54.52</v>
      </c>
      <c r="G395">
        <v>12.88</v>
      </c>
      <c r="H395">
        <v>32.6</v>
      </c>
      <c r="I395">
        <v>0</v>
      </c>
      <c r="J395" s="1">
        <v>45927.783002847224</v>
      </c>
      <c r="K395" t="s">
        <v>283</v>
      </c>
      <c r="L395">
        <f t="shared" si="6"/>
        <v>394</v>
      </c>
      <c r="M395">
        <f>COUNTIF($A$2:A395,A395)</f>
        <v>21</v>
      </c>
    </row>
    <row r="396" spans="1:13" x14ac:dyDescent="0.3">
      <c r="A396">
        <v>12626</v>
      </c>
      <c r="B396" t="s">
        <v>239</v>
      </c>
      <c r="C396" t="s">
        <v>21</v>
      </c>
      <c r="D396" t="s">
        <v>22</v>
      </c>
      <c r="F396">
        <v>57.26</v>
      </c>
      <c r="G396">
        <v>9.32</v>
      </c>
      <c r="H396">
        <v>33.42</v>
      </c>
      <c r="I396">
        <v>0</v>
      </c>
      <c r="J396" s="1">
        <v>45927.783030682869</v>
      </c>
      <c r="K396" t="s">
        <v>283</v>
      </c>
      <c r="L396">
        <f t="shared" si="6"/>
        <v>395</v>
      </c>
      <c r="M396">
        <f>COUNTIF($A$2:A396,A396)</f>
        <v>22</v>
      </c>
    </row>
    <row r="397" spans="1:13" x14ac:dyDescent="0.3">
      <c r="A397">
        <v>12626</v>
      </c>
      <c r="B397" t="s">
        <v>239</v>
      </c>
      <c r="C397" t="s">
        <v>23</v>
      </c>
      <c r="D397" t="s">
        <v>24</v>
      </c>
      <c r="E397">
        <v>105</v>
      </c>
      <c r="F397">
        <v>49.04</v>
      </c>
      <c r="G397">
        <v>16.989999999999998</v>
      </c>
      <c r="H397">
        <v>33.97</v>
      </c>
      <c r="I397">
        <v>0</v>
      </c>
      <c r="J397" s="1">
        <v>45927.783050590275</v>
      </c>
      <c r="K397" t="s">
        <v>283</v>
      </c>
      <c r="L397">
        <f t="shared" si="6"/>
        <v>396</v>
      </c>
      <c r="M397">
        <f>COUNTIF($A$2:A397,A397)</f>
        <v>23</v>
      </c>
    </row>
    <row r="398" spans="1:13" x14ac:dyDescent="0.3">
      <c r="A398">
        <v>12626</v>
      </c>
      <c r="B398" t="s">
        <v>239</v>
      </c>
      <c r="C398" t="s">
        <v>25</v>
      </c>
      <c r="D398" t="s">
        <v>26</v>
      </c>
      <c r="E398">
        <v>105</v>
      </c>
      <c r="F398">
        <v>46.58</v>
      </c>
      <c r="G398">
        <v>19.45</v>
      </c>
      <c r="H398">
        <v>33.97</v>
      </c>
      <c r="I398">
        <v>0</v>
      </c>
      <c r="J398" s="1">
        <v>45927.783069930556</v>
      </c>
      <c r="K398" t="s">
        <v>283</v>
      </c>
      <c r="L398">
        <f t="shared" si="6"/>
        <v>397</v>
      </c>
      <c r="M398">
        <f>COUNTIF($A$2:A398,A398)</f>
        <v>24</v>
      </c>
    </row>
    <row r="399" spans="1:13" x14ac:dyDescent="0.3">
      <c r="A399">
        <v>12626</v>
      </c>
      <c r="B399" t="s">
        <v>239</v>
      </c>
      <c r="C399" t="s">
        <v>27</v>
      </c>
      <c r="D399" t="s">
        <v>28</v>
      </c>
      <c r="F399">
        <v>42.19</v>
      </c>
      <c r="G399">
        <v>22.74</v>
      </c>
      <c r="H399">
        <v>35.07</v>
      </c>
      <c r="I399">
        <v>0</v>
      </c>
      <c r="J399" s="1">
        <v>45927.783095914354</v>
      </c>
      <c r="K399" t="s">
        <v>283</v>
      </c>
      <c r="L399">
        <f t="shared" si="6"/>
        <v>398</v>
      </c>
      <c r="M399">
        <f>COUNTIF($A$2:A399,A399)</f>
        <v>25</v>
      </c>
    </row>
    <row r="400" spans="1:13" x14ac:dyDescent="0.3">
      <c r="A400">
        <v>12626</v>
      </c>
      <c r="B400" t="s">
        <v>239</v>
      </c>
      <c r="C400" t="s">
        <v>31</v>
      </c>
      <c r="D400" t="s">
        <v>32</v>
      </c>
      <c r="E400">
        <v>110</v>
      </c>
      <c r="F400">
        <v>37.81</v>
      </c>
      <c r="G400">
        <v>27.4</v>
      </c>
      <c r="H400">
        <v>34.25</v>
      </c>
      <c r="I400">
        <v>0.54</v>
      </c>
      <c r="J400" s="1">
        <v>45927.78311369213</v>
      </c>
      <c r="K400" t="s">
        <v>283</v>
      </c>
      <c r="L400">
        <f t="shared" si="6"/>
        <v>399</v>
      </c>
      <c r="M400">
        <f>COUNTIF($A$2:A400,A400)</f>
        <v>26</v>
      </c>
    </row>
    <row r="401" spans="1:13" x14ac:dyDescent="0.3">
      <c r="A401">
        <v>12626</v>
      </c>
      <c r="B401" t="s">
        <v>239</v>
      </c>
      <c r="C401" t="s">
        <v>269</v>
      </c>
      <c r="D401" t="s">
        <v>270</v>
      </c>
      <c r="E401">
        <v>108</v>
      </c>
      <c r="F401">
        <v>44.66</v>
      </c>
      <c r="G401">
        <v>23.01</v>
      </c>
      <c r="H401">
        <v>32.33</v>
      </c>
      <c r="I401">
        <v>0</v>
      </c>
      <c r="J401" s="1">
        <v>45927.783134050929</v>
      </c>
      <c r="K401" t="s">
        <v>283</v>
      </c>
      <c r="L401">
        <f t="shared" si="6"/>
        <v>400</v>
      </c>
      <c r="M401">
        <f>COUNTIF($A$2:A401,A401)</f>
        <v>27</v>
      </c>
    </row>
    <row r="402" spans="1:13" x14ac:dyDescent="0.3">
      <c r="A402">
        <v>12626</v>
      </c>
      <c r="B402" t="s">
        <v>239</v>
      </c>
      <c r="C402" t="s">
        <v>267</v>
      </c>
      <c r="D402" t="s">
        <v>268</v>
      </c>
      <c r="E402">
        <v>117</v>
      </c>
      <c r="F402">
        <v>16.71</v>
      </c>
      <c r="G402">
        <v>49.32</v>
      </c>
      <c r="H402">
        <v>33.97</v>
      </c>
      <c r="I402">
        <v>0</v>
      </c>
      <c r="J402" s="1">
        <v>45927.78317800926</v>
      </c>
      <c r="K402" t="s">
        <v>283</v>
      </c>
      <c r="L402">
        <f t="shared" si="6"/>
        <v>401</v>
      </c>
      <c r="M402">
        <f>COUNTIF($A$2:A402,A402)</f>
        <v>28</v>
      </c>
    </row>
    <row r="403" spans="1:13" x14ac:dyDescent="0.3">
      <c r="A403">
        <v>12626</v>
      </c>
      <c r="B403" t="s">
        <v>239</v>
      </c>
      <c r="C403" t="s">
        <v>265</v>
      </c>
      <c r="D403" t="s">
        <v>266</v>
      </c>
      <c r="E403">
        <v>110</v>
      </c>
      <c r="F403">
        <v>20</v>
      </c>
      <c r="G403">
        <v>49.04</v>
      </c>
      <c r="H403">
        <v>30.96</v>
      </c>
      <c r="I403">
        <v>0</v>
      </c>
      <c r="J403" s="1">
        <v>45927.783196377313</v>
      </c>
      <c r="K403" t="s">
        <v>283</v>
      </c>
      <c r="L403">
        <f t="shared" si="6"/>
        <v>402</v>
      </c>
      <c r="M403">
        <f>COUNTIF($A$2:A403,A403)</f>
        <v>29</v>
      </c>
    </row>
    <row r="404" spans="1:13" x14ac:dyDescent="0.3">
      <c r="A404">
        <v>12626</v>
      </c>
      <c r="B404" t="s">
        <v>239</v>
      </c>
      <c r="C404" t="s">
        <v>263</v>
      </c>
      <c r="D404" t="s">
        <v>264</v>
      </c>
      <c r="E404">
        <v>121</v>
      </c>
      <c r="F404">
        <v>5.75</v>
      </c>
      <c r="G404">
        <v>60.55</v>
      </c>
      <c r="H404">
        <v>33.700000000000003</v>
      </c>
      <c r="I404">
        <v>0</v>
      </c>
      <c r="J404" s="1">
        <v>45927.783211631948</v>
      </c>
      <c r="K404" t="s">
        <v>283</v>
      </c>
      <c r="L404">
        <f t="shared" si="6"/>
        <v>403</v>
      </c>
      <c r="M404">
        <f>COUNTIF($A$2:A404,A404)</f>
        <v>30</v>
      </c>
    </row>
    <row r="405" spans="1:13" x14ac:dyDescent="0.3">
      <c r="A405">
        <v>12626</v>
      </c>
      <c r="B405" t="s">
        <v>239</v>
      </c>
      <c r="C405" t="s">
        <v>261</v>
      </c>
      <c r="D405" t="s">
        <v>262</v>
      </c>
      <c r="E405">
        <v>116</v>
      </c>
      <c r="F405">
        <v>18.079999999999998</v>
      </c>
      <c r="G405">
        <v>49.04</v>
      </c>
      <c r="H405">
        <v>32.880000000000003</v>
      </c>
      <c r="I405">
        <v>0</v>
      </c>
      <c r="J405" s="1">
        <v>45927.783228113425</v>
      </c>
      <c r="K405" t="s">
        <v>283</v>
      </c>
      <c r="L405">
        <f t="shared" si="6"/>
        <v>404</v>
      </c>
      <c r="M405">
        <f>COUNTIF($A$2:A405,A405)</f>
        <v>31</v>
      </c>
    </row>
    <row r="406" spans="1:13" x14ac:dyDescent="0.3">
      <c r="A406">
        <v>12626</v>
      </c>
      <c r="B406" t="s">
        <v>239</v>
      </c>
      <c r="C406" t="s">
        <v>259</v>
      </c>
      <c r="D406" t="s">
        <v>260</v>
      </c>
      <c r="E406">
        <v>112</v>
      </c>
      <c r="F406">
        <v>38.630000000000003</v>
      </c>
      <c r="G406">
        <v>29.86</v>
      </c>
      <c r="H406">
        <v>31.51</v>
      </c>
      <c r="I406">
        <v>0</v>
      </c>
      <c r="J406" s="1">
        <v>45927.783272650464</v>
      </c>
      <c r="K406" t="s">
        <v>283</v>
      </c>
      <c r="L406">
        <f t="shared" si="6"/>
        <v>405</v>
      </c>
      <c r="M406">
        <f>COUNTIF($A$2:A406,A406)</f>
        <v>32</v>
      </c>
    </row>
    <row r="407" spans="1:13" x14ac:dyDescent="0.3">
      <c r="A407">
        <v>12626</v>
      </c>
      <c r="B407" t="s">
        <v>239</v>
      </c>
      <c r="C407" t="s">
        <v>257</v>
      </c>
      <c r="D407" t="s">
        <v>258</v>
      </c>
      <c r="E407">
        <v>113</v>
      </c>
      <c r="F407">
        <v>39.450000000000003</v>
      </c>
      <c r="G407">
        <v>29.04</v>
      </c>
      <c r="H407">
        <v>31.51</v>
      </c>
      <c r="I407">
        <v>0</v>
      </c>
      <c r="J407" s="1">
        <v>45927.783317847221</v>
      </c>
      <c r="K407" t="s">
        <v>283</v>
      </c>
      <c r="L407">
        <f t="shared" si="6"/>
        <v>406</v>
      </c>
      <c r="M407">
        <f>COUNTIF($A$2:A407,A407)</f>
        <v>33</v>
      </c>
    </row>
    <row r="408" spans="1:13" x14ac:dyDescent="0.3">
      <c r="A408">
        <v>12626</v>
      </c>
      <c r="B408" t="s">
        <v>239</v>
      </c>
      <c r="C408" t="s">
        <v>255</v>
      </c>
      <c r="D408" t="s">
        <v>256</v>
      </c>
      <c r="E408">
        <v>113</v>
      </c>
      <c r="F408">
        <v>42.47</v>
      </c>
      <c r="G408">
        <v>26.58</v>
      </c>
      <c r="H408">
        <v>30.96</v>
      </c>
      <c r="I408">
        <v>0</v>
      </c>
      <c r="J408" s="1">
        <v>45927.783358043984</v>
      </c>
      <c r="K408" t="s">
        <v>283</v>
      </c>
      <c r="L408">
        <f t="shared" si="6"/>
        <v>407</v>
      </c>
      <c r="M408">
        <f>COUNTIF($A$2:A408,A408)</f>
        <v>34</v>
      </c>
    </row>
    <row r="409" spans="1:13" x14ac:dyDescent="0.3">
      <c r="A409">
        <v>12626</v>
      </c>
      <c r="B409" t="s">
        <v>239</v>
      </c>
      <c r="C409" t="s">
        <v>253</v>
      </c>
      <c r="D409" t="s">
        <v>254</v>
      </c>
      <c r="E409">
        <v>113</v>
      </c>
      <c r="F409">
        <v>42.19</v>
      </c>
      <c r="G409">
        <v>26.3</v>
      </c>
      <c r="H409">
        <v>31.51</v>
      </c>
      <c r="I409">
        <v>0</v>
      </c>
      <c r="J409" s="1">
        <v>45927.783379039349</v>
      </c>
      <c r="K409" t="s">
        <v>283</v>
      </c>
      <c r="L409">
        <f t="shared" si="6"/>
        <v>408</v>
      </c>
      <c r="M409">
        <f>COUNTIF($A$2:A409,A409)</f>
        <v>35</v>
      </c>
    </row>
    <row r="410" spans="1:13" x14ac:dyDescent="0.3">
      <c r="A410">
        <v>12626</v>
      </c>
      <c r="B410" t="s">
        <v>239</v>
      </c>
      <c r="C410" t="s">
        <v>251</v>
      </c>
      <c r="D410" t="s">
        <v>252</v>
      </c>
      <c r="E410">
        <v>114</v>
      </c>
      <c r="F410">
        <v>39.450000000000003</v>
      </c>
      <c r="G410">
        <v>29.04</v>
      </c>
      <c r="H410">
        <v>31.51</v>
      </c>
      <c r="I410">
        <v>0</v>
      </c>
      <c r="J410" s="1">
        <v>45927.783420011576</v>
      </c>
      <c r="K410" t="s">
        <v>283</v>
      </c>
      <c r="L410">
        <f t="shared" si="6"/>
        <v>409</v>
      </c>
      <c r="M410">
        <f>COUNTIF($A$2:A410,A410)</f>
        <v>36</v>
      </c>
    </row>
    <row r="411" spans="1:13" x14ac:dyDescent="0.3">
      <c r="A411">
        <v>12626</v>
      </c>
      <c r="B411" t="s">
        <v>239</v>
      </c>
      <c r="C411" t="s">
        <v>249</v>
      </c>
      <c r="D411" t="s">
        <v>250</v>
      </c>
      <c r="E411">
        <v>115</v>
      </c>
      <c r="F411">
        <v>38.36</v>
      </c>
      <c r="G411">
        <v>30.41</v>
      </c>
      <c r="H411">
        <v>31.23</v>
      </c>
      <c r="I411">
        <v>0</v>
      </c>
      <c r="J411" s="1">
        <v>45927.783439780091</v>
      </c>
      <c r="K411" t="s">
        <v>283</v>
      </c>
      <c r="L411">
        <f t="shared" si="6"/>
        <v>410</v>
      </c>
      <c r="M411">
        <f>COUNTIF($A$2:A411,A411)</f>
        <v>37</v>
      </c>
    </row>
    <row r="412" spans="1:13" x14ac:dyDescent="0.3">
      <c r="A412">
        <v>12626</v>
      </c>
      <c r="B412" t="s">
        <v>239</v>
      </c>
      <c r="C412" t="s">
        <v>247</v>
      </c>
      <c r="D412" t="s">
        <v>248</v>
      </c>
      <c r="E412">
        <v>117</v>
      </c>
      <c r="F412">
        <v>32.049999999999997</v>
      </c>
      <c r="G412">
        <v>36.99</v>
      </c>
      <c r="H412">
        <v>30.96</v>
      </c>
      <c r="I412">
        <v>0</v>
      </c>
      <c r="J412" s="1">
        <v>45927.783455370372</v>
      </c>
      <c r="K412" t="s">
        <v>283</v>
      </c>
      <c r="L412">
        <f t="shared" si="6"/>
        <v>411</v>
      </c>
      <c r="M412">
        <f>COUNTIF($A$2:A412,A412)</f>
        <v>38</v>
      </c>
    </row>
    <row r="413" spans="1:13" x14ac:dyDescent="0.3">
      <c r="A413">
        <v>12626</v>
      </c>
      <c r="B413" t="s">
        <v>239</v>
      </c>
      <c r="C413" t="s">
        <v>245</v>
      </c>
      <c r="D413" t="s">
        <v>246</v>
      </c>
      <c r="E413">
        <v>123</v>
      </c>
      <c r="F413">
        <v>16.989999999999998</v>
      </c>
      <c r="G413">
        <v>51.78</v>
      </c>
      <c r="H413">
        <v>31.23</v>
      </c>
      <c r="I413">
        <v>0</v>
      </c>
      <c r="J413" s="1">
        <v>45927.783495324074</v>
      </c>
      <c r="K413" t="s">
        <v>283</v>
      </c>
      <c r="L413">
        <f t="shared" si="6"/>
        <v>412</v>
      </c>
      <c r="M413">
        <f>COUNTIF($A$2:A413,A413)</f>
        <v>39</v>
      </c>
    </row>
    <row r="414" spans="1:13" x14ac:dyDescent="0.3">
      <c r="A414">
        <v>12626</v>
      </c>
      <c r="B414" t="s">
        <v>239</v>
      </c>
      <c r="C414" t="s">
        <v>243</v>
      </c>
      <c r="D414" t="s">
        <v>244</v>
      </c>
      <c r="E414">
        <v>126</v>
      </c>
      <c r="F414">
        <v>13.15</v>
      </c>
      <c r="G414">
        <v>53.42</v>
      </c>
      <c r="H414">
        <v>33.42</v>
      </c>
      <c r="I414">
        <v>0.01</v>
      </c>
      <c r="J414" s="1">
        <v>45927.783513784721</v>
      </c>
      <c r="K414" t="s">
        <v>283</v>
      </c>
      <c r="L414">
        <f t="shared" si="6"/>
        <v>413</v>
      </c>
      <c r="M414">
        <f>COUNTIF($A$2:A414,A414)</f>
        <v>40</v>
      </c>
    </row>
    <row r="415" spans="1:13" x14ac:dyDescent="0.3">
      <c r="A415">
        <v>12626</v>
      </c>
      <c r="B415" t="s">
        <v>239</v>
      </c>
      <c r="C415" t="s">
        <v>284</v>
      </c>
      <c r="D415" t="s">
        <v>285</v>
      </c>
      <c r="E415">
        <v>107</v>
      </c>
      <c r="F415">
        <v>55.89</v>
      </c>
      <c r="G415">
        <v>17.260000000000002</v>
      </c>
      <c r="H415">
        <v>26.85</v>
      </c>
      <c r="I415">
        <v>0</v>
      </c>
      <c r="J415" s="1">
        <v>45927.783553946756</v>
      </c>
      <c r="K415" t="s">
        <v>283</v>
      </c>
      <c r="L415">
        <f t="shared" si="6"/>
        <v>414</v>
      </c>
      <c r="M415">
        <f>COUNTIF($A$2:A415,A415)</f>
        <v>41</v>
      </c>
    </row>
    <row r="416" spans="1:13" x14ac:dyDescent="0.3">
      <c r="A416">
        <v>12626</v>
      </c>
      <c r="B416" t="s">
        <v>239</v>
      </c>
      <c r="C416" t="s">
        <v>240</v>
      </c>
      <c r="D416" t="s">
        <v>241</v>
      </c>
      <c r="E416">
        <v>93</v>
      </c>
      <c r="F416">
        <v>63.29</v>
      </c>
      <c r="G416">
        <v>10.41</v>
      </c>
      <c r="H416">
        <v>26.3</v>
      </c>
      <c r="I416">
        <v>0</v>
      </c>
      <c r="J416" s="1">
        <v>45927.783570185187</v>
      </c>
      <c r="K416" t="s">
        <v>283</v>
      </c>
      <c r="L416">
        <f t="shared" si="6"/>
        <v>415</v>
      </c>
      <c r="M416">
        <f>COUNTIF($A$2:A416,A416)</f>
        <v>42</v>
      </c>
    </row>
    <row r="417" spans="1:13" x14ac:dyDescent="0.3">
      <c r="A417">
        <v>12951</v>
      </c>
      <c r="B417" t="s">
        <v>286</v>
      </c>
      <c r="C417" t="s">
        <v>287</v>
      </c>
      <c r="D417" t="s">
        <v>288</v>
      </c>
      <c r="E417">
        <v>7</v>
      </c>
      <c r="F417">
        <v>98.63</v>
      </c>
      <c r="G417">
        <v>0.27</v>
      </c>
      <c r="H417">
        <v>1.1000000000000001</v>
      </c>
      <c r="I417">
        <v>0</v>
      </c>
      <c r="J417" s="1">
        <v>45927.783636458335</v>
      </c>
      <c r="K417" t="s">
        <v>289</v>
      </c>
      <c r="L417">
        <f t="shared" si="6"/>
        <v>416</v>
      </c>
      <c r="M417">
        <f>COUNTIF($A$2:A417,A417)</f>
        <v>1</v>
      </c>
    </row>
    <row r="418" spans="1:13" x14ac:dyDescent="0.3">
      <c r="A418">
        <v>12951</v>
      </c>
      <c r="B418" t="s">
        <v>286</v>
      </c>
      <c r="C418" t="s">
        <v>290</v>
      </c>
      <c r="D418" t="s">
        <v>291</v>
      </c>
      <c r="E418">
        <v>15</v>
      </c>
      <c r="F418">
        <v>93.7</v>
      </c>
      <c r="G418">
        <v>5.21</v>
      </c>
      <c r="H418">
        <v>1.1000000000000001</v>
      </c>
      <c r="I418">
        <v>0</v>
      </c>
      <c r="J418" s="1">
        <v>45927.78368083333</v>
      </c>
      <c r="K418" t="s">
        <v>289</v>
      </c>
      <c r="L418">
        <f t="shared" si="6"/>
        <v>417</v>
      </c>
      <c r="M418">
        <f>COUNTIF($A$2:A418,A418)</f>
        <v>2</v>
      </c>
    </row>
    <row r="419" spans="1:13" x14ac:dyDescent="0.3">
      <c r="A419">
        <v>12951</v>
      </c>
      <c r="B419" t="s">
        <v>286</v>
      </c>
      <c r="C419" t="s">
        <v>292</v>
      </c>
      <c r="D419" t="s">
        <v>293</v>
      </c>
      <c r="E419">
        <v>16</v>
      </c>
      <c r="F419">
        <v>81.92</v>
      </c>
      <c r="G419">
        <v>16.16</v>
      </c>
      <c r="H419">
        <v>1.92</v>
      </c>
      <c r="I419">
        <v>0</v>
      </c>
      <c r="J419" s="1">
        <v>45927.783725000001</v>
      </c>
      <c r="K419" t="s">
        <v>289</v>
      </c>
      <c r="L419">
        <f t="shared" si="6"/>
        <v>418</v>
      </c>
      <c r="M419">
        <f>COUNTIF($A$2:A419,A419)</f>
        <v>3</v>
      </c>
    </row>
    <row r="420" spans="1:13" x14ac:dyDescent="0.3">
      <c r="A420">
        <v>12951</v>
      </c>
      <c r="B420" t="s">
        <v>286</v>
      </c>
      <c r="C420" t="s">
        <v>294</v>
      </c>
      <c r="D420" t="s">
        <v>295</v>
      </c>
      <c r="E420">
        <v>17</v>
      </c>
      <c r="F420">
        <v>74.52</v>
      </c>
      <c r="G420">
        <v>23.84</v>
      </c>
      <c r="H420">
        <v>1.64</v>
      </c>
      <c r="I420">
        <v>0</v>
      </c>
      <c r="J420" s="1">
        <v>45927.783766851855</v>
      </c>
      <c r="K420" t="s">
        <v>289</v>
      </c>
      <c r="L420">
        <f t="shared" si="6"/>
        <v>419</v>
      </c>
      <c r="M420">
        <f>COUNTIF($A$2:A420,A420)</f>
        <v>4</v>
      </c>
    </row>
    <row r="421" spans="1:13" x14ac:dyDescent="0.3">
      <c r="A421">
        <v>12951</v>
      </c>
      <c r="B421" t="s">
        <v>286</v>
      </c>
      <c r="C421" t="s">
        <v>296</v>
      </c>
      <c r="D421" t="s">
        <v>297</v>
      </c>
      <c r="E421">
        <v>15</v>
      </c>
      <c r="F421">
        <v>83.56</v>
      </c>
      <c r="G421">
        <v>14.25</v>
      </c>
      <c r="H421">
        <v>2.19</v>
      </c>
      <c r="I421">
        <v>0</v>
      </c>
      <c r="J421" s="1">
        <v>45927.783811805559</v>
      </c>
      <c r="K421" t="s">
        <v>289</v>
      </c>
      <c r="L421">
        <f t="shared" si="6"/>
        <v>420</v>
      </c>
      <c r="M421">
        <f>COUNTIF($A$2:A421,A421)</f>
        <v>5</v>
      </c>
    </row>
    <row r="422" spans="1:13" x14ac:dyDescent="0.3">
      <c r="A422">
        <v>12951</v>
      </c>
      <c r="B422" t="s">
        <v>286</v>
      </c>
      <c r="C422" t="s">
        <v>298</v>
      </c>
      <c r="D422" t="s">
        <v>299</v>
      </c>
      <c r="E422">
        <v>11</v>
      </c>
      <c r="F422">
        <v>92.05</v>
      </c>
      <c r="G422">
        <v>6.3</v>
      </c>
      <c r="H422">
        <v>1.64</v>
      </c>
      <c r="I422">
        <v>0.01</v>
      </c>
      <c r="J422" s="1">
        <v>45927.783833136571</v>
      </c>
      <c r="K422" t="s">
        <v>289</v>
      </c>
      <c r="L422">
        <f t="shared" si="6"/>
        <v>421</v>
      </c>
      <c r="M422">
        <f>COUNTIF($A$2:A422,A422)</f>
        <v>6</v>
      </c>
    </row>
    <row r="423" spans="1:13" x14ac:dyDescent="0.3">
      <c r="A423">
        <v>12951</v>
      </c>
      <c r="B423" t="s">
        <v>286</v>
      </c>
      <c r="C423" t="s">
        <v>300</v>
      </c>
      <c r="D423" t="s">
        <v>301</v>
      </c>
      <c r="E423">
        <v>16</v>
      </c>
      <c r="F423">
        <v>80.27</v>
      </c>
      <c r="G423">
        <v>17.809999999999999</v>
      </c>
      <c r="H423">
        <v>1.92</v>
      </c>
      <c r="I423">
        <v>0</v>
      </c>
      <c r="J423" s="1">
        <v>45927.783877662034</v>
      </c>
      <c r="K423" t="s">
        <v>289</v>
      </c>
      <c r="L423">
        <f t="shared" si="6"/>
        <v>422</v>
      </c>
      <c r="M423">
        <f>COUNTIF($A$2:A423,A423)</f>
        <v>7</v>
      </c>
    </row>
    <row r="424" spans="1:13" x14ac:dyDescent="0.3">
      <c r="A424">
        <v>12951</v>
      </c>
      <c r="B424" t="s">
        <v>286</v>
      </c>
      <c r="C424" t="s">
        <v>110</v>
      </c>
      <c r="D424" t="s">
        <v>111</v>
      </c>
      <c r="E424">
        <v>27</v>
      </c>
      <c r="F424">
        <v>82.47</v>
      </c>
      <c r="G424">
        <v>11.51</v>
      </c>
      <c r="H424">
        <v>6.03</v>
      </c>
      <c r="I424">
        <v>0</v>
      </c>
      <c r="J424" s="1">
        <v>45927.783920034723</v>
      </c>
      <c r="K424" t="s">
        <v>289</v>
      </c>
      <c r="L424">
        <f t="shared" si="6"/>
        <v>423</v>
      </c>
      <c r="M424">
        <f>COUNTIF($A$2:A424,A424)</f>
        <v>8</v>
      </c>
    </row>
    <row r="425" spans="1:13" x14ac:dyDescent="0.3">
      <c r="A425">
        <v>12952</v>
      </c>
      <c r="B425" t="s">
        <v>286</v>
      </c>
      <c r="C425" t="s">
        <v>110</v>
      </c>
      <c r="D425" t="s">
        <v>111</v>
      </c>
      <c r="E425">
        <v>8</v>
      </c>
      <c r="F425">
        <v>97.26</v>
      </c>
      <c r="G425">
        <v>0.55000000000000004</v>
      </c>
      <c r="H425">
        <v>2.19</v>
      </c>
      <c r="I425">
        <v>0</v>
      </c>
      <c r="J425" s="1">
        <v>45927.783990972224</v>
      </c>
      <c r="K425" t="s">
        <v>302</v>
      </c>
      <c r="L425">
        <f t="shared" si="6"/>
        <v>424</v>
      </c>
      <c r="M425">
        <f>COUNTIF($A$2:A425,A425)</f>
        <v>1</v>
      </c>
    </row>
    <row r="426" spans="1:13" x14ac:dyDescent="0.3">
      <c r="A426">
        <v>12952</v>
      </c>
      <c r="B426" t="s">
        <v>286</v>
      </c>
      <c r="C426" t="s">
        <v>300</v>
      </c>
      <c r="D426" t="s">
        <v>301</v>
      </c>
      <c r="E426">
        <v>20</v>
      </c>
      <c r="F426">
        <v>57.81</v>
      </c>
      <c r="G426">
        <v>38.9</v>
      </c>
      <c r="H426">
        <v>3.29</v>
      </c>
      <c r="I426">
        <v>0</v>
      </c>
      <c r="J426" s="1">
        <v>45927.784031909723</v>
      </c>
      <c r="K426" t="s">
        <v>302</v>
      </c>
      <c r="L426">
        <f t="shared" si="6"/>
        <v>425</v>
      </c>
      <c r="M426">
        <f>COUNTIF($A$2:A426,A426)</f>
        <v>2</v>
      </c>
    </row>
    <row r="427" spans="1:13" x14ac:dyDescent="0.3">
      <c r="A427">
        <v>12952</v>
      </c>
      <c r="B427" t="s">
        <v>286</v>
      </c>
      <c r="C427" t="s">
        <v>298</v>
      </c>
      <c r="D427" t="s">
        <v>299</v>
      </c>
      <c r="E427">
        <v>15</v>
      </c>
      <c r="F427">
        <v>76.709999999999994</v>
      </c>
      <c r="G427">
        <v>20</v>
      </c>
      <c r="H427">
        <v>3.29</v>
      </c>
      <c r="I427">
        <v>0</v>
      </c>
      <c r="J427" s="1">
        <v>45927.78407613426</v>
      </c>
      <c r="K427" t="s">
        <v>302</v>
      </c>
      <c r="L427">
        <f t="shared" si="6"/>
        <v>426</v>
      </c>
      <c r="M427">
        <f>COUNTIF($A$2:A427,A427)</f>
        <v>3</v>
      </c>
    </row>
    <row r="428" spans="1:13" x14ac:dyDescent="0.3">
      <c r="A428">
        <v>12952</v>
      </c>
      <c r="B428" t="s">
        <v>286</v>
      </c>
      <c r="C428" t="s">
        <v>296</v>
      </c>
      <c r="D428" t="s">
        <v>297</v>
      </c>
      <c r="E428">
        <v>20</v>
      </c>
      <c r="F428">
        <v>64.930000000000007</v>
      </c>
      <c r="G428">
        <v>31.51</v>
      </c>
      <c r="H428">
        <v>3.56</v>
      </c>
      <c r="I428">
        <v>0</v>
      </c>
      <c r="J428" s="1">
        <v>45927.784116539355</v>
      </c>
      <c r="K428" t="s">
        <v>302</v>
      </c>
      <c r="L428">
        <f t="shared" si="6"/>
        <v>427</v>
      </c>
      <c r="M428">
        <f>COUNTIF($A$2:A428,A428)</f>
        <v>4</v>
      </c>
    </row>
    <row r="429" spans="1:13" x14ac:dyDescent="0.3">
      <c r="A429">
        <v>12952</v>
      </c>
      <c r="B429" t="s">
        <v>286</v>
      </c>
      <c r="C429" t="s">
        <v>294</v>
      </c>
      <c r="D429" t="s">
        <v>295</v>
      </c>
      <c r="E429">
        <v>13</v>
      </c>
      <c r="F429">
        <v>87.12</v>
      </c>
      <c r="G429">
        <v>9.86</v>
      </c>
      <c r="H429">
        <v>3.01</v>
      </c>
      <c r="I429">
        <v>0.01</v>
      </c>
      <c r="J429" s="1">
        <v>45927.784131793982</v>
      </c>
      <c r="K429" t="s">
        <v>302</v>
      </c>
      <c r="L429">
        <f t="shared" si="6"/>
        <v>428</v>
      </c>
      <c r="M429">
        <f>COUNTIF($A$2:A429,A429)</f>
        <v>5</v>
      </c>
    </row>
    <row r="430" spans="1:13" x14ac:dyDescent="0.3">
      <c r="A430">
        <v>12952</v>
      </c>
      <c r="B430" t="s">
        <v>286</v>
      </c>
      <c r="C430" t="s">
        <v>292</v>
      </c>
      <c r="D430" t="s">
        <v>293</v>
      </c>
      <c r="E430">
        <v>15</v>
      </c>
      <c r="F430">
        <v>85.48</v>
      </c>
      <c r="G430">
        <v>11.51</v>
      </c>
      <c r="H430">
        <v>3.01</v>
      </c>
      <c r="I430">
        <v>0</v>
      </c>
      <c r="J430" s="1">
        <v>45927.78417204861</v>
      </c>
      <c r="K430" t="s">
        <v>302</v>
      </c>
      <c r="L430">
        <f t="shared" si="6"/>
        <v>429</v>
      </c>
      <c r="M430">
        <f>COUNTIF($A$2:A430,A430)</f>
        <v>6</v>
      </c>
    </row>
    <row r="431" spans="1:13" x14ac:dyDescent="0.3">
      <c r="A431">
        <v>12952</v>
      </c>
      <c r="B431" t="s">
        <v>286</v>
      </c>
      <c r="C431" t="s">
        <v>290</v>
      </c>
      <c r="D431" t="s">
        <v>291</v>
      </c>
      <c r="E431">
        <v>28</v>
      </c>
      <c r="F431">
        <v>24.38</v>
      </c>
      <c r="G431">
        <v>70.680000000000007</v>
      </c>
      <c r="H431">
        <v>4.93</v>
      </c>
      <c r="I431">
        <v>0.01</v>
      </c>
      <c r="J431" s="1">
        <v>45927.784187256948</v>
      </c>
      <c r="K431" t="s">
        <v>302</v>
      </c>
      <c r="L431">
        <f t="shared" si="6"/>
        <v>430</v>
      </c>
      <c r="M431">
        <f>COUNTIF($A$2:A431,A431)</f>
        <v>7</v>
      </c>
    </row>
    <row r="432" spans="1:13" x14ac:dyDescent="0.3">
      <c r="A432">
        <v>12952</v>
      </c>
      <c r="B432" t="s">
        <v>286</v>
      </c>
      <c r="C432" t="s">
        <v>287</v>
      </c>
      <c r="D432" t="s">
        <v>288</v>
      </c>
      <c r="E432">
        <v>13</v>
      </c>
      <c r="F432">
        <v>88.22</v>
      </c>
      <c r="G432">
        <v>7.4</v>
      </c>
      <c r="H432">
        <v>4.38</v>
      </c>
      <c r="I432">
        <v>0</v>
      </c>
      <c r="J432" s="1">
        <v>45927.784227384262</v>
      </c>
      <c r="K432" t="s">
        <v>302</v>
      </c>
      <c r="L432">
        <f t="shared" si="6"/>
        <v>431</v>
      </c>
      <c r="M432">
        <f>COUNTIF($A$2:A432,A432)</f>
        <v>8</v>
      </c>
    </row>
    <row r="433" spans="1:13" x14ac:dyDescent="0.3">
      <c r="A433">
        <v>22301</v>
      </c>
      <c r="B433" t="s">
        <v>83</v>
      </c>
      <c r="C433" t="s">
        <v>114</v>
      </c>
      <c r="D433" t="s">
        <v>115</v>
      </c>
      <c r="E433">
        <v>0</v>
      </c>
      <c r="F433">
        <v>100</v>
      </c>
      <c r="G433">
        <v>0</v>
      </c>
      <c r="H433">
        <v>0</v>
      </c>
      <c r="I433">
        <v>0</v>
      </c>
      <c r="J433" s="1">
        <v>45927.784259293985</v>
      </c>
      <c r="K433" t="s">
        <v>303</v>
      </c>
      <c r="L433">
        <f t="shared" si="6"/>
        <v>432</v>
      </c>
      <c r="M433">
        <f>COUNTIF($A$2:A433,A433)</f>
        <v>1</v>
      </c>
    </row>
    <row r="434" spans="1:13" x14ac:dyDescent="0.3">
      <c r="A434">
        <v>22301</v>
      </c>
      <c r="B434" t="s">
        <v>83</v>
      </c>
      <c r="C434" t="s">
        <v>304</v>
      </c>
      <c r="D434" t="s">
        <v>305</v>
      </c>
      <c r="E434">
        <v>19</v>
      </c>
      <c r="F434">
        <v>38.46</v>
      </c>
      <c r="G434">
        <v>61.54</v>
      </c>
      <c r="H434">
        <v>0</v>
      </c>
      <c r="I434">
        <v>0</v>
      </c>
      <c r="J434" s="1">
        <v>45927.78427971065</v>
      </c>
      <c r="K434" t="s">
        <v>303</v>
      </c>
      <c r="L434">
        <f t="shared" si="6"/>
        <v>433</v>
      </c>
      <c r="M434">
        <f>COUNTIF($A$2:A434,A434)</f>
        <v>2</v>
      </c>
    </row>
    <row r="435" spans="1:13" x14ac:dyDescent="0.3">
      <c r="A435">
        <v>22301</v>
      </c>
      <c r="B435" t="s">
        <v>83</v>
      </c>
      <c r="C435" t="s">
        <v>306</v>
      </c>
      <c r="D435" t="s">
        <v>307</v>
      </c>
      <c r="E435">
        <v>5</v>
      </c>
      <c r="F435">
        <v>92.31</v>
      </c>
      <c r="G435">
        <v>7.69</v>
      </c>
      <c r="H435">
        <v>0</v>
      </c>
      <c r="I435">
        <v>0</v>
      </c>
      <c r="J435" s="1">
        <v>45927.784320833336</v>
      </c>
      <c r="K435" t="s">
        <v>303</v>
      </c>
      <c r="L435">
        <f t="shared" si="6"/>
        <v>434</v>
      </c>
      <c r="M435">
        <f>COUNTIF($A$2:A435,A435)</f>
        <v>3</v>
      </c>
    </row>
    <row r="436" spans="1:13" x14ac:dyDescent="0.3">
      <c r="A436">
        <v>22301</v>
      </c>
      <c r="B436" t="s">
        <v>83</v>
      </c>
      <c r="C436" t="s">
        <v>308</v>
      </c>
      <c r="D436" t="s">
        <v>309</v>
      </c>
      <c r="E436">
        <v>14</v>
      </c>
      <c r="F436">
        <v>76.92</v>
      </c>
      <c r="G436">
        <v>19.23</v>
      </c>
      <c r="H436">
        <v>3.85</v>
      </c>
      <c r="I436">
        <v>0</v>
      </c>
      <c r="J436" s="1">
        <v>45927.784365497682</v>
      </c>
      <c r="K436" t="s">
        <v>303</v>
      </c>
      <c r="L436">
        <f t="shared" si="6"/>
        <v>435</v>
      </c>
      <c r="M436">
        <f>COUNTIF($A$2:A436,A436)</f>
        <v>4</v>
      </c>
    </row>
    <row r="437" spans="1:13" x14ac:dyDescent="0.3">
      <c r="A437">
        <v>22301</v>
      </c>
      <c r="B437" t="s">
        <v>83</v>
      </c>
      <c r="C437" t="s">
        <v>310</v>
      </c>
      <c r="D437" t="s">
        <v>311</v>
      </c>
      <c r="E437">
        <v>10</v>
      </c>
      <c r="F437">
        <v>26.92</v>
      </c>
      <c r="G437">
        <v>19.23</v>
      </c>
      <c r="H437">
        <v>0</v>
      </c>
      <c r="I437">
        <v>53.85</v>
      </c>
      <c r="J437" s="1">
        <v>45927.784382245372</v>
      </c>
      <c r="K437" t="s">
        <v>303</v>
      </c>
      <c r="L437">
        <f t="shared" si="6"/>
        <v>436</v>
      </c>
      <c r="M437">
        <f>COUNTIF($A$2:A437,A437)</f>
        <v>5</v>
      </c>
    </row>
    <row r="438" spans="1:13" x14ac:dyDescent="0.3">
      <c r="A438">
        <v>22301</v>
      </c>
      <c r="B438" t="s">
        <v>83</v>
      </c>
      <c r="C438" t="s">
        <v>312</v>
      </c>
      <c r="D438" t="s">
        <v>313</v>
      </c>
      <c r="E438">
        <v>7</v>
      </c>
      <c r="F438">
        <v>88.46</v>
      </c>
      <c r="G438">
        <v>11.54</v>
      </c>
      <c r="H438">
        <v>0</v>
      </c>
      <c r="I438">
        <v>0</v>
      </c>
      <c r="J438" s="1">
        <v>45927.784422141202</v>
      </c>
      <c r="K438" t="s">
        <v>303</v>
      </c>
      <c r="L438">
        <f t="shared" si="6"/>
        <v>437</v>
      </c>
      <c r="M438">
        <f>COUNTIF($A$2:A438,A438)</f>
        <v>6</v>
      </c>
    </row>
    <row r="439" spans="1:13" x14ac:dyDescent="0.3">
      <c r="A439">
        <v>22302</v>
      </c>
      <c r="B439" t="s">
        <v>83</v>
      </c>
      <c r="C439" t="s">
        <v>312</v>
      </c>
      <c r="D439" t="s">
        <v>313</v>
      </c>
      <c r="E439">
        <v>1</v>
      </c>
      <c r="F439">
        <v>100</v>
      </c>
      <c r="G439">
        <v>0</v>
      </c>
      <c r="H439">
        <v>0</v>
      </c>
      <c r="I439">
        <v>0</v>
      </c>
      <c r="J439" s="1">
        <v>45927.78445929398</v>
      </c>
      <c r="K439" t="s">
        <v>314</v>
      </c>
      <c r="L439">
        <f t="shared" si="6"/>
        <v>438</v>
      </c>
      <c r="M439">
        <f>COUNTIF($A$2:A439,A439)</f>
        <v>1</v>
      </c>
    </row>
    <row r="440" spans="1:13" x14ac:dyDescent="0.3">
      <c r="A440">
        <v>22302</v>
      </c>
      <c r="B440" t="s">
        <v>83</v>
      </c>
      <c r="C440" t="s">
        <v>310</v>
      </c>
      <c r="D440" t="s">
        <v>311</v>
      </c>
      <c r="E440">
        <v>15</v>
      </c>
      <c r="F440">
        <v>26.92</v>
      </c>
      <c r="G440">
        <v>19.23</v>
      </c>
      <c r="H440">
        <v>0</v>
      </c>
      <c r="I440">
        <v>53.85</v>
      </c>
      <c r="J440" s="1">
        <v>45927.784475162036</v>
      </c>
      <c r="K440" t="s">
        <v>314</v>
      </c>
      <c r="L440">
        <f t="shared" si="6"/>
        <v>439</v>
      </c>
      <c r="M440">
        <f>COUNTIF($A$2:A440,A440)</f>
        <v>2</v>
      </c>
    </row>
    <row r="441" spans="1:13" x14ac:dyDescent="0.3">
      <c r="A441">
        <v>22302</v>
      </c>
      <c r="B441" t="s">
        <v>83</v>
      </c>
      <c r="C441" t="s">
        <v>308</v>
      </c>
      <c r="D441" t="s">
        <v>309</v>
      </c>
      <c r="E441">
        <v>11</v>
      </c>
      <c r="F441">
        <v>84.62</v>
      </c>
      <c r="G441">
        <v>15.38</v>
      </c>
      <c r="H441">
        <v>0</v>
      </c>
      <c r="I441">
        <v>0</v>
      </c>
      <c r="J441" s="1">
        <v>45927.78451675926</v>
      </c>
      <c r="K441" t="s">
        <v>314</v>
      </c>
      <c r="L441">
        <f t="shared" si="6"/>
        <v>440</v>
      </c>
      <c r="M441">
        <f>COUNTIF($A$2:A441,A441)</f>
        <v>3</v>
      </c>
    </row>
    <row r="442" spans="1:13" x14ac:dyDescent="0.3">
      <c r="A442">
        <v>22302</v>
      </c>
      <c r="B442" t="s">
        <v>83</v>
      </c>
      <c r="C442" t="s">
        <v>306</v>
      </c>
      <c r="D442" t="s">
        <v>307</v>
      </c>
      <c r="E442">
        <v>15</v>
      </c>
      <c r="F442">
        <v>61.54</v>
      </c>
      <c r="G442">
        <v>38.46</v>
      </c>
      <c r="H442">
        <v>0</v>
      </c>
      <c r="I442">
        <v>0</v>
      </c>
      <c r="J442" s="1">
        <v>45927.784533912039</v>
      </c>
      <c r="K442" t="s">
        <v>314</v>
      </c>
      <c r="L442">
        <f t="shared" si="6"/>
        <v>441</v>
      </c>
      <c r="M442">
        <f>COUNTIF($A$2:A442,A442)</f>
        <v>4</v>
      </c>
    </row>
    <row r="443" spans="1:13" x14ac:dyDescent="0.3">
      <c r="A443">
        <v>22302</v>
      </c>
      <c r="B443" t="s">
        <v>83</v>
      </c>
      <c r="C443" t="s">
        <v>304</v>
      </c>
      <c r="D443" t="s">
        <v>305</v>
      </c>
      <c r="E443">
        <v>21</v>
      </c>
      <c r="F443">
        <v>46.15</v>
      </c>
      <c r="G443">
        <v>53.85</v>
      </c>
      <c r="H443">
        <v>0</v>
      </c>
      <c r="I443">
        <v>0</v>
      </c>
      <c r="J443" s="1">
        <v>45927.784550706019</v>
      </c>
      <c r="K443" t="s">
        <v>314</v>
      </c>
      <c r="L443">
        <f t="shared" si="6"/>
        <v>442</v>
      </c>
      <c r="M443">
        <f>COUNTIF($A$2:A443,A443)</f>
        <v>5</v>
      </c>
    </row>
    <row r="444" spans="1:13" x14ac:dyDescent="0.3">
      <c r="A444">
        <v>22302</v>
      </c>
      <c r="B444" t="s">
        <v>83</v>
      </c>
      <c r="C444" t="s">
        <v>114</v>
      </c>
      <c r="D444" t="s">
        <v>115</v>
      </c>
      <c r="F444">
        <v>96.15</v>
      </c>
      <c r="G444">
        <v>3.85</v>
      </c>
      <c r="H444">
        <v>0</v>
      </c>
      <c r="I444">
        <v>0</v>
      </c>
      <c r="J444" s="1">
        <v>45927.784594629629</v>
      </c>
      <c r="K444" t="s">
        <v>314</v>
      </c>
      <c r="L444">
        <f t="shared" si="6"/>
        <v>443</v>
      </c>
      <c r="M444">
        <f>COUNTIF($A$2:A444,A444)</f>
        <v>6</v>
      </c>
    </row>
    <row r="445" spans="1:13" x14ac:dyDescent="0.3">
      <c r="A445">
        <v>12001</v>
      </c>
      <c r="B445" t="s">
        <v>315</v>
      </c>
      <c r="C445" t="s">
        <v>316</v>
      </c>
      <c r="D445" t="s">
        <v>317</v>
      </c>
      <c r="E445">
        <v>3</v>
      </c>
      <c r="F445">
        <v>93.33</v>
      </c>
      <c r="G445">
        <v>6.67</v>
      </c>
      <c r="H445">
        <v>0</v>
      </c>
      <c r="I445">
        <v>0</v>
      </c>
      <c r="J445" s="1">
        <v>45927.784660185185</v>
      </c>
      <c r="K445" t="s">
        <v>318</v>
      </c>
      <c r="L445">
        <f t="shared" si="6"/>
        <v>444</v>
      </c>
      <c r="M445">
        <f>COUNTIF($A$2:A445,A445)</f>
        <v>1</v>
      </c>
    </row>
    <row r="446" spans="1:13" x14ac:dyDescent="0.3">
      <c r="A446">
        <v>12001</v>
      </c>
      <c r="B446" t="s">
        <v>315</v>
      </c>
      <c r="C446" t="s">
        <v>100</v>
      </c>
      <c r="D446" t="s">
        <v>101</v>
      </c>
      <c r="F446">
        <v>93.33</v>
      </c>
      <c r="G446">
        <v>6.67</v>
      </c>
      <c r="H446">
        <v>0</v>
      </c>
      <c r="I446">
        <v>0</v>
      </c>
      <c r="J446" s="1">
        <v>45927.784684363425</v>
      </c>
      <c r="K446" t="s">
        <v>318</v>
      </c>
      <c r="L446">
        <f t="shared" si="6"/>
        <v>445</v>
      </c>
      <c r="M446">
        <f>COUNTIF($A$2:A446,A446)</f>
        <v>2</v>
      </c>
    </row>
    <row r="447" spans="1:13" x14ac:dyDescent="0.3">
      <c r="A447">
        <v>12001</v>
      </c>
      <c r="B447" t="s">
        <v>315</v>
      </c>
      <c r="C447" t="s">
        <v>277</v>
      </c>
      <c r="D447" t="s">
        <v>278</v>
      </c>
      <c r="E447">
        <v>6</v>
      </c>
      <c r="F447">
        <v>90</v>
      </c>
      <c r="G447">
        <v>6.67</v>
      </c>
      <c r="H447">
        <v>3.33</v>
      </c>
      <c r="I447">
        <v>0</v>
      </c>
      <c r="J447" s="1">
        <v>45927.784704513891</v>
      </c>
      <c r="K447" t="s">
        <v>318</v>
      </c>
      <c r="L447">
        <f t="shared" si="6"/>
        <v>446</v>
      </c>
      <c r="M447">
        <f>COUNTIF($A$2:A447,A447)</f>
        <v>3</v>
      </c>
    </row>
    <row r="448" spans="1:13" x14ac:dyDescent="0.3">
      <c r="A448">
        <v>12001</v>
      </c>
      <c r="B448" t="s">
        <v>315</v>
      </c>
      <c r="C448" t="s">
        <v>319</v>
      </c>
      <c r="D448" t="s">
        <v>320</v>
      </c>
      <c r="E448">
        <v>17</v>
      </c>
      <c r="F448">
        <v>70</v>
      </c>
      <c r="G448">
        <v>26.67</v>
      </c>
      <c r="H448">
        <v>3.33</v>
      </c>
      <c r="I448">
        <v>0</v>
      </c>
      <c r="J448" s="1">
        <v>45927.784749502316</v>
      </c>
      <c r="K448" t="s">
        <v>318</v>
      </c>
      <c r="L448">
        <f t="shared" si="6"/>
        <v>447</v>
      </c>
      <c r="M448">
        <f>COUNTIF($A$2:A448,A448)</f>
        <v>4</v>
      </c>
    </row>
    <row r="449" spans="1:13" x14ac:dyDescent="0.3">
      <c r="A449">
        <v>12001</v>
      </c>
      <c r="B449" t="s">
        <v>315</v>
      </c>
      <c r="C449" t="s">
        <v>102</v>
      </c>
      <c r="D449" t="s">
        <v>103</v>
      </c>
      <c r="E449">
        <v>18</v>
      </c>
      <c r="F449">
        <v>80</v>
      </c>
      <c r="G449">
        <v>13.33</v>
      </c>
      <c r="H449">
        <v>6.67</v>
      </c>
      <c r="I449">
        <v>0</v>
      </c>
      <c r="J449" s="1">
        <v>45927.784769050922</v>
      </c>
      <c r="K449" t="s">
        <v>318</v>
      </c>
      <c r="L449">
        <f t="shared" si="6"/>
        <v>448</v>
      </c>
      <c r="M449">
        <f>COUNTIF($A$2:A449,A449)</f>
        <v>5</v>
      </c>
    </row>
    <row r="450" spans="1:13" x14ac:dyDescent="0.3">
      <c r="A450">
        <v>12001</v>
      </c>
      <c r="B450" t="s">
        <v>315</v>
      </c>
      <c r="C450" t="s">
        <v>104</v>
      </c>
      <c r="D450" t="s">
        <v>105</v>
      </c>
      <c r="E450">
        <v>25</v>
      </c>
      <c r="F450">
        <v>60</v>
      </c>
      <c r="G450">
        <v>33.33</v>
      </c>
      <c r="H450">
        <v>6.67</v>
      </c>
      <c r="I450">
        <v>0</v>
      </c>
      <c r="J450" s="1">
        <v>45927.784811782411</v>
      </c>
      <c r="K450" t="s">
        <v>318</v>
      </c>
      <c r="L450">
        <f t="shared" ref="L450:L513" si="7">ROW()-1</f>
        <v>449</v>
      </c>
      <c r="M450">
        <f>COUNTIF($A$2:A450,A450)</f>
        <v>6</v>
      </c>
    </row>
    <row r="451" spans="1:13" x14ac:dyDescent="0.3">
      <c r="A451">
        <v>12001</v>
      </c>
      <c r="B451" t="s">
        <v>315</v>
      </c>
      <c r="C451" t="s">
        <v>321</v>
      </c>
      <c r="D451" t="s">
        <v>322</v>
      </c>
      <c r="E451">
        <v>28</v>
      </c>
      <c r="F451">
        <v>43.33</v>
      </c>
      <c r="G451">
        <v>50</v>
      </c>
      <c r="H451">
        <v>6.67</v>
      </c>
      <c r="I451">
        <v>0</v>
      </c>
      <c r="J451" s="1">
        <v>45927.784854062498</v>
      </c>
      <c r="K451" t="s">
        <v>318</v>
      </c>
      <c r="L451">
        <f t="shared" si="7"/>
        <v>450</v>
      </c>
      <c r="M451">
        <f>COUNTIF($A$2:A451,A451)</f>
        <v>7</v>
      </c>
    </row>
    <row r="452" spans="1:13" x14ac:dyDescent="0.3">
      <c r="A452">
        <v>12001</v>
      </c>
      <c r="B452" t="s">
        <v>315</v>
      </c>
      <c r="C452" t="s">
        <v>323</v>
      </c>
      <c r="D452" t="s">
        <v>324</v>
      </c>
      <c r="E452">
        <v>16</v>
      </c>
      <c r="F452">
        <v>80</v>
      </c>
      <c r="G452">
        <v>13.33</v>
      </c>
      <c r="H452">
        <v>6.67</v>
      </c>
      <c r="I452">
        <v>0</v>
      </c>
      <c r="J452" s="1">
        <v>45927.784874363424</v>
      </c>
      <c r="K452" t="s">
        <v>318</v>
      </c>
      <c r="L452">
        <f t="shared" si="7"/>
        <v>451</v>
      </c>
      <c r="M452">
        <f>COUNTIF($A$2:A452,A452)</f>
        <v>8</v>
      </c>
    </row>
    <row r="453" spans="1:13" x14ac:dyDescent="0.3">
      <c r="A453">
        <v>12001</v>
      </c>
      <c r="B453" t="s">
        <v>315</v>
      </c>
      <c r="C453" t="s">
        <v>106</v>
      </c>
      <c r="D453" t="s">
        <v>107</v>
      </c>
      <c r="E453">
        <v>17</v>
      </c>
      <c r="F453">
        <v>80</v>
      </c>
      <c r="G453">
        <v>13.33</v>
      </c>
      <c r="H453">
        <v>6.67</v>
      </c>
      <c r="I453">
        <v>0</v>
      </c>
      <c r="J453" s="1">
        <v>45927.784890648145</v>
      </c>
      <c r="K453" t="s">
        <v>318</v>
      </c>
      <c r="L453">
        <f t="shared" si="7"/>
        <v>452</v>
      </c>
      <c r="M453">
        <f>COUNTIF($A$2:A453,A453)</f>
        <v>9</v>
      </c>
    </row>
    <row r="454" spans="1:13" x14ac:dyDescent="0.3">
      <c r="A454">
        <v>12001</v>
      </c>
      <c r="B454" t="s">
        <v>315</v>
      </c>
      <c r="C454" t="s">
        <v>279</v>
      </c>
      <c r="D454" t="s">
        <v>280</v>
      </c>
      <c r="E454">
        <v>22</v>
      </c>
      <c r="F454">
        <v>73.33</v>
      </c>
      <c r="G454">
        <v>20</v>
      </c>
      <c r="H454">
        <v>6.67</v>
      </c>
      <c r="I454">
        <v>0</v>
      </c>
      <c r="J454" s="1">
        <v>45927.784934826392</v>
      </c>
      <c r="K454" t="s">
        <v>318</v>
      </c>
      <c r="L454">
        <f t="shared" si="7"/>
        <v>453</v>
      </c>
      <c r="M454">
        <f>COUNTIF($A$2:A454,A454)</f>
        <v>10</v>
      </c>
    </row>
    <row r="455" spans="1:13" x14ac:dyDescent="0.3">
      <c r="A455">
        <v>12001</v>
      </c>
      <c r="B455" t="s">
        <v>315</v>
      </c>
      <c r="C455" t="s">
        <v>110</v>
      </c>
      <c r="D455" t="s">
        <v>111</v>
      </c>
      <c r="E455">
        <v>11</v>
      </c>
      <c r="F455">
        <v>83.33</v>
      </c>
      <c r="G455">
        <v>10</v>
      </c>
      <c r="H455">
        <v>6.67</v>
      </c>
      <c r="I455">
        <v>0</v>
      </c>
      <c r="J455" s="1">
        <v>45927.784978171294</v>
      </c>
      <c r="K455" t="s">
        <v>318</v>
      </c>
      <c r="L455">
        <f t="shared" si="7"/>
        <v>454</v>
      </c>
      <c r="M455">
        <f>COUNTIF($A$2:A455,A455)</f>
        <v>11</v>
      </c>
    </row>
    <row r="456" spans="1:13" x14ac:dyDescent="0.3">
      <c r="A456">
        <v>12002</v>
      </c>
      <c r="B456" t="s">
        <v>315</v>
      </c>
      <c r="C456" t="s">
        <v>110</v>
      </c>
      <c r="D456" t="s">
        <v>111</v>
      </c>
      <c r="E456">
        <v>1</v>
      </c>
      <c r="F456">
        <v>100</v>
      </c>
      <c r="G456">
        <v>0</v>
      </c>
      <c r="H456">
        <v>0</v>
      </c>
      <c r="I456">
        <v>0</v>
      </c>
      <c r="J456" s="1">
        <v>45927.785014236113</v>
      </c>
      <c r="K456" t="s">
        <v>325</v>
      </c>
      <c r="L456">
        <f t="shared" si="7"/>
        <v>455</v>
      </c>
      <c r="M456">
        <f>COUNTIF($A$2:A456,A456)</f>
        <v>1</v>
      </c>
    </row>
    <row r="457" spans="1:13" x14ac:dyDescent="0.3">
      <c r="A457">
        <v>12002</v>
      </c>
      <c r="B457" t="s">
        <v>315</v>
      </c>
      <c r="C457" t="s">
        <v>279</v>
      </c>
      <c r="D457" t="s">
        <v>280</v>
      </c>
      <c r="E457">
        <v>17</v>
      </c>
      <c r="F457">
        <v>40</v>
      </c>
      <c r="G457">
        <v>60</v>
      </c>
      <c r="H457">
        <v>0</v>
      </c>
      <c r="I457">
        <v>0</v>
      </c>
      <c r="J457" s="1">
        <v>45927.785033877313</v>
      </c>
      <c r="K457" t="s">
        <v>325</v>
      </c>
      <c r="L457">
        <f t="shared" si="7"/>
        <v>456</v>
      </c>
      <c r="M457">
        <f>COUNTIF($A$2:A457,A457)</f>
        <v>2</v>
      </c>
    </row>
    <row r="458" spans="1:13" x14ac:dyDescent="0.3">
      <c r="A458">
        <v>12002</v>
      </c>
      <c r="B458" t="s">
        <v>315</v>
      </c>
      <c r="C458" t="s">
        <v>106</v>
      </c>
      <c r="D458" t="s">
        <v>107</v>
      </c>
      <c r="E458">
        <v>22</v>
      </c>
      <c r="F458">
        <v>3.33</v>
      </c>
      <c r="G458">
        <v>96.67</v>
      </c>
      <c r="H458">
        <v>0</v>
      </c>
      <c r="I458">
        <v>0</v>
      </c>
      <c r="J458" s="1">
        <v>45927.785051203704</v>
      </c>
      <c r="K458" t="s">
        <v>325</v>
      </c>
      <c r="L458">
        <f t="shared" si="7"/>
        <v>457</v>
      </c>
      <c r="M458">
        <f>COUNTIF($A$2:A458,A458)</f>
        <v>3</v>
      </c>
    </row>
    <row r="459" spans="1:13" x14ac:dyDescent="0.3">
      <c r="A459">
        <v>12002</v>
      </c>
      <c r="B459" t="s">
        <v>315</v>
      </c>
      <c r="C459" t="s">
        <v>323</v>
      </c>
      <c r="D459" t="s">
        <v>324</v>
      </c>
      <c r="E459">
        <v>14</v>
      </c>
      <c r="F459">
        <v>66.67</v>
      </c>
      <c r="G459">
        <v>33.33</v>
      </c>
      <c r="H459">
        <v>0</v>
      </c>
      <c r="I459">
        <v>0</v>
      </c>
      <c r="J459" s="1">
        <v>45927.785070520833</v>
      </c>
      <c r="K459" t="s">
        <v>325</v>
      </c>
      <c r="L459">
        <f t="shared" si="7"/>
        <v>458</v>
      </c>
      <c r="M459">
        <f>COUNTIF($A$2:A459,A459)</f>
        <v>4</v>
      </c>
    </row>
    <row r="460" spans="1:13" x14ac:dyDescent="0.3">
      <c r="A460">
        <v>12002</v>
      </c>
      <c r="B460" t="s">
        <v>315</v>
      </c>
      <c r="C460" t="s">
        <v>321</v>
      </c>
      <c r="D460" t="s">
        <v>322</v>
      </c>
      <c r="E460">
        <v>17</v>
      </c>
      <c r="F460">
        <v>46.67</v>
      </c>
      <c r="G460">
        <v>53.33</v>
      </c>
      <c r="H460">
        <v>0</v>
      </c>
      <c r="I460">
        <v>0</v>
      </c>
      <c r="J460" s="1">
        <v>45927.785089155092</v>
      </c>
      <c r="K460" t="s">
        <v>325</v>
      </c>
      <c r="L460">
        <f t="shared" si="7"/>
        <v>459</v>
      </c>
      <c r="M460">
        <f>COUNTIF($A$2:A460,A460)</f>
        <v>5</v>
      </c>
    </row>
    <row r="461" spans="1:13" x14ac:dyDescent="0.3">
      <c r="A461">
        <v>12002</v>
      </c>
      <c r="B461" t="s">
        <v>315</v>
      </c>
      <c r="C461" t="s">
        <v>104</v>
      </c>
      <c r="D461" t="s">
        <v>105</v>
      </c>
      <c r="F461">
        <v>36.67</v>
      </c>
      <c r="G461">
        <v>63.33</v>
      </c>
      <c r="H461">
        <v>0</v>
      </c>
      <c r="I461">
        <v>0</v>
      </c>
      <c r="J461" s="1">
        <v>45927.785113761573</v>
      </c>
      <c r="K461" t="s">
        <v>325</v>
      </c>
      <c r="L461">
        <f t="shared" si="7"/>
        <v>460</v>
      </c>
      <c r="M461">
        <f>COUNTIF($A$2:A461,A461)</f>
        <v>6</v>
      </c>
    </row>
    <row r="462" spans="1:13" x14ac:dyDescent="0.3">
      <c r="A462">
        <v>12002</v>
      </c>
      <c r="B462" t="s">
        <v>315</v>
      </c>
      <c r="C462" t="s">
        <v>102</v>
      </c>
      <c r="D462" t="s">
        <v>103</v>
      </c>
      <c r="F462">
        <v>80</v>
      </c>
      <c r="G462">
        <v>20</v>
      </c>
      <c r="H462">
        <v>0</v>
      </c>
      <c r="I462">
        <v>0</v>
      </c>
      <c r="J462" s="1">
        <v>45927.785132569443</v>
      </c>
      <c r="K462" t="s">
        <v>325</v>
      </c>
      <c r="L462">
        <f t="shared" si="7"/>
        <v>461</v>
      </c>
      <c r="M462">
        <f>COUNTIF($A$2:A462,A462)</f>
        <v>7</v>
      </c>
    </row>
    <row r="463" spans="1:13" x14ac:dyDescent="0.3">
      <c r="A463">
        <v>12002</v>
      </c>
      <c r="B463" t="s">
        <v>315</v>
      </c>
      <c r="C463" t="s">
        <v>319</v>
      </c>
      <c r="D463" t="s">
        <v>320</v>
      </c>
      <c r="F463">
        <v>53.33</v>
      </c>
      <c r="G463">
        <v>46.67</v>
      </c>
      <c r="H463">
        <v>0</v>
      </c>
      <c r="I463">
        <v>0</v>
      </c>
      <c r="J463" s="1">
        <v>45927.785156226855</v>
      </c>
      <c r="K463" t="s">
        <v>325</v>
      </c>
      <c r="L463">
        <f t="shared" si="7"/>
        <v>462</v>
      </c>
      <c r="M463">
        <f>COUNTIF($A$2:A463,A463)</f>
        <v>8</v>
      </c>
    </row>
    <row r="464" spans="1:13" x14ac:dyDescent="0.3">
      <c r="A464">
        <v>12002</v>
      </c>
      <c r="B464" t="s">
        <v>315</v>
      </c>
      <c r="C464" t="s">
        <v>277</v>
      </c>
      <c r="D464" t="s">
        <v>278</v>
      </c>
      <c r="E464">
        <v>9</v>
      </c>
      <c r="F464">
        <v>83.33</v>
      </c>
      <c r="G464">
        <v>16.670000000000002</v>
      </c>
      <c r="H464">
        <v>0</v>
      </c>
      <c r="I464">
        <v>0</v>
      </c>
      <c r="J464" s="1">
        <v>45927.785172164353</v>
      </c>
      <c r="K464" t="s">
        <v>325</v>
      </c>
      <c r="L464">
        <f t="shared" si="7"/>
        <v>463</v>
      </c>
      <c r="M464">
        <f>COUNTIF($A$2:A464,A464)</f>
        <v>9</v>
      </c>
    </row>
    <row r="465" spans="1:13" x14ac:dyDescent="0.3">
      <c r="A465">
        <v>12002</v>
      </c>
      <c r="B465" t="s">
        <v>315</v>
      </c>
      <c r="C465" t="s">
        <v>100</v>
      </c>
      <c r="D465" t="s">
        <v>101</v>
      </c>
      <c r="E465">
        <v>13</v>
      </c>
      <c r="F465">
        <v>66.67</v>
      </c>
      <c r="G465">
        <v>33.33</v>
      </c>
      <c r="H465">
        <v>0</v>
      </c>
      <c r="I465">
        <v>0</v>
      </c>
      <c r="J465" s="1">
        <v>45927.785191840281</v>
      </c>
      <c r="K465" t="s">
        <v>325</v>
      </c>
      <c r="L465">
        <f t="shared" si="7"/>
        <v>464</v>
      </c>
      <c r="M465">
        <f>COUNTIF($A$2:A465,A465)</f>
        <v>10</v>
      </c>
    </row>
    <row r="466" spans="1:13" x14ac:dyDescent="0.3">
      <c r="A466">
        <v>12002</v>
      </c>
      <c r="B466" t="s">
        <v>315</v>
      </c>
      <c r="C466" t="s">
        <v>316</v>
      </c>
      <c r="D466" t="s">
        <v>317</v>
      </c>
      <c r="E466">
        <v>3</v>
      </c>
      <c r="F466">
        <v>83.33</v>
      </c>
      <c r="G466">
        <v>16.670000000000002</v>
      </c>
      <c r="H466">
        <v>0</v>
      </c>
      <c r="I466">
        <v>0</v>
      </c>
      <c r="J466" s="1">
        <v>45927.785209386573</v>
      </c>
      <c r="K466" t="s">
        <v>325</v>
      </c>
      <c r="L466">
        <f t="shared" si="7"/>
        <v>465</v>
      </c>
      <c r="M466">
        <f>COUNTIF($A$2:A466,A466)</f>
        <v>11</v>
      </c>
    </row>
    <row r="467" spans="1:13" x14ac:dyDescent="0.3">
      <c r="A467">
        <v>12903</v>
      </c>
      <c r="B467" t="s">
        <v>326</v>
      </c>
      <c r="C467" t="s">
        <v>327</v>
      </c>
      <c r="D467" t="s">
        <v>328</v>
      </c>
      <c r="F467">
        <v>100</v>
      </c>
      <c r="G467">
        <v>0</v>
      </c>
      <c r="H467">
        <v>0</v>
      </c>
      <c r="I467">
        <v>0</v>
      </c>
      <c r="J467" s="1">
        <v>45927.785258460652</v>
      </c>
      <c r="K467" t="s">
        <v>329</v>
      </c>
      <c r="L467">
        <f t="shared" si="7"/>
        <v>466</v>
      </c>
      <c r="M467">
        <f>COUNTIF($A$2:A467,A467)</f>
        <v>1</v>
      </c>
    </row>
    <row r="468" spans="1:13" x14ac:dyDescent="0.3">
      <c r="A468">
        <v>12903</v>
      </c>
      <c r="B468" t="s">
        <v>326</v>
      </c>
      <c r="C468" t="s">
        <v>290</v>
      </c>
      <c r="D468" t="s">
        <v>291</v>
      </c>
      <c r="F468">
        <v>86.67</v>
      </c>
      <c r="G468">
        <v>13.33</v>
      </c>
      <c r="H468">
        <v>0</v>
      </c>
      <c r="I468">
        <v>0</v>
      </c>
      <c r="J468" s="1">
        <v>45927.78528329861</v>
      </c>
      <c r="K468" t="s">
        <v>329</v>
      </c>
      <c r="L468">
        <f t="shared" si="7"/>
        <v>467</v>
      </c>
      <c r="M468">
        <f>COUNTIF($A$2:A468,A468)</f>
        <v>2</v>
      </c>
    </row>
    <row r="469" spans="1:13" x14ac:dyDescent="0.3">
      <c r="A469">
        <v>12903</v>
      </c>
      <c r="B469" t="s">
        <v>326</v>
      </c>
      <c r="C469" t="s">
        <v>292</v>
      </c>
      <c r="D469" t="s">
        <v>293</v>
      </c>
      <c r="E469">
        <v>25</v>
      </c>
      <c r="F469">
        <v>70</v>
      </c>
      <c r="G469">
        <v>23.33</v>
      </c>
      <c r="H469">
        <v>6.67</v>
      </c>
      <c r="I469">
        <v>0</v>
      </c>
      <c r="J469" s="1">
        <v>45927.785322800926</v>
      </c>
      <c r="K469" t="s">
        <v>329</v>
      </c>
      <c r="L469">
        <f t="shared" si="7"/>
        <v>468</v>
      </c>
      <c r="M469">
        <f>COUNTIF($A$2:A469,A469)</f>
        <v>3</v>
      </c>
    </row>
    <row r="470" spans="1:13" x14ac:dyDescent="0.3">
      <c r="A470">
        <v>12903</v>
      </c>
      <c r="B470" t="s">
        <v>326</v>
      </c>
      <c r="C470" t="s">
        <v>294</v>
      </c>
      <c r="D470" t="s">
        <v>295</v>
      </c>
      <c r="E470">
        <v>30</v>
      </c>
      <c r="F470">
        <v>80</v>
      </c>
      <c r="G470">
        <v>6.67</v>
      </c>
      <c r="H470">
        <v>13.33</v>
      </c>
      <c r="I470">
        <v>0</v>
      </c>
      <c r="J470" s="1">
        <v>45927.78533939815</v>
      </c>
      <c r="K470" t="s">
        <v>329</v>
      </c>
      <c r="L470">
        <f t="shared" si="7"/>
        <v>469</v>
      </c>
      <c r="M470">
        <f>COUNTIF($A$2:A470,A470)</f>
        <v>4</v>
      </c>
    </row>
    <row r="471" spans="1:13" x14ac:dyDescent="0.3">
      <c r="A471">
        <v>12903</v>
      </c>
      <c r="B471" t="s">
        <v>326</v>
      </c>
      <c r="C471" t="s">
        <v>330</v>
      </c>
      <c r="D471" t="s">
        <v>331</v>
      </c>
      <c r="E471">
        <v>28</v>
      </c>
      <c r="F471">
        <v>76.67</v>
      </c>
      <c r="G471">
        <v>10</v>
      </c>
      <c r="H471">
        <v>13.33</v>
      </c>
      <c r="I471">
        <v>0</v>
      </c>
      <c r="J471" s="1">
        <v>45927.785384062503</v>
      </c>
      <c r="K471" t="s">
        <v>329</v>
      </c>
      <c r="L471">
        <f t="shared" si="7"/>
        <v>470</v>
      </c>
      <c r="M471">
        <f>COUNTIF($A$2:A471,A471)</f>
        <v>5</v>
      </c>
    </row>
    <row r="472" spans="1:13" x14ac:dyDescent="0.3">
      <c r="A472">
        <v>12903</v>
      </c>
      <c r="B472" t="s">
        <v>326</v>
      </c>
      <c r="C472" t="s">
        <v>332</v>
      </c>
      <c r="D472" t="s">
        <v>333</v>
      </c>
      <c r="E472">
        <v>33</v>
      </c>
      <c r="F472">
        <v>53.33</v>
      </c>
      <c r="G472">
        <v>33.33</v>
      </c>
      <c r="H472">
        <v>13.33</v>
      </c>
      <c r="I472">
        <v>0.01</v>
      </c>
      <c r="J472" s="1">
        <v>45927.785401574074</v>
      </c>
      <c r="K472" t="s">
        <v>329</v>
      </c>
      <c r="L472">
        <f t="shared" si="7"/>
        <v>471</v>
      </c>
      <c r="M472">
        <f>COUNTIF($A$2:A472,A472)</f>
        <v>6</v>
      </c>
    </row>
    <row r="473" spans="1:13" x14ac:dyDescent="0.3">
      <c r="A473">
        <v>12903</v>
      </c>
      <c r="B473" t="s">
        <v>326</v>
      </c>
      <c r="C473" t="s">
        <v>334</v>
      </c>
      <c r="D473" t="s">
        <v>335</v>
      </c>
      <c r="E473">
        <v>34</v>
      </c>
      <c r="F473">
        <v>53.33</v>
      </c>
      <c r="G473">
        <v>33.33</v>
      </c>
      <c r="H473">
        <v>13.33</v>
      </c>
      <c r="I473">
        <v>0.01</v>
      </c>
      <c r="J473" s="1">
        <v>45927.785421793982</v>
      </c>
      <c r="K473" t="s">
        <v>329</v>
      </c>
      <c r="L473">
        <f t="shared" si="7"/>
        <v>472</v>
      </c>
      <c r="M473">
        <f>COUNTIF($A$2:A473,A473)</f>
        <v>7</v>
      </c>
    </row>
    <row r="474" spans="1:13" x14ac:dyDescent="0.3">
      <c r="A474">
        <v>12903</v>
      </c>
      <c r="B474" t="s">
        <v>326</v>
      </c>
      <c r="C474" t="s">
        <v>296</v>
      </c>
      <c r="D474" t="s">
        <v>297</v>
      </c>
      <c r="E474">
        <v>25</v>
      </c>
      <c r="F474">
        <v>86.67</v>
      </c>
      <c r="G474">
        <v>0</v>
      </c>
      <c r="H474">
        <v>13.33</v>
      </c>
      <c r="I474">
        <v>0</v>
      </c>
      <c r="J474" s="1">
        <v>45927.785465590277</v>
      </c>
      <c r="K474" t="s">
        <v>329</v>
      </c>
      <c r="L474">
        <f t="shared" si="7"/>
        <v>473</v>
      </c>
      <c r="M474">
        <f>COUNTIF($A$2:A474,A474)</f>
        <v>8</v>
      </c>
    </row>
    <row r="475" spans="1:13" x14ac:dyDescent="0.3">
      <c r="A475">
        <v>12903</v>
      </c>
      <c r="B475" t="s">
        <v>326</v>
      </c>
      <c r="C475" t="s">
        <v>298</v>
      </c>
      <c r="D475" t="s">
        <v>299</v>
      </c>
      <c r="E475">
        <v>20</v>
      </c>
      <c r="F475">
        <v>86.67</v>
      </c>
      <c r="G475">
        <v>0</v>
      </c>
      <c r="H475">
        <v>13.33</v>
      </c>
      <c r="I475">
        <v>0</v>
      </c>
      <c r="J475" s="1">
        <v>45927.785506307868</v>
      </c>
      <c r="K475" t="s">
        <v>329</v>
      </c>
      <c r="L475">
        <f t="shared" si="7"/>
        <v>474</v>
      </c>
      <c r="M475">
        <f>COUNTIF($A$2:A475,A475)</f>
        <v>9</v>
      </c>
    </row>
    <row r="476" spans="1:13" x14ac:dyDescent="0.3">
      <c r="A476">
        <v>12903</v>
      </c>
      <c r="B476" t="s">
        <v>326</v>
      </c>
      <c r="C476" t="s">
        <v>336</v>
      </c>
      <c r="D476" t="s">
        <v>337</v>
      </c>
      <c r="E476">
        <v>24</v>
      </c>
      <c r="F476">
        <v>70</v>
      </c>
      <c r="G476">
        <v>16.670000000000002</v>
      </c>
      <c r="H476">
        <v>13.33</v>
      </c>
      <c r="I476">
        <v>0</v>
      </c>
      <c r="J476" s="1">
        <v>45927.785551342589</v>
      </c>
      <c r="K476" t="s">
        <v>329</v>
      </c>
      <c r="L476">
        <f t="shared" si="7"/>
        <v>475</v>
      </c>
      <c r="M476">
        <f>COUNTIF($A$2:A476,A476)</f>
        <v>10</v>
      </c>
    </row>
    <row r="477" spans="1:13" x14ac:dyDescent="0.3">
      <c r="A477">
        <v>12903</v>
      </c>
      <c r="B477" t="s">
        <v>326</v>
      </c>
      <c r="C477" t="s">
        <v>338</v>
      </c>
      <c r="D477" t="s">
        <v>339</v>
      </c>
      <c r="E477">
        <v>26</v>
      </c>
      <c r="F477">
        <v>76.67</v>
      </c>
      <c r="G477">
        <v>6.67</v>
      </c>
      <c r="H477">
        <v>16.670000000000002</v>
      </c>
      <c r="I477">
        <v>0</v>
      </c>
      <c r="J477" s="1">
        <v>45927.785593726854</v>
      </c>
      <c r="K477" t="s">
        <v>329</v>
      </c>
      <c r="L477">
        <f t="shared" si="7"/>
        <v>476</v>
      </c>
      <c r="M477">
        <f>COUNTIF($A$2:A477,A477)</f>
        <v>11</v>
      </c>
    </row>
    <row r="478" spans="1:13" x14ac:dyDescent="0.3">
      <c r="A478">
        <v>12903</v>
      </c>
      <c r="B478" t="s">
        <v>326</v>
      </c>
      <c r="C478" t="s">
        <v>340</v>
      </c>
      <c r="D478" t="s">
        <v>341</v>
      </c>
      <c r="E478">
        <v>30</v>
      </c>
      <c r="F478">
        <v>76.67</v>
      </c>
      <c r="G478">
        <v>6.67</v>
      </c>
      <c r="H478">
        <v>16.670000000000002</v>
      </c>
      <c r="I478">
        <v>0</v>
      </c>
      <c r="J478" s="1">
        <v>45927.785636886576</v>
      </c>
      <c r="K478" t="s">
        <v>329</v>
      </c>
      <c r="L478">
        <f t="shared" si="7"/>
        <v>477</v>
      </c>
      <c r="M478">
        <f>COUNTIF($A$2:A478,A478)</f>
        <v>12</v>
      </c>
    </row>
    <row r="479" spans="1:13" x14ac:dyDescent="0.3">
      <c r="A479">
        <v>12903</v>
      </c>
      <c r="B479" t="s">
        <v>326</v>
      </c>
      <c r="C479" t="s">
        <v>300</v>
      </c>
      <c r="D479" t="s">
        <v>301</v>
      </c>
      <c r="E479">
        <v>34</v>
      </c>
      <c r="F479">
        <v>66.67</v>
      </c>
      <c r="G479">
        <v>16.670000000000002</v>
      </c>
      <c r="H479">
        <v>16.670000000000002</v>
      </c>
      <c r="I479">
        <v>0</v>
      </c>
      <c r="J479" s="1">
        <v>45927.785678831016</v>
      </c>
      <c r="K479" t="s">
        <v>329</v>
      </c>
      <c r="L479">
        <f t="shared" si="7"/>
        <v>478</v>
      </c>
      <c r="M479">
        <f>COUNTIF($A$2:A479,A479)</f>
        <v>13</v>
      </c>
    </row>
    <row r="480" spans="1:13" x14ac:dyDescent="0.3">
      <c r="A480">
        <v>12903</v>
      </c>
      <c r="B480" t="s">
        <v>326</v>
      </c>
      <c r="C480" t="s">
        <v>342</v>
      </c>
      <c r="D480" t="s">
        <v>343</v>
      </c>
      <c r="E480">
        <v>42</v>
      </c>
      <c r="F480">
        <v>56.67</v>
      </c>
      <c r="G480">
        <v>23.33</v>
      </c>
      <c r="H480">
        <v>20</v>
      </c>
      <c r="I480">
        <v>0</v>
      </c>
      <c r="J480" s="1">
        <v>45927.785696134262</v>
      </c>
      <c r="K480" t="s">
        <v>329</v>
      </c>
      <c r="L480">
        <f t="shared" si="7"/>
        <v>479</v>
      </c>
      <c r="M480">
        <f>COUNTIF($A$2:A480,A480)</f>
        <v>14</v>
      </c>
    </row>
    <row r="481" spans="1:13" x14ac:dyDescent="0.3">
      <c r="A481">
        <v>12903</v>
      </c>
      <c r="B481" t="s">
        <v>326</v>
      </c>
      <c r="C481" t="s">
        <v>344</v>
      </c>
      <c r="D481" t="s">
        <v>345</v>
      </c>
      <c r="E481">
        <v>49</v>
      </c>
      <c r="F481">
        <v>43.33</v>
      </c>
      <c r="G481">
        <v>36.67</v>
      </c>
      <c r="H481">
        <v>20</v>
      </c>
      <c r="I481">
        <v>0</v>
      </c>
      <c r="J481" s="1">
        <v>45927.78571152778</v>
      </c>
      <c r="K481" t="s">
        <v>329</v>
      </c>
      <c r="L481">
        <f t="shared" si="7"/>
        <v>480</v>
      </c>
      <c r="M481">
        <f>COUNTIF($A$2:A481,A481)</f>
        <v>15</v>
      </c>
    </row>
    <row r="482" spans="1:13" x14ac:dyDescent="0.3">
      <c r="A482">
        <v>12903</v>
      </c>
      <c r="B482" t="s">
        <v>326</v>
      </c>
      <c r="C482" t="s">
        <v>346</v>
      </c>
      <c r="D482" t="s">
        <v>347</v>
      </c>
      <c r="E482">
        <v>51</v>
      </c>
      <c r="F482">
        <v>33.33</v>
      </c>
      <c r="G482">
        <v>46.67</v>
      </c>
      <c r="H482">
        <v>20</v>
      </c>
      <c r="I482">
        <v>0</v>
      </c>
      <c r="J482" s="1">
        <v>45927.785726134258</v>
      </c>
      <c r="K482" t="s">
        <v>329</v>
      </c>
      <c r="L482">
        <f t="shared" si="7"/>
        <v>481</v>
      </c>
      <c r="M482">
        <f>COUNTIF($A$2:A482,A482)</f>
        <v>16</v>
      </c>
    </row>
    <row r="483" spans="1:13" x14ac:dyDescent="0.3">
      <c r="A483">
        <v>12903</v>
      </c>
      <c r="B483" t="s">
        <v>326</v>
      </c>
      <c r="C483" t="s">
        <v>348</v>
      </c>
      <c r="D483" t="s">
        <v>349</v>
      </c>
      <c r="E483">
        <v>48</v>
      </c>
      <c r="F483">
        <v>43.33</v>
      </c>
      <c r="G483">
        <v>36.67</v>
      </c>
      <c r="H483">
        <v>20</v>
      </c>
      <c r="I483">
        <v>0</v>
      </c>
      <c r="J483" s="1">
        <v>45927.785742928238</v>
      </c>
      <c r="K483" t="s">
        <v>329</v>
      </c>
      <c r="L483">
        <f t="shared" si="7"/>
        <v>482</v>
      </c>
      <c r="M483">
        <f>COUNTIF($A$2:A483,A483)</f>
        <v>17</v>
      </c>
    </row>
    <row r="484" spans="1:13" x14ac:dyDescent="0.3">
      <c r="A484">
        <v>12903</v>
      </c>
      <c r="B484" t="s">
        <v>326</v>
      </c>
      <c r="C484" t="s">
        <v>350</v>
      </c>
      <c r="D484" t="s">
        <v>351</v>
      </c>
      <c r="E484">
        <v>46</v>
      </c>
      <c r="F484">
        <v>53.33</v>
      </c>
      <c r="G484">
        <v>26.67</v>
      </c>
      <c r="H484">
        <v>20</v>
      </c>
      <c r="I484">
        <v>0</v>
      </c>
      <c r="J484" s="1">
        <v>45927.785759664352</v>
      </c>
      <c r="K484" t="s">
        <v>329</v>
      </c>
      <c r="L484">
        <f t="shared" si="7"/>
        <v>483</v>
      </c>
      <c r="M484">
        <f>COUNTIF($A$2:A484,A484)</f>
        <v>18</v>
      </c>
    </row>
    <row r="485" spans="1:13" x14ac:dyDescent="0.3">
      <c r="A485">
        <v>12903</v>
      </c>
      <c r="B485" t="s">
        <v>326</v>
      </c>
      <c r="C485" t="s">
        <v>352</v>
      </c>
      <c r="D485" t="s">
        <v>353</v>
      </c>
      <c r="E485">
        <v>50</v>
      </c>
      <c r="F485">
        <v>43.33</v>
      </c>
      <c r="G485">
        <v>36.67</v>
      </c>
      <c r="H485">
        <v>20</v>
      </c>
      <c r="I485">
        <v>0</v>
      </c>
      <c r="J485" s="1">
        <v>45927.78577736111</v>
      </c>
      <c r="K485" t="s">
        <v>329</v>
      </c>
      <c r="L485">
        <f t="shared" si="7"/>
        <v>484</v>
      </c>
      <c r="M485">
        <f>COUNTIF($A$2:A485,A485)</f>
        <v>19</v>
      </c>
    </row>
    <row r="486" spans="1:13" x14ac:dyDescent="0.3">
      <c r="A486">
        <v>12903</v>
      </c>
      <c r="B486" t="s">
        <v>326</v>
      </c>
      <c r="C486" t="s">
        <v>279</v>
      </c>
      <c r="D486" t="s">
        <v>280</v>
      </c>
      <c r="E486">
        <v>37</v>
      </c>
      <c r="F486">
        <v>76.67</v>
      </c>
      <c r="G486">
        <v>3.33</v>
      </c>
      <c r="H486">
        <v>20</v>
      </c>
      <c r="I486">
        <v>0</v>
      </c>
      <c r="J486" s="1">
        <v>45927.785794131945</v>
      </c>
      <c r="K486" t="s">
        <v>329</v>
      </c>
      <c r="L486">
        <f t="shared" si="7"/>
        <v>485</v>
      </c>
      <c r="M486">
        <f>COUNTIF($A$2:A486,A486)</f>
        <v>20</v>
      </c>
    </row>
    <row r="487" spans="1:13" x14ac:dyDescent="0.3">
      <c r="A487">
        <v>12903</v>
      </c>
      <c r="B487" t="s">
        <v>326</v>
      </c>
      <c r="C487" t="s">
        <v>281</v>
      </c>
      <c r="D487" t="s">
        <v>282</v>
      </c>
      <c r="E487">
        <v>37</v>
      </c>
      <c r="F487">
        <v>80</v>
      </c>
      <c r="G487">
        <v>0</v>
      </c>
      <c r="H487">
        <v>20</v>
      </c>
      <c r="I487">
        <v>0</v>
      </c>
      <c r="J487" s="1">
        <v>45927.785809247682</v>
      </c>
      <c r="K487" t="s">
        <v>329</v>
      </c>
      <c r="L487">
        <f t="shared" si="7"/>
        <v>486</v>
      </c>
      <c r="M487">
        <f>COUNTIF($A$2:A487,A487)</f>
        <v>21</v>
      </c>
    </row>
    <row r="488" spans="1:13" x14ac:dyDescent="0.3">
      <c r="A488">
        <v>12903</v>
      </c>
      <c r="B488" t="s">
        <v>326</v>
      </c>
      <c r="C488" t="s">
        <v>108</v>
      </c>
      <c r="D488" t="s">
        <v>109</v>
      </c>
      <c r="F488">
        <v>70</v>
      </c>
      <c r="G488">
        <v>10</v>
      </c>
      <c r="H488">
        <v>20</v>
      </c>
      <c r="I488">
        <v>0</v>
      </c>
      <c r="J488" s="1">
        <v>45927.78583148148</v>
      </c>
      <c r="K488" t="s">
        <v>329</v>
      </c>
      <c r="L488">
        <f t="shared" si="7"/>
        <v>487</v>
      </c>
      <c r="M488">
        <f>COUNTIF($A$2:A488,A488)</f>
        <v>22</v>
      </c>
    </row>
    <row r="489" spans="1:13" x14ac:dyDescent="0.3">
      <c r="A489">
        <v>12903</v>
      </c>
      <c r="B489" t="s">
        <v>326</v>
      </c>
      <c r="C489" t="s">
        <v>354</v>
      </c>
      <c r="D489" t="s">
        <v>355</v>
      </c>
      <c r="E489">
        <v>53</v>
      </c>
      <c r="F489">
        <v>63.33</v>
      </c>
      <c r="G489">
        <v>13.33</v>
      </c>
      <c r="H489">
        <v>23.33</v>
      </c>
      <c r="I489">
        <v>0.01</v>
      </c>
      <c r="J489" s="1">
        <v>45927.785848703701</v>
      </c>
      <c r="K489" t="s">
        <v>329</v>
      </c>
      <c r="L489">
        <f t="shared" si="7"/>
        <v>488</v>
      </c>
      <c r="M489">
        <f>COUNTIF($A$2:A489,A489)</f>
        <v>23</v>
      </c>
    </row>
    <row r="490" spans="1:13" x14ac:dyDescent="0.3">
      <c r="A490">
        <v>12903</v>
      </c>
      <c r="B490" t="s">
        <v>326</v>
      </c>
      <c r="C490" t="s">
        <v>356</v>
      </c>
      <c r="D490" t="s">
        <v>357</v>
      </c>
      <c r="E490">
        <v>57</v>
      </c>
      <c r="F490">
        <v>50</v>
      </c>
      <c r="G490">
        <v>30</v>
      </c>
      <c r="H490">
        <v>20</v>
      </c>
      <c r="I490">
        <v>0</v>
      </c>
      <c r="J490" s="1">
        <v>45927.78586841435</v>
      </c>
      <c r="K490" t="s">
        <v>329</v>
      </c>
      <c r="L490">
        <f t="shared" si="7"/>
        <v>489</v>
      </c>
      <c r="M490">
        <f>COUNTIF($A$2:A490,A490)</f>
        <v>24</v>
      </c>
    </row>
    <row r="491" spans="1:13" x14ac:dyDescent="0.3">
      <c r="A491">
        <v>12903</v>
      </c>
      <c r="B491" t="s">
        <v>326</v>
      </c>
      <c r="C491" t="s">
        <v>358</v>
      </c>
      <c r="D491" t="s">
        <v>359</v>
      </c>
      <c r="E491">
        <v>60</v>
      </c>
      <c r="F491">
        <v>50</v>
      </c>
      <c r="G491">
        <v>26.67</v>
      </c>
      <c r="H491">
        <v>23.33</v>
      </c>
      <c r="I491">
        <v>0</v>
      </c>
      <c r="J491" s="1">
        <v>45927.785888900464</v>
      </c>
      <c r="K491" t="s">
        <v>329</v>
      </c>
      <c r="L491">
        <f t="shared" si="7"/>
        <v>490</v>
      </c>
      <c r="M491">
        <f>COUNTIF($A$2:A491,A491)</f>
        <v>25</v>
      </c>
    </row>
    <row r="492" spans="1:13" x14ac:dyDescent="0.3">
      <c r="A492">
        <v>12903</v>
      </c>
      <c r="B492" t="s">
        <v>326</v>
      </c>
      <c r="C492" t="s">
        <v>360</v>
      </c>
      <c r="D492" t="s">
        <v>361</v>
      </c>
      <c r="E492">
        <v>61</v>
      </c>
      <c r="F492">
        <v>50</v>
      </c>
      <c r="G492">
        <v>26.67</v>
      </c>
      <c r="H492">
        <v>23.33</v>
      </c>
      <c r="I492">
        <v>0</v>
      </c>
      <c r="J492" s="1">
        <v>45927.785906481484</v>
      </c>
      <c r="K492" t="s">
        <v>329</v>
      </c>
      <c r="L492">
        <f t="shared" si="7"/>
        <v>491</v>
      </c>
      <c r="M492">
        <f>COUNTIF($A$2:A492,A492)</f>
        <v>26</v>
      </c>
    </row>
    <row r="493" spans="1:13" x14ac:dyDescent="0.3">
      <c r="A493">
        <v>12903</v>
      </c>
      <c r="B493" t="s">
        <v>326</v>
      </c>
      <c r="C493" t="s">
        <v>362</v>
      </c>
      <c r="D493" t="s">
        <v>363</v>
      </c>
      <c r="E493">
        <v>63</v>
      </c>
      <c r="F493">
        <v>40</v>
      </c>
      <c r="G493">
        <v>36.67</v>
      </c>
      <c r="H493">
        <v>23.33</v>
      </c>
      <c r="I493">
        <v>0</v>
      </c>
      <c r="J493" s="1">
        <v>45927.78592509259</v>
      </c>
      <c r="K493" t="s">
        <v>329</v>
      </c>
      <c r="L493">
        <f t="shared" si="7"/>
        <v>492</v>
      </c>
      <c r="M493">
        <f>COUNTIF($A$2:A493,A493)</f>
        <v>27</v>
      </c>
    </row>
    <row r="494" spans="1:13" x14ac:dyDescent="0.3">
      <c r="A494">
        <v>12903</v>
      </c>
      <c r="B494" t="s">
        <v>326</v>
      </c>
      <c r="C494" t="s">
        <v>364</v>
      </c>
      <c r="D494" t="s">
        <v>365</v>
      </c>
      <c r="E494">
        <v>43</v>
      </c>
      <c r="F494">
        <v>70</v>
      </c>
      <c r="G494">
        <v>10</v>
      </c>
      <c r="H494">
        <v>20</v>
      </c>
      <c r="I494">
        <v>0</v>
      </c>
      <c r="J494" s="1">
        <v>45927.785942916664</v>
      </c>
      <c r="K494" t="s">
        <v>329</v>
      </c>
      <c r="L494">
        <f t="shared" si="7"/>
        <v>493</v>
      </c>
      <c r="M494">
        <f>COUNTIF($A$2:A494,A494)</f>
        <v>28</v>
      </c>
    </row>
    <row r="495" spans="1:13" x14ac:dyDescent="0.3">
      <c r="A495">
        <v>12903</v>
      </c>
      <c r="B495" t="s">
        <v>326</v>
      </c>
      <c r="C495" t="s">
        <v>366</v>
      </c>
      <c r="D495" t="s">
        <v>367</v>
      </c>
      <c r="E495">
        <v>44</v>
      </c>
      <c r="F495">
        <v>70</v>
      </c>
      <c r="G495">
        <v>10</v>
      </c>
      <c r="H495">
        <v>20</v>
      </c>
      <c r="I495">
        <v>0</v>
      </c>
      <c r="J495" s="1">
        <v>45927.785960277775</v>
      </c>
      <c r="K495" t="s">
        <v>329</v>
      </c>
      <c r="L495">
        <f t="shared" si="7"/>
        <v>494</v>
      </c>
      <c r="M495">
        <f>COUNTIF($A$2:A495,A495)</f>
        <v>29</v>
      </c>
    </row>
    <row r="496" spans="1:13" x14ac:dyDescent="0.3">
      <c r="A496">
        <v>12903</v>
      </c>
      <c r="B496" t="s">
        <v>326</v>
      </c>
      <c r="C496" t="s">
        <v>368</v>
      </c>
      <c r="D496" t="s">
        <v>369</v>
      </c>
      <c r="E496">
        <v>49</v>
      </c>
      <c r="F496">
        <v>60</v>
      </c>
      <c r="G496">
        <v>20</v>
      </c>
      <c r="H496">
        <v>20</v>
      </c>
      <c r="I496">
        <v>0</v>
      </c>
      <c r="J496" s="1">
        <v>45927.785979050925</v>
      </c>
      <c r="K496" t="s">
        <v>329</v>
      </c>
      <c r="L496">
        <f t="shared" si="7"/>
        <v>495</v>
      </c>
      <c r="M496">
        <f>COUNTIF($A$2:A496,A496)</f>
        <v>30</v>
      </c>
    </row>
    <row r="497" spans="1:13" x14ac:dyDescent="0.3">
      <c r="A497">
        <v>12903</v>
      </c>
      <c r="B497" t="s">
        <v>326</v>
      </c>
      <c r="C497" t="s">
        <v>370</v>
      </c>
      <c r="D497" t="s">
        <v>371</v>
      </c>
      <c r="E497">
        <v>51</v>
      </c>
      <c r="F497">
        <v>43.33</v>
      </c>
      <c r="G497">
        <v>36.67</v>
      </c>
      <c r="H497">
        <v>20</v>
      </c>
      <c r="I497">
        <v>0</v>
      </c>
      <c r="J497" s="1">
        <v>45927.785997916668</v>
      </c>
      <c r="K497" t="s">
        <v>329</v>
      </c>
      <c r="L497">
        <f t="shared" si="7"/>
        <v>496</v>
      </c>
      <c r="M497">
        <f>COUNTIF($A$2:A497,A497)</f>
        <v>31</v>
      </c>
    </row>
    <row r="498" spans="1:13" x14ac:dyDescent="0.3">
      <c r="A498">
        <v>12903</v>
      </c>
      <c r="B498" t="s">
        <v>326</v>
      </c>
      <c r="C498" t="s">
        <v>372</v>
      </c>
      <c r="D498" t="s">
        <v>373</v>
      </c>
      <c r="E498">
        <v>44</v>
      </c>
      <c r="F498">
        <v>66.67</v>
      </c>
      <c r="G498">
        <v>13.33</v>
      </c>
      <c r="H498">
        <v>20</v>
      </c>
      <c r="I498">
        <v>0</v>
      </c>
      <c r="J498" s="1">
        <v>45927.786018553241</v>
      </c>
      <c r="K498" t="s">
        <v>329</v>
      </c>
      <c r="L498">
        <f t="shared" si="7"/>
        <v>497</v>
      </c>
      <c r="M498">
        <f>COUNTIF($A$2:A498,A498)</f>
        <v>32</v>
      </c>
    </row>
    <row r="499" spans="1:13" x14ac:dyDescent="0.3">
      <c r="A499">
        <v>12903</v>
      </c>
      <c r="B499" t="s">
        <v>326</v>
      </c>
      <c r="C499" t="s">
        <v>374</v>
      </c>
      <c r="D499" t="s">
        <v>374</v>
      </c>
      <c r="E499">
        <v>45</v>
      </c>
      <c r="F499">
        <v>70</v>
      </c>
      <c r="G499">
        <v>6.67</v>
      </c>
      <c r="H499">
        <v>23.33</v>
      </c>
      <c r="I499">
        <v>0</v>
      </c>
      <c r="J499" s="1">
        <v>45927.786036956022</v>
      </c>
      <c r="K499" t="s">
        <v>329</v>
      </c>
      <c r="L499">
        <f t="shared" si="7"/>
        <v>498</v>
      </c>
      <c r="M499">
        <f>COUNTIF($A$2:A499,A499)</f>
        <v>33</v>
      </c>
    </row>
    <row r="500" spans="1:13" x14ac:dyDescent="0.3">
      <c r="A500">
        <v>12903</v>
      </c>
      <c r="B500" t="s">
        <v>326</v>
      </c>
      <c r="C500" t="s">
        <v>375</v>
      </c>
      <c r="D500" t="s">
        <v>376</v>
      </c>
      <c r="E500">
        <v>39</v>
      </c>
      <c r="F500">
        <v>63.33</v>
      </c>
      <c r="G500">
        <v>16.670000000000002</v>
      </c>
      <c r="H500">
        <v>20</v>
      </c>
      <c r="I500">
        <v>0</v>
      </c>
      <c r="J500" s="1">
        <v>45927.786056377314</v>
      </c>
      <c r="K500" t="s">
        <v>329</v>
      </c>
      <c r="L500">
        <f t="shared" si="7"/>
        <v>499</v>
      </c>
      <c r="M500">
        <f>COUNTIF($A$2:A500,A500)</f>
        <v>34</v>
      </c>
    </row>
    <row r="501" spans="1:13" x14ac:dyDescent="0.3">
      <c r="A501">
        <v>12904</v>
      </c>
      <c r="B501" t="s">
        <v>326</v>
      </c>
      <c r="C501" t="s">
        <v>375</v>
      </c>
      <c r="D501" t="s">
        <v>376</v>
      </c>
      <c r="E501">
        <v>2</v>
      </c>
      <c r="F501">
        <v>100</v>
      </c>
      <c r="G501">
        <v>0</v>
      </c>
      <c r="H501">
        <v>0</v>
      </c>
      <c r="I501">
        <v>0</v>
      </c>
      <c r="J501" s="1">
        <v>45927.786096550924</v>
      </c>
      <c r="K501" t="s">
        <v>377</v>
      </c>
      <c r="L501">
        <f t="shared" si="7"/>
        <v>500</v>
      </c>
      <c r="M501">
        <f>COUNTIF($A$2:A501,A501)</f>
        <v>1</v>
      </c>
    </row>
    <row r="502" spans="1:13" x14ac:dyDescent="0.3">
      <c r="A502">
        <v>12904</v>
      </c>
      <c r="B502" t="s">
        <v>326</v>
      </c>
      <c r="C502" t="s">
        <v>374</v>
      </c>
      <c r="D502" t="s">
        <v>374</v>
      </c>
      <c r="E502">
        <v>13</v>
      </c>
      <c r="F502">
        <v>80</v>
      </c>
      <c r="G502">
        <v>20</v>
      </c>
      <c r="H502">
        <v>0</v>
      </c>
      <c r="I502">
        <v>0</v>
      </c>
      <c r="J502" s="1">
        <v>45927.786112430556</v>
      </c>
      <c r="K502" t="s">
        <v>377</v>
      </c>
      <c r="L502">
        <f t="shared" si="7"/>
        <v>501</v>
      </c>
      <c r="M502">
        <f>COUNTIF($A$2:A502,A502)</f>
        <v>2</v>
      </c>
    </row>
    <row r="503" spans="1:13" x14ac:dyDescent="0.3">
      <c r="A503">
        <v>12904</v>
      </c>
      <c r="B503" t="s">
        <v>326</v>
      </c>
      <c r="C503" t="s">
        <v>372</v>
      </c>
      <c r="D503" t="s">
        <v>373</v>
      </c>
      <c r="E503">
        <v>9</v>
      </c>
      <c r="F503">
        <v>76.67</v>
      </c>
      <c r="G503">
        <v>23.33</v>
      </c>
      <c r="H503">
        <v>0</v>
      </c>
      <c r="I503">
        <v>0</v>
      </c>
      <c r="J503" s="1">
        <v>45927.786129641201</v>
      </c>
      <c r="K503" t="s">
        <v>377</v>
      </c>
      <c r="L503">
        <f t="shared" si="7"/>
        <v>502</v>
      </c>
      <c r="M503">
        <f>COUNTIF($A$2:A503,A503)</f>
        <v>3</v>
      </c>
    </row>
    <row r="504" spans="1:13" x14ac:dyDescent="0.3">
      <c r="A504">
        <v>12904</v>
      </c>
      <c r="B504" t="s">
        <v>326</v>
      </c>
      <c r="C504" t="s">
        <v>370</v>
      </c>
      <c r="D504" t="s">
        <v>371</v>
      </c>
      <c r="E504">
        <v>13</v>
      </c>
      <c r="F504">
        <v>70</v>
      </c>
      <c r="G504">
        <v>30</v>
      </c>
      <c r="H504">
        <v>0</v>
      </c>
      <c r="I504">
        <v>0</v>
      </c>
      <c r="J504" s="1">
        <v>45927.786146643521</v>
      </c>
      <c r="K504" t="s">
        <v>377</v>
      </c>
      <c r="L504">
        <f t="shared" si="7"/>
        <v>503</v>
      </c>
      <c r="M504">
        <f>COUNTIF($A$2:A504,A504)</f>
        <v>4</v>
      </c>
    </row>
    <row r="505" spans="1:13" x14ac:dyDescent="0.3">
      <c r="A505">
        <v>12904</v>
      </c>
      <c r="B505" t="s">
        <v>326</v>
      </c>
      <c r="C505" t="s">
        <v>368</v>
      </c>
      <c r="D505" t="s">
        <v>369</v>
      </c>
      <c r="E505">
        <v>9</v>
      </c>
      <c r="F505">
        <v>76.67</v>
      </c>
      <c r="G505">
        <v>23.33</v>
      </c>
      <c r="H505">
        <v>0</v>
      </c>
      <c r="I505">
        <v>0</v>
      </c>
      <c r="J505" s="1">
        <v>45927.786162164353</v>
      </c>
      <c r="K505" t="s">
        <v>377</v>
      </c>
      <c r="L505">
        <f t="shared" si="7"/>
        <v>504</v>
      </c>
      <c r="M505">
        <f>COUNTIF($A$2:A505,A505)</f>
        <v>5</v>
      </c>
    </row>
    <row r="506" spans="1:13" x14ac:dyDescent="0.3">
      <c r="A506">
        <v>12904</v>
      </c>
      <c r="B506" t="s">
        <v>326</v>
      </c>
      <c r="C506" t="s">
        <v>366</v>
      </c>
      <c r="D506" t="s">
        <v>367</v>
      </c>
      <c r="E506">
        <v>14</v>
      </c>
      <c r="F506">
        <v>66.67</v>
      </c>
      <c r="G506">
        <v>33.33</v>
      </c>
      <c r="H506">
        <v>0</v>
      </c>
      <c r="I506">
        <v>0</v>
      </c>
      <c r="J506" s="1">
        <v>45927.786181932868</v>
      </c>
      <c r="K506" t="s">
        <v>377</v>
      </c>
      <c r="L506">
        <f t="shared" si="7"/>
        <v>505</v>
      </c>
      <c r="M506">
        <f>COUNTIF($A$2:A506,A506)</f>
        <v>6</v>
      </c>
    </row>
    <row r="507" spans="1:13" x14ac:dyDescent="0.3">
      <c r="A507">
        <v>12904</v>
      </c>
      <c r="B507" t="s">
        <v>326</v>
      </c>
      <c r="C507" t="s">
        <v>364</v>
      </c>
      <c r="D507" t="s">
        <v>365</v>
      </c>
      <c r="E507">
        <v>9</v>
      </c>
      <c r="F507">
        <v>80</v>
      </c>
      <c r="G507">
        <v>16.670000000000002</v>
      </c>
      <c r="H507">
        <v>3.33</v>
      </c>
      <c r="I507">
        <v>0</v>
      </c>
      <c r="J507" s="1">
        <v>45927.786223807867</v>
      </c>
      <c r="K507" t="s">
        <v>377</v>
      </c>
      <c r="L507">
        <f t="shared" si="7"/>
        <v>506</v>
      </c>
      <c r="M507">
        <f>COUNTIF($A$2:A507,A507)</f>
        <v>7</v>
      </c>
    </row>
    <row r="508" spans="1:13" x14ac:dyDescent="0.3">
      <c r="A508">
        <v>12904</v>
      </c>
      <c r="B508" t="s">
        <v>326</v>
      </c>
      <c r="C508" t="s">
        <v>362</v>
      </c>
      <c r="D508" t="s">
        <v>363</v>
      </c>
      <c r="E508">
        <v>9</v>
      </c>
      <c r="F508">
        <v>83.33</v>
      </c>
      <c r="G508">
        <v>10</v>
      </c>
      <c r="H508">
        <v>6.67</v>
      </c>
      <c r="I508">
        <v>0</v>
      </c>
      <c r="J508" s="1">
        <v>45927.78626818287</v>
      </c>
      <c r="K508" t="s">
        <v>377</v>
      </c>
      <c r="L508">
        <f t="shared" si="7"/>
        <v>507</v>
      </c>
      <c r="M508">
        <f>COUNTIF($A$2:A508,A508)</f>
        <v>8</v>
      </c>
    </row>
    <row r="509" spans="1:13" x14ac:dyDescent="0.3">
      <c r="A509">
        <v>12904</v>
      </c>
      <c r="B509" t="s">
        <v>326</v>
      </c>
      <c r="C509" t="s">
        <v>360</v>
      </c>
      <c r="D509" t="s">
        <v>361</v>
      </c>
      <c r="F509">
        <v>80</v>
      </c>
      <c r="G509">
        <v>13.33</v>
      </c>
      <c r="H509">
        <v>6.67</v>
      </c>
      <c r="I509">
        <v>0</v>
      </c>
      <c r="J509" s="1">
        <v>45927.786288553238</v>
      </c>
      <c r="K509" t="s">
        <v>377</v>
      </c>
      <c r="L509">
        <f t="shared" si="7"/>
        <v>508</v>
      </c>
      <c r="M509">
        <f>COUNTIF($A$2:A509,A509)</f>
        <v>9</v>
      </c>
    </row>
    <row r="510" spans="1:13" x14ac:dyDescent="0.3">
      <c r="A510">
        <v>12904</v>
      </c>
      <c r="B510" t="s">
        <v>326</v>
      </c>
      <c r="C510" t="s">
        <v>358</v>
      </c>
      <c r="D510" t="s">
        <v>359</v>
      </c>
      <c r="E510">
        <v>13</v>
      </c>
      <c r="F510">
        <v>76.67</v>
      </c>
      <c r="G510">
        <v>16.670000000000002</v>
      </c>
      <c r="H510">
        <v>6.67</v>
      </c>
      <c r="I510">
        <v>0</v>
      </c>
      <c r="J510" s="1">
        <v>45927.786332048614</v>
      </c>
      <c r="K510" t="s">
        <v>377</v>
      </c>
      <c r="L510">
        <f t="shared" si="7"/>
        <v>509</v>
      </c>
      <c r="M510">
        <f>COUNTIF($A$2:A510,A510)</f>
        <v>10</v>
      </c>
    </row>
    <row r="511" spans="1:13" x14ac:dyDescent="0.3">
      <c r="A511">
        <v>12904</v>
      </c>
      <c r="B511" t="s">
        <v>326</v>
      </c>
      <c r="C511" t="s">
        <v>356</v>
      </c>
      <c r="D511" t="s">
        <v>357</v>
      </c>
      <c r="E511">
        <v>16</v>
      </c>
      <c r="F511">
        <v>73.33</v>
      </c>
      <c r="G511">
        <v>16.670000000000002</v>
      </c>
      <c r="H511">
        <v>10</v>
      </c>
      <c r="I511">
        <v>0</v>
      </c>
      <c r="J511" s="1">
        <v>45927.786352256946</v>
      </c>
      <c r="K511" t="s">
        <v>377</v>
      </c>
      <c r="L511">
        <f t="shared" si="7"/>
        <v>510</v>
      </c>
      <c r="M511">
        <f>COUNTIF($A$2:A511,A511)</f>
        <v>11</v>
      </c>
    </row>
    <row r="512" spans="1:13" x14ac:dyDescent="0.3">
      <c r="A512">
        <v>12904</v>
      </c>
      <c r="B512" t="s">
        <v>326</v>
      </c>
      <c r="C512" t="s">
        <v>354</v>
      </c>
      <c r="D512" t="s">
        <v>355</v>
      </c>
      <c r="E512">
        <v>22</v>
      </c>
      <c r="F512">
        <v>56.67</v>
      </c>
      <c r="G512">
        <v>30</v>
      </c>
      <c r="H512">
        <v>13.33</v>
      </c>
      <c r="I512">
        <v>0</v>
      </c>
      <c r="J512" s="1">
        <v>45927.786395659721</v>
      </c>
      <c r="K512" t="s">
        <v>377</v>
      </c>
      <c r="L512">
        <f t="shared" si="7"/>
        <v>511</v>
      </c>
      <c r="M512">
        <f>COUNTIF($A$2:A512,A512)</f>
        <v>12</v>
      </c>
    </row>
    <row r="513" spans="1:13" x14ac:dyDescent="0.3">
      <c r="A513">
        <v>12904</v>
      </c>
      <c r="B513" t="s">
        <v>326</v>
      </c>
      <c r="C513" t="s">
        <v>108</v>
      </c>
      <c r="D513" t="s">
        <v>109</v>
      </c>
      <c r="E513">
        <v>17</v>
      </c>
      <c r="F513">
        <v>80</v>
      </c>
      <c r="G513">
        <v>3.33</v>
      </c>
      <c r="H513">
        <v>16.670000000000002</v>
      </c>
      <c r="I513">
        <v>0</v>
      </c>
      <c r="J513" s="1">
        <v>45927.786413009257</v>
      </c>
      <c r="K513" t="s">
        <v>377</v>
      </c>
      <c r="L513">
        <f t="shared" si="7"/>
        <v>512</v>
      </c>
      <c r="M513">
        <f>COUNTIF($A$2:A513,A513)</f>
        <v>13</v>
      </c>
    </row>
    <row r="514" spans="1:13" x14ac:dyDescent="0.3">
      <c r="A514">
        <v>12904</v>
      </c>
      <c r="B514" t="s">
        <v>326</v>
      </c>
      <c r="C514" t="s">
        <v>281</v>
      </c>
      <c r="D514" t="s">
        <v>282</v>
      </c>
      <c r="E514">
        <v>31</v>
      </c>
      <c r="F514">
        <v>73.33</v>
      </c>
      <c r="G514">
        <v>10</v>
      </c>
      <c r="H514">
        <v>16.670000000000002</v>
      </c>
      <c r="I514">
        <v>0</v>
      </c>
      <c r="J514" s="1">
        <v>45927.786433425928</v>
      </c>
      <c r="K514" t="s">
        <v>377</v>
      </c>
      <c r="L514">
        <f t="shared" ref="L514:L577" si="8">ROW()-1</f>
        <v>513</v>
      </c>
      <c r="M514">
        <f>COUNTIF($A$2:A514,A514)</f>
        <v>14</v>
      </c>
    </row>
    <row r="515" spans="1:13" x14ac:dyDescent="0.3">
      <c r="A515">
        <v>12904</v>
      </c>
      <c r="B515" t="s">
        <v>326</v>
      </c>
      <c r="C515" t="s">
        <v>279</v>
      </c>
      <c r="D515" t="s">
        <v>280</v>
      </c>
      <c r="E515">
        <v>27</v>
      </c>
      <c r="F515">
        <v>73.33</v>
      </c>
      <c r="G515">
        <v>10</v>
      </c>
      <c r="H515">
        <v>16.670000000000002</v>
      </c>
      <c r="I515">
        <v>0</v>
      </c>
      <c r="J515" s="1">
        <v>45927.78645068287</v>
      </c>
      <c r="K515" t="s">
        <v>377</v>
      </c>
      <c r="L515">
        <f t="shared" si="8"/>
        <v>514</v>
      </c>
      <c r="M515">
        <f>COUNTIF($A$2:A515,A515)</f>
        <v>15</v>
      </c>
    </row>
    <row r="516" spans="1:13" x14ac:dyDescent="0.3">
      <c r="A516">
        <v>12904</v>
      </c>
      <c r="B516" t="s">
        <v>326</v>
      </c>
      <c r="C516" t="s">
        <v>352</v>
      </c>
      <c r="D516" t="s">
        <v>353</v>
      </c>
      <c r="E516">
        <v>28</v>
      </c>
      <c r="F516">
        <v>70</v>
      </c>
      <c r="G516">
        <v>13.33</v>
      </c>
      <c r="H516">
        <v>16.670000000000002</v>
      </c>
      <c r="I516">
        <v>0</v>
      </c>
      <c r="J516" s="1">
        <v>45927.786466516205</v>
      </c>
      <c r="K516" t="s">
        <v>377</v>
      </c>
      <c r="L516">
        <f t="shared" si="8"/>
        <v>515</v>
      </c>
      <c r="M516">
        <f>COUNTIF($A$2:A516,A516)</f>
        <v>16</v>
      </c>
    </row>
    <row r="517" spans="1:13" x14ac:dyDescent="0.3">
      <c r="A517">
        <v>12904</v>
      </c>
      <c r="B517" t="s">
        <v>326</v>
      </c>
      <c r="C517" t="s">
        <v>350</v>
      </c>
      <c r="D517" t="s">
        <v>351</v>
      </c>
      <c r="E517">
        <v>35</v>
      </c>
      <c r="F517">
        <v>53.33</v>
      </c>
      <c r="G517">
        <v>30</v>
      </c>
      <c r="H517">
        <v>16.670000000000002</v>
      </c>
      <c r="I517">
        <v>0</v>
      </c>
      <c r="J517" s="1">
        <v>45927.786486365738</v>
      </c>
      <c r="K517" t="s">
        <v>377</v>
      </c>
      <c r="L517">
        <f t="shared" si="8"/>
        <v>516</v>
      </c>
      <c r="M517">
        <f>COUNTIF($A$2:A517,A517)</f>
        <v>17</v>
      </c>
    </row>
    <row r="518" spans="1:13" x14ac:dyDescent="0.3">
      <c r="A518">
        <v>12904</v>
      </c>
      <c r="B518" t="s">
        <v>326</v>
      </c>
      <c r="C518" t="s">
        <v>348</v>
      </c>
      <c r="D518" t="s">
        <v>349</v>
      </c>
      <c r="E518">
        <v>35</v>
      </c>
      <c r="F518">
        <v>50</v>
      </c>
      <c r="G518">
        <v>33.33</v>
      </c>
      <c r="H518">
        <v>16.670000000000002</v>
      </c>
      <c r="I518">
        <v>0</v>
      </c>
      <c r="J518" s="1">
        <v>45927.786505023148</v>
      </c>
      <c r="K518" t="s">
        <v>377</v>
      </c>
      <c r="L518">
        <f t="shared" si="8"/>
        <v>517</v>
      </c>
      <c r="M518">
        <f>COUNTIF($A$2:A518,A518)</f>
        <v>18</v>
      </c>
    </row>
    <row r="519" spans="1:13" x14ac:dyDescent="0.3">
      <c r="A519">
        <v>12904</v>
      </c>
      <c r="B519" t="s">
        <v>326</v>
      </c>
      <c r="C519" t="s">
        <v>346</v>
      </c>
      <c r="D519" t="s">
        <v>347</v>
      </c>
      <c r="E519">
        <v>36</v>
      </c>
      <c r="F519">
        <v>46.67</v>
      </c>
      <c r="G519">
        <v>36.67</v>
      </c>
      <c r="H519">
        <v>16.670000000000002</v>
      </c>
      <c r="I519">
        <v>0</v>
      </c>
      <c r="J519" s="1">
        <v>45927.786544675924</v>
      </c>
      <c r="K519" t="s">
        <v>377</v>
      </c>
      <c r="L519">
        <f t="shared" si="8"/>
        <v>518</v>
      </c>
      <c r="M519">
        <f>COUNTIF($A$2:A519,A519)</f>
        <v>19</v>
      </c>
    </row>
    <row r="520" spans="1:13" x14ac:dyDescent="0.3">
      <c r="A520">
        <v>12904</v>
      </c>
      <c r="B520" t="s">
        <v>326</v>
      </c>
      <c r="C520" t="s">
        <v>344</v>
      </c>
      <c r="D520" t="s">
        <v>345</v>
      </c>
      <c r="E520">
        <v>34</v>
      </c>
      <c r="F520">
        <v>56.67</v>
      </c>
      <c r="G520">
        <v>26.67</v>
      </c>
      <c r="H520">
        <v>16.670000000000002</v>
      </c>
      <c r="I520">
        <v>0</v>
      </c>
      <c r="J520" s="1">
        <v>45927.786584571761</v>
      </c>
      <c r="K520" t="s">
        <v>377</v>
      </c>
      <c r="L520">
        <f t="shared" si="8"/>
        <v>519</v>
      </c>
      <c r="M520">
        <f>COUNTIF($A$2:A520,A520)</f>
        <v>20</v>
      </c>
    </row>
    <row r="521" spans="1:13" x14ac:dyDescent="0.3">
      <c r="A521">
        <v>12904</v>
      </c>
      <c r="B521" t="s">
        <v>326</v>
      </c>
      <c r="C521" t="s">
        <v>342</v>
      </c>
      <c r="D521" t="s">
        <v>343</v>
      </c>
      <c r="E521">
        <v>35</v>
      </c>
      <c r="F521">
        <v>56.67</v>
      </c>
      <c r="G521">
        <v>26.67</v>
      </c>
      <c r="H521">
        <v>16.670000000000002</v>
      </c>
      <c r="I521">
        <v>0</v>
      </c>
      <c r="J521" s="1">
        <v>45927.786625057874</v>
      </c>
      <c r="K521" t="s">
        <v>377</v>
      </c>
      <c r="L521">
        <f t="shared" si="8"/>
        <v>520</v>
      </c>
      <c r="M521">
        <f>COUNTIF($A$2:A521,A521)</f>
        <v>21</v>
      </c>
    </row>
    <row r="522" spans="1:13" x14ac:dyDescent="0.3">
      <c r="A522">
        <v>12904</v>
      </c>
      <c r="B522" t="s">
        <v>326</v>
      </c>
      <c r="C522" t="s">
        <v>300</v>
      </c>
      <c r="D522" t="s">
        <v>301</v>
      </c>
      <c r="E522">
        <v>32</v>
      </c>
      <c r="F522">
        <v>56.67</v>
      </c>
      <c r="G522">
        <v>26.67</v>
      </c>
      <c r="H522">
        <v>16.670000000000002</v>
      </c>
      <c r="I522">
        <v>0</v>
      </c>
      <c r="J522" s="1">
        <v>45927.786671516202</v>
      </c>
      <c r="K522" t="s">
        <v>377</v>
      </c>
      <c r="L522">
        <f t="shared" si="8"/>
        <v>521</v>
      </c>
      <c r="M522">
        <f>COUNTIF($A$2:A522,A522)</f>
        <v>22</v>
      </c>
    </row>
    <row r="523" spans="1:13" x14ac:dyDescent="0.3">
      <c r="A523">
        <v>12904</v>
      </c>
      <c r="B523" t="s">
        <v>326</v>
      </c>
      <c r="C523" t="s">
        <v>340</v>
      </c>
      <c r="D523" t="s">
        <v>341</v>
      </c>
      <c r="E523">
        <v>35</v>
      </c>
      <c r="F523">
        <v>60</v>
      </c>
      <c r="G523">
        <v>23.33</v>
      </c>
      <c r="H523">
        <v>16.670000000000002</v>
      </c>
      <c r="I523">
        <v>0</v>
      </c>
      <c r="J523" s="1">
        <v>45927.786687476852</v>
      </c>
      <c r="K523" t="s">
        <v>377</v>
      </c>
      <c r="L523">
        <f t="shared" si="8"/>
        <v>522</v>
      </c>
      <c r="M523">
        <f>COUNTIF($A$2:A523,A523)</f>
        <v>23</v>
      </c>
    </row>
    <row r="524" spans="1:13" x14ac:dyDescent="0.3">
      <c r="A524">
        <v>12904</v>
      </c>
      <c r="B524" t="s">
        <v>326</v>
      </c>
      <c r="C524" t="s">
        <v>338</v>
      </c>
      <c r="D524" t="s">
        <v>339</v>
      </c>
      <c r="E524">
        <v>38</v>
      </c>
      <c r="F524">
        <v>56.67</v>
      </c>
      <c r="G524">
        <v>23.33</v>
      </c>
      <c r="H524">
        <v>20</v>
      </c>
      <c r="I524">
        <v>0</v>
      </c>
      <c r="J524" s="1">
        <v>45927.786705682869</v>
      </c>
      <c r="K524" t="s">
        <v>377</v>
      </c>
      <c r="L524">
        <f t="shared" si="8"/>
        <v>523</v>
      </c>
      <c r="M524">
        <f>COUNTIF($A$2:A524,A524)</f>
        <v>24</v>
      </c>
    </row>
    <row r="525" spans="1:13" x14ac:dyDescent="0.3">
      <c r="A525">
        <v>12904</v>
      </c>
      <c r="B525" t="s">
        <v>326</v>
      </c>
      <c r="C525" t="s">
        <v>336</v>
      </c>
      <c r="D525" t="s">
        <v>337</v>
      </c>
      <c r="E525">
        <v>44</v>
      </c>
      <c r="F525">
        <v>30</v>
      </c>
      <c r="G525">
        <v>50</v>
      </c>
      <c r="H525">
        <v>20</v>
      </c>
      <c r="I525">
        <v>0</v>
      </c>
      <c r="J525" s="1">
        <v>45927.786720682867</v>
      </c>
      <c r="K525" t="s">
        <v>377</v>
      </c>
      <c r="L525">
        <f t="shared" si="8"/>
        <v>524</v>
      </c>
      <c r="M525">
        <f>COUNTIF($A$2:A525,A525)</f>
        <v>25</v>
      </c>
    </row>
    <row r="526" spans="1:13" x14ac:dyDescent="0.3">
      <c r="A526">
        <v>12904</v>
      </c>
      <c r="B526" t="s">
        <v>326</v>
      </c>
      <c r="C526" t="s">
        <v>298</v>
      </c>
      <c r="D526" t="s">
        <v>299</v>
      </c>
      <c r="F526">
        <v>73.33</v>
      </c>
      <c r="G526">
        <v>13.33</v>
      </c>
      <c r="H526">
        <v>13.33</v>
      </c>
      <c r="I526">
        <v>0</v>
      </c>
      <c r="J526" s="1">
        <v>45927.786742835648</v>
      </c>
      <c r="K526" t="s">
        <v>377</v>
      </c>
      <c r="L526">
        <f t="shared" si="8"/>
        <v>525</v>
      </c>
      <c r="M526">
        <f>COUNTIF($A$2:A526,A526)</f>
        <v>26</v>
      </c>
    </row>
    <row r="527" spans="1:13" x14ac:dyDescent="0.3">
      <c r="A527">
        <v>12904</v>
      </c>
      <c r="B527" t="s">
        <v>326</v>
      </c>
      <c r="C527" t="s">
        <v>296</v>
      </c>
      <c r="D527" t="s">
        <v>297</v>
      </c>
      <c r="F527">
        <v>56.67</v>
      </c>
      <c r="G527">
        <v>23.33</v>
      </c>
      <c r="H527">
        <v>20</v>
      </c>
      <c r="I527">
        <v>0</v>
      </c>
      <c r="J527" s="1">
        <v>45927.786765925928</v>
      </c>
      <c r="K527" t="s">
        <v>377</v>
      </c>
      <c r="L527">
        <f t="shared" si="8"/>
        <v>526</v>
      </c>
      <c r="M527">
        <f>COUNTIF($A$2:A527,A527)</f>
        <v>27</v>
      </c>
    </row>
    <row r="528" spans="1:13" x14ac:dyDescent="0.3">
      <c r="A528">
        <v>12904</v>
      </c>
      <c r="B528" t="s">
        <v>326</v>
      </c>
      <c r="C528" t="s">
        <v>334</v>
      </c>
      <c r="D528" t="s">
        <v>335</v>
      </c>
      <c r="E528">
        <v>37</v>
      </c>
      <c r="F528">
        <v>26.67</v>
      </c>
      <c r="G528">
        <v>53.33</v>
      </c>
      <c r="H528">
        <v>20</v>
      </c>
      <c r="I528">
        <v>0</v>
      </c>
      <c r="J528" s="1">
        <v>45927.786784317126</v>
      </c>
      <c r="K528" t="s">
        <v>377</v>
      </c>
      <c r="L528">
        <f t="shared" si="8"/>
        <v>527</v>
      </c>
      <c r="M528">
        <f>COUNTIF($A$2:A528,A528)</f>
        <v>28</v>
      </c>
    </row>
    <row r="529" spans="1:13" x14ac:dyDescent="0.3">
      <c r="A529">
        <v>12904</v>
      </c>
      <c r="B529" t="s">
        <v>326</v>
      </c>
      <c r="C529" t="s">
        <v>332</v>
      </c>
      <c r="D529" t="s">
        <v>333</v>
      </c>
      <c r="E529">
        <v>39</v>
      </c>
      <c r="F529">
        <v>30</v>
      </c>
      <c r="G529">
        <v>50</v>
      </c>
      <c r="H529">
        <v>20</v>
      </c>
      <c r="I529">
        <v>0</v>
      </c>
      <c r="J529" s="1">
        <v>45927.786804085648</v>
      </c>
      <c r="K529" t="s">
        <v>377</v>
      </c>
      <c r="L529">
        <f t="shared" si="8"/>
        <v>528</v>
      </c>
      <c r="M529">
        <f>COUNTIF($A$2:A529,A529)</f>
        <v>29</v>
      </c>
    </row>
    <row r="530" spans="1:13" x14ac:dyDescent="0.3">
      <c r="A530">
        <v>12904</v>
      </c>
      <c r="B530" t="s">
        <v>326</v>
      </c>
      <c r="C530" t="s">
        <v>330</v>
      </c>
      <c r="D530" t="s">
        <v>331</v>
      </c>
      <c r="F530">
        <v>70</v>
      </c>
      <c r="G530">
        <v>13.33</v>
      </c>
      <c r="H530">
        <v>16.670000000000002</v>
      </c>
      <c r="I530">
        <v>0</v>
      </c>
      <c r="J530" s="1">
        <v>45927.786827592594</v>
      </c>
      <c r="K530" t="s">
        <v>377</v>
      </c>
      <c r="L530">
        <f t="shared" si="8"/>
        <v>529</v>
      </c>
      <c r="M530">
        <f>COUNTIF($A$2:A530,A530)</f>
        <v>30</v>
      </c>
    </row>
    <row r="531" spans="1:13" x14ac:dyDescent="0.3">
      <c r="A531">
        <v>12904</v>
      </c>
      <c r="B531" t="s">
        <v>326</v>
      </c>
      <c r="C531" t="s">
        <v>294</v>
      </c>
      <c r="D531" t="s">
        <v>295</v>
      </c>
      <c r="E531">
        <v>23</v>
      </c>
      <c r="F531">
        <v>66.67</v>
      </c>
      <c r="G531">
        <v>16.670000000000002</v>
      </c>
      <c r="H531">
        <v>16.670000000000002</v>
      </c>
      <c r="I531">
        <v>0</v>
      </c>
      <c r="J531" s="1">
        <v>45927.786870706019</v>
      </c>
      <c r="K531" t="s">
        <v>377</v>
      </c>
      <c r="L531">
        <f t="shared" si="8"/>
        <v>530</v>
      </c>
      <c r="M531">
        <f>COUNTIF($A$2:A531,A531)</f>
        <v>31</v>
      </c>
    </row>
    <row r="532" spans="1:13" x14ac:dyDescent="0.3">
      <c r="A532">
        <v>12904</v>
      </c>
      <c r="B532" t="s">
        <v>326</v>
      </c>
      <c r="C532" t="s">
        <v>292</v>
      </c>
      <c r="D532" t="s">
        <v>293</v>
      </c>
      <c r="E532">
        <v>22</v>
      </c>
      <c r="F532">
        <v>73.33</v>
      </c>
      <c r="G532">
        <v>10</v>
      </c>
      <c r="H532">
        <v>16.670000000000002</v>
      </c>
      <c r="I532">
        <v>0</v>
      </c>
      <c r="J532" s="1">
        <v>45927.786888020833</v>
      </c>
      <c r="K532" t="s">
        <v>377</v>
      </c>
      <c r="L532">
        <f t="shared" si="8"/>
        <v>531</v>
      </c>
      <c r="M532">
        <f>COUNTIF($A$2:A532,A532)</f>
        <v>32</v>
      </c>
    </row>
    <row r="533" spans="1:13" x14ac:dyDescent="0.3">
      <c r="A533">
        <v>12904</v>
      </c>
      <c r="B533" t="s">
        <v>326</v>
      </c>
      <c r="C533" t="s">
        <v>290</v>
      </c>
      <c r="D533" t="s">
        <v>291</v>
      </c>
      <c r="E533">
        <v>27</v>
      </c>
      <c r="F533">
        <v>40</v>
      </c>
      <c r="G533">
        <v>46.67</v>
      </c>
      <c r="H533">
        <v>13.33</v>
      </c>
      <c r="I533">
        <v>0</v>
      </c>
      <c r="J533" s="1">
        <v>45927.786931712966</v>
      </c>
      <c r="K533" t="s">
        <v>377</v>
      </c>
      <c r="L533">
        <f t="shared" si="8"/>
        <v>532</v>
      </c>
      <c r="M533">
        <f>COUNTIF($A$2:A533,A533)</f>
        <v>33</v>
      </c>
    </row>
    <row r="534" spans="1:13" x14ac:dyDescent="0.3">
      <c r="A534">
        <v>12904</v>
      </c>
      <c r="B534" t="s">
        <v>326</v>
      </c>
      <c r="C534" t="s">
        <v>327</v>
      </c>
      <c r="D534" t="s">
        <v>328</v>
      </c>
      <c r="F534">
        <v>86.67</v>
      </c>
      <c r="G534">
        <v>3.33</v>
      </c>
      <c r="H534">
        <v>10</v>
      </c>
      <c r="I534">
        <v>0</v>
      </c>
      <c r="J534" s="1">
        <v>45927.786976527779</v>
      </c>
      <c r="K534" t="s">
        <v>377</v>
      </c>
      <c r="L534">
        <f t="shared" si="8"/>
        <v>533</v>
      </c>
      <c r="M534">
        <f>COUNTIF($A$2:A534,A534)</f>
        <v>34</v>
      </c>
    </row>
    <row r="535" spans="1:13" x14ac:dyDescent="0.3">
      <c r="A535">
        <v>17057</v>
      </c>
      <c r="B535" t="s">
        <v>378</v>
      </c>
      <c r="C535" t="s">
        <v>379</v>
      </c>
      <c r="D535" t="s">
        <v>380</v>
      </c>
      <c r="E535">
        <v>3</v>
      </c>
      <c r="F535">
        <v>96.67</v>
      </c>
      <c r="G535">
        <v>3.33</v>
      </c>
      <c r="H535">
        <v>0</v>
      </c>
      <c r="I535">
        <v>0</v>
      </c>
      <c r="J535" s="1">
        <v>45927.7870415625</v>
      </c>
      <c r="K535" t="s">
        <v>381</v>
      </c>
      <c r="L535">
        <f t="shared" si="8"/>
        <v>534</v>
      </c>
      <c r="M535">
        <f>COUNTIF($A$2:A535,A535)</f>
        <v>1</v>
      </c>
    </row>
    <row r="536" spans="1:13" x14ac:dyDescent="0.3">
      <c r="A536">
        <v>17057</v>
      </c>
      <c r="B536" t="s">
        <v>378</v>
      </c>
      <c r="C536" t="s">
        <v>382</v>
      </c>
      <c r="D536" t="s">
        <v>383</v>
      </c>
      <c r="E536">
        <v>10</v>
      </c>
      <c r="F536">
        <v>90</v>
      </c>
      <c r="G536">
        <v>10</v>
      </c>
      <c r="H536">
        <v>0</v>
      </c>
      <c r="I536">
        <v>0</v>
      </c>
      <c r="J536" s="1">
        <v>45927.787057627313</v>
      </c>
      <c r="K536" t="s">
        <v>381</v>
      </c>
      <c r="L536">
        <f t="shared" si="8"/>
        <v>535</v>
      </c>
      <c r="M536">
        <f>COUNTIF($A$2:A536,A536)</f>
        <v>2</v>
      </c>
    </row>
    <row r="537" spans="1:13" x14ac:dyDescent="0.3">
      <c r="A537">
        <v>17057</v>
      </c>
      <c r="B537" t="s">
        <v>378</v>
      </c>
      <c r="C537" t="s">
        <v>384</v>
      </c>
      <c r="D537" t="s">
        <v>385</v>
      </c>
      <c r="F537">
        <v>93.33</v>
      </c>
      <c r="G537">
        <v>6.67</v>
      </c>
      <c r="H537">
        <v>0</v>
      </c>
      <c r="I537">
        <v>0</v>
      </c>
      <c r="J537" s="1">
        <v>45927.787078263886</v>
      </c>
      <c r="K537" t="s">
        <v>381</v>
      </c>
      <c r="L537">
        <f t="shared" si="8"/>
        <v>536</v>
      </c>
      <c r="M537">
        <f>COUNTIF($A$2:A537,A537)</f>
        <v>3</v>
      </c>
    </row>
    <row r="538" spans="1:13" x14ac:dyDescent="0.3">
      <c r="A538">
        <v>17057</v>
      </c>
      <c r="B538" t="s">
        <v>378</v>
      </c>
      <c r="C538" t="s">
        <v>386</v>
      </c>
      <c r="D538" t="s">
        <v>387</v>
      </c>
      <c r="E538">
        <v>16</v>
      </c>
      <c r="F538">
        <v>40</v>
      </c>
      <c r="G538">
        <v>60</v>
      </c>
      <c r="H538">
        <v>0</v>
      </c>
      <c r="I538">
        <v>0</v>
      </c>
      <c r="J538" s="1">
        <v>45927.787096574073</v>
      </c>
      <c r="K538" t="s">
        <v>381</v>
      </c>
      <c r="L538">
        <f t="shared" si="8"/>
        <v>537</v>
      </c>
      <c r="M538">
        <f>COUNTIF($A$2:A538,A538)</f>
        <v>4</v>
      </c>
    </row>
    <row r="539" spans="1:13" x14ac:dyDescent="0.3">
      <c r="A539">
        <v>17057</v>
      </c>
      <c r="B539" t="s">
        <v>378</v>
      </c>
      <c r="C539" t="s">
        <v>388</v>
      </c>
      <c r="D539" t="s">
        <v>389</v>
      </c>
      <c r="E539">
        <v>21</v>
      </c>
      <c r="F539">
        <v>36.67</v>
      </c>
      <c r="G539">
        <v>63.33</v>
      </c>
      <c r="H539">
        <v>0</v>
      </c>
      <c r="I539">
        <v>0</v>
      </c>
      <c r="J539" s="1">
        <v>45927.787114953702</v>
      </c>
      <c r="K539" t="s">
        <v>381</v>
      </c>
      <c r="L539">
        <f t="shared" si="8"/>
        <v>538</v>
      </c>
      <c r="M539">
        <f>COUNTIF($A$2:A539,A539)</f>
        <v>5</v>
      </c>
    </row>
    <row r="540" spans="1:13" x14ac:dyDescent="0.3">
      <c r="A540">
        <v>17057</v>
      </c>
      <c r="B540" t="s">
        <v>378</v>
      </c>
      <c r="C540" t="s">
        <v>390</v>
      </c>
      <c r="D540" t="s">
        <v>391</v>
      </c>
      <c r="E540">
        <v>22</v>
      </c>
      <c r="F540">
        <v>33.33</v>
      </c>
      <c r="G540">
        <v>66.67</v>
      </c>
      <c r="H540">
        <v>0</v>
      </c>
      <c r="I540">
        <v>0</v>
      </c>
      <c r="J540" s="1">
        <v>45927.787130115743</v>
      </c>
      <c r="K540" t="s">
        <v>381</v>
      </c>
      <c r="L540">
        <f t="shared" si="8"/>
        <v>539</v>
      </c>
      <c r="M540">
        <f>COUNTIF($A$2:A540,A540)</f>
        <v>6</v>
      </c>
    </row>
    <row r="541" spans="1:13" x14ac:dyDescent="0.3">
      <c r="A541">
        <v>17057</v>
      </c>
      <c r="B541" t="s">
        <v>378</v>
      </c>
      <c r="C541" t="s">
        <v>392</v>
      </c>
      <c r="D541" t="s">
        <v>393</v>
      </c>
      <c r="E541">
        <v>23</v>
      </c>
      <c r="F541">
        <v>30</v>
      </c>
      <c r="G541">
        <v>70</v>
      </c>
      <c r="H541">
        <v>0</v>
      </c>
      <c r="I541">
        <v>0</v>
      </c>
      <c r="J541" s="1">
        <v>45927.78715128472</v>
      </c>
      <c r="K541" t="s">
        <v>381</v>
      </c>
      <c r="L541">
        <f t="shared" si="8"/>
        <v>540</v>
      </c>
      <c r="M541">
        <f>COUNTIF($A$2:A541,A541)</f>
        <v>7</v>
      </c>
    </row>
    <row r="542" spans="1:13" x14ac:dyDescent="0.3">
      <c r="A542">
        <v>17057</v>
      </c>
      <c r="B542" t="s">
        <v>378</v>
      </c>
      <c r="C542" t="s">
        <v>394</v>
      </c>
      <c r="D542" t="s">
        <v>395</v>
      </c>
      <c r="E542">
        <v>20</v>
      </c>
      <c r="F542">
        <v>43.33</v>
      </c>
      <c r="G542">
        <v>53.33</v>
      </c>
      <c r="H542">
        <v>3.33</v>
      </c>
      <c r="I542">
        <v>0.01</v>
      </c>
      <c r="J542" s="1">
        <v>45927.787167453702</v>
      </c>
      <c r="K542" t="s">
        <v>381</v>
      </c>
      <c r="L542">
        <f t="shared" si="8"/>
        <v>541</v>
      </c>
      <c r="M542">
        <f>COUNTIF($A$2:A542,A542)</f>
        <v>8</v>
      </c>
    </row>
    <row r="543" spans="1:13" x14ac:dyDescent="0.3">
      <c r="A543">
        <v>17057</v>
      </c>
      <c r="B543" t="s">
        <v>378</v>
      </c>
      <c r="C543" t="s">
        <v>396</v>
      </c>
      <c r="D543" t="s">
        <v>397</v>
      </c>
      <c r="E543">
        <v>17</v>
      </c>
      <c r="F543">
        <v>66.67</v>
      </c>
      <c r="G543">
        <v>30</v>
      </c>
      <c r="H543">
        <v>3.33</v>
      </c>
      <c r="I543">
        <v>0</v>
      </c>
      <c r="J543" s="1">
        <v>45927.787207569447</v>
      </c>
      <c r="K543" t="s">
        <v>381</v>
      </c>
      <c r="L543">
        <f t="shared" si="8"/>
        <v>542</v>
      </c>
      <c r="M543">
        <f>COUNTIF($A$2:A543,A543)</f>
        <v>9</v>
      </c>
    </row>
    <row r="544" spans="1:13" x14ac:dyDescent="0.3">
      <c r="A544">
        <v>17057</v>
      </c>
      <c r="B544" t="s">
        <v>378</v>
      </c>
      <c r="C544" t="s">
        <v>398</v>
      </c>
      <c r="D544" t="s">
        <v>399</v>
      </c>
      <c r="F544">
        <v>50</v>
      </c>
      <c r="G544">
        <v>46.67</v>
      </c>
      <c r="H544">
        <v>3.33</v>
      </c>
      <c r="I544">
        <v>0</v>
      </c>
      <c r="J544" s="1">
        <v>45927.787227442132</v>
      </c>
      <c r="K544" t="s">
        <v>381</v>
      </c>
      <c r="L544">
        <f t="shared" si="8"/>
        <v>543</v>
      </c>
      <c r="M544">
        <f>COUNTIF($A$2:A544,A544)</f>
        <v>10</v>
      </c>
    </row>
    <row r="545" spans="1:13" x14ac:dyDescent="0.3">
      <c r="A545">
        <v>17057</v>
      </c>
      <c r="B545" t="s">
        <v>378</v>
      </c>
      <c r="C545" t="s">
        <v>400</v>
      </c>
      <c r="D545" t="s">
        <v>401</v>
      </c>
      <c r="E545">
        <v>22</v>
      </c>
      <c r="F545">
        <v>60</v>
      </c>
      <c r="G545">
        <v>33.33</v>
      </c>
      <c r="H545">
        <v>6.67</v>
      </c>
      <c r="I545">
        <v>0</v>
      </c>
      <c r="J545" s="1">
        <v>45927.78727040509</v>
      </c>
      <c r="K545" t="s">
        <v>381</v>
      </c>
      <c r="L545">
        <f t="shared" si="8"/>
        <v>544</v>
      </c>
      <c r="M545">
        <f>COUNTIF($A$2:A545,A545)</f>
        <v>11</v>
      </c>
    </row>
    <row r="546" spans="1:13" x14ac:dyDescent="0.3">
      <c r="A546">
        <v>17057</v>
      </c>
      <c r="B546" t="s">
        <v>378</v>
      </c>
      <c r="C546" t="s">
        <v>402</v>
      </c>
      <c r="D546" t="s">
        <v>403</v>
      </c>
      <c r="F546">
        <v>3.33</v>
      </c>
      <c r="G546">
        <v>46.67</v>
      </c>
      <c r="H546">
        <v>50</v>
      </c>
      <c r="I546">
        <v>0</v>
      </c>
      <c r="J546" s="1">
        <v>45927.787295000002</v>
      </c>
      <c r="K546" t="s">
        <v>381</v>
      </c>
      <c r="L546">
        <f t="shared" si="8"/>
        <v>545</v>
      </c>
      <c r="M546">
        <f>COUNTIF($A$2:A546,A546)</f>
        <v>12</v>
      </c>
    </row>
    <row r="547" spans="1:13" x14ac:dyDescent="0.3">
      <c r="A547">
        <v>17057</v>
      </c>
      <c r="B547" t="s">
        <v>378</v>
      </c>
      <c r="C547" t="s">
        <v>404</v>
      </c>
      <c r="D547" t="s">
        <v>404</v>
      </c>
      <c r="E547">
        <v>58</v>
      </c>
      <c r="F547">
        <v>6.67</v>
      </c>
      <c r="G547">
        <v>60</v>
      </c>
      <c r="H547">
        <v>33.33</v>
      </c>
      <c r="I547">
        <v>0</v>
      </c>
      <c r="J547" s="1">
        <v>45927.787312893517</v>
      </c>
      <c r="K547" t="s">
        <v>381</v>
      </c>
      <c r="L547">
        <f t="shared" si="8"/>
        <v>546</v>
      </c>
      <c r="M547">
        <f>COUNTIF($A$2:A547,A547)</f>
        <v>13</v>
      </c>
    </row>
    <row r="548" spans="1:13" x14ac:dyDescent="0.3">
      <c r="A548">
        <v>17057</v>
      </c>
      <c r="B548" t="s">
        <v>378</v>
      </c>
      <c r="C548" t="s">
        <v>405</v>
      </c>
      <c r="D548" t="s">
        <v>406</v>
      </c>
      <c r="E548">
        <v>54</v>
      </c>
      <c r="F548">
        <v>3.33</v>
      </c>
      <c r="G548">
        <v>70</v>
      </c>
      <c r="H548">
        <v>26.67</v>
      </c>
      <c r="I548">
        <v>0</v>
      </c>
      <c r="J548" s="1">
        <v>45927.787333599539</v>
      </c>
      <c r="K548" t="s">
        <v>381</v>
      </c>
      <c r="L548">
        <f t="shared" si="8"/>
        <v>547</v>
      </c>
      <c r="M548">
        <f>COUNTIF($A$2:A548,A548)</f>
        <v>14</v>
      </c>
    </row>
    <row r="549" spans="1:13" x14ac:dyDescent="0.3">
      <c r="A549">
        <v>17057</v>
      </c>
      <c r="B549" t="s">
        <v>378</v>
      </c>
      <c r="C549" t="s">
        <v>407</v>
      </c>
      <c r="D549" t="s">
        <v>408</v>
      </c>
      <c r="E549">
        <v>48</v>
      </c>
      <c r="F549">
        <v>10</v>
      </c>
      <c r="G549">
        <v>66.67</v>
      </c>
      <c r="H549">
        <v>23.33</v>
      </c>
      <c r="I549">
        <v>0</v>
      </c>
      <c r="J549" s="1">
        <v>45927.787349768521</v>
      </c>
      <c r="K549" t="s">
        <v>381</v>
      </c>
      <c r="L549">
        <f t="shared" si="8"/>
        <v>548</v>
      </c>
      <c r="M549">
        <f>COUNTIF($A$2:A549,A549)</f>
        <v>15</v>
      </c>
    </row>
    <row r="550" spans="1:13" x14ac:dyDescent="0.3">
      <c r="A550">
        <v>17057</v>
      </c>
      <c r="B550" t="s">
        <v>378</v>
      </c>
      <c r="C550" t="s">
        <v>409</v>
      </c>
      <c r="D550" t="s">
        <v>410</v>
      </c>
      <c r="F550">
        <v>26.67</v>
      </c>
      <c r="G550">
        <v>63.33</v>
      </c>
      <c r="H550">
        <v>10</v>
      </c>
      <c r="I550">
        <v>0</v>
      </c>
      <c r="J550" s="1">
        <v>45927.787372025465</v>
      </c>
      <c r="K550" t="s">
        <v>381</v>
      </c>
      <c r="L550">
        <f t="shared" si="8"/>
        <v>549</v>
      </c>
      <c r="M550">
        <f>COUNTIF($A$2:A550,A550)</f>
        <v>16</v>
      </c>
    </row>
    <row r="551" spans="1:13" x14ac:dyDescent="0.3">
      <c r="A551">
        <v>17057</v>
      </c>
      <c r="B551" t="s">
        <v>378</v>
      </c>
      <c r="C551" t="s">
        <v>411</v>
      </c>
      <c r="D551" t="s">
        <v>412</v>
      </c>
      <c r="E551">
        <v>37</v>
      </c>
      <c r="F551">
        <v>20</v>
      </c>
      <c r="G551">
        <v>66.67</v>
      </c>
      <c r="H551">
        <v>13.33</v>
      </c>
      <c r="I551">
        <v>0</v>
      </c>
      <c r="J551" s="1">
        <v>45927.787413599537</v>
      </c>
      <c r="K551" t="s">
        <v>381</v>
      </c>
      <c r="L551">
        <f t="shared" si="8"/>
        <v>550</v>
      </c>
      <c r="M551">
        <f>COUNTIF($A$2:A551,A551)</f>
        <v>17</v>
      </c>
    </row>
    <row r="552" spans="1:13" x14ac:dyDescent="0.3">
      <c r="A552">
        <v>17057</v>
      </c>
      <c r="B552" t="s">
        <v>378</v>
      </c>
      <c r="C552" t="s">
        <v>413</v>
      </c>
      <c r="D552" t="s">
        <v>414</v>
      </c>
      <c r="F552">
        <v>33.33</v>
      </c>
      <c r="G552">
        <v>53.33</v>
      </c>
      <c r="H552">
        <v>13.33</v>
      </c>
      <c r="I552">
        <v>0</v>
      </c>
      <c r="J552" s="1">
        <v>45927.787433738427</v>
      </c>
      <c r="K552" t="s">
        <v>381</v>
      </c>
      <c r="L552">
        <f t="shared" si="8"/>
        <v>551</v>
      </c>
      <c r="M552">
        <f>COUNTIF($A$2:A552,A552)</f>
        <v>18</v>
      </c>
    </row>
    <row r="553" spans="1:13" x14ac:dyDescent="0.3">
      <c r="A553">
        <v>17057</v>
      </c>
      <c r="B553" t="s">
        <v>378</v>
      </c>
      <c r="C553" t="s">
        <v>415</v>
      </c>
      <c r="D553" t="s">
        <v>415</v>
      </c>
      <c r="E553">
        <v>38</v>
      </c>
      <c r="F553">
        <v>26.67</v>
      </c>
      <c r="G553">
        <v>53.33</v>
      </c>
      <c r="H553">
        <v>20</v>
      </c>
      <c r="I553">
        <v>0</v>
      </c>
      <c r="J553" s="1">
        <v>45927.787453865742</v>
      </c>
      <c r="K553" t="s">
        <v>381</v>
      </c>
      <c r="L553">
        <f t="shared" si="8"/>
        <v>552</v>
      </c>
      <c r="M553">
        <f>COUNTIF($A$2:A553,A553)</f>
        <v>19</v>
      </c>
    </row>
    <row r="554" spans="1:13" x14ac:dyDescent="0.3">
      <c r="A554">
        <v>17057</v>
      </c>
      <c r="B554" t="s">
        <v>378</v>
      </c>
      <c r="C554" t="s">
        <v>416</v>
      </c>
      <c r="D554" t="s">
        <v>417</v>
      </c>
      <c r="E554">
        <v>44</v>
      </c>
      <c r="F554">
        <v>10</v>
      </c>
      <c r="G554">
        <v>70</v>
      </c>
      <c r="H554">
        <v>20</v>
      </c>
      <c r="I554">
        <v>0</v>
      </c>
      <c r="J554" s="1">
        <v>45927.787473275464</v>
      </c>
      <c r="K554" t="s">
        <v>381</v>
      </c>
      <c r="L554">
        <f t="shared" si="8"/>
        <v>553</v>
      </c>
      <c r="M554">
        <f>COUNTIF($A$2:A554,A554)</f>
        <v>20</v>
      </c>
    </row>
    <row r="555" spans="1:13" x14ac:dyDescent="0.3">
      <c r="A555">
        <v>17057</v>
      </c>
      <c r="B555" t="s">
        <v>378</v>
      </c>
      <c r="C555" t="s">
        <v>418</v>
      </c>
      <c r="D555" t="s">
        <v>419</v>
      </c>
      <c r="E555">
        <v>51</v>
      </c>
      <c r="F555">
        <v>6.67</v>
      </c>
      <c r="G555">
        <v>66.67</v>
      </c>
      <c r="H555">
        <v>26.67</v>
      </c>
      <c r="I555">
        <v>0</v>
      </c>
      <c r="J555" s="1">
        <v>45927.787518703706</v>
      </c>
      <c r="K555" t="s">
        <v>381</v>
      </c>
      <c r="L555">
        <f t="shared" si="8"/>
        <v>554</v>
      </c>
      <c r="M555">
        <f>COUNTIF($A$2:A555,A555)</f>
        <v>21</v>
      </c>
    </row>
    <row r="556" spans="1:13" x14ac:dyDescent="0.3">
      <c r="A556">
        <v>17057</v>
      </c>
      <c r="B556" t="s">
        <v>378</v>
      </c>
      <c r="C556" t="s">
        <v>420</v>
      </c>
      <c r="D556" t="s">
        <v>421</v>
      </c>
      <c r="E556">
        <v>55</v>
      </c>
      <c r="F556">
        <v>6.67</v>
      </c>
      <c r="G556">
        <v>63.33</v>
      </c>
      <c r="H556">
        <v>30</v>
      </c>
      <c r="I556">
        <v>0</v>
      </c>
      <c r="J556" s="1">
        <v>45927.787539074074</v>
      </c>
      <c r="K556" t="s">
        <v>381</v>
      </c>
      <c r="L556">
        <f t="shared" si="8"/>
        <v>555</v>
      </c>
      <c r="M556">
        <f>COUNTIF($A$2:A556,A556)</f>
        <v>22</v>
      </c>
    </row>
    <row r="557" spans="1:13" x14ac:dyDescent="0.3">
      <c r="A557">
        <v>17057</v>
      </c>
      <c r="B557" t="s">
        <v>378</v>
      </c>
      <c r="C557" t="s">
        <v>422</v>
      </c>
      <c r="D557" t="s">
        <v>423</v>
      </c>
      <c r="E557">
        <v>57</v>
      </c>
      <c r="F557">
        <v>13.33</v>
      </c>
      <c r="G557">
        <v>50</v>
      </c>
      <c r="H557">
        <v>36.67</v>
      </c>
      <c r="I557">
        <v>0</v>
      </c>
      <c r="J557" s="1">
        <v>45927.787554988427</v>
      </c>
      <c r="K557" t="s">
        <v>381</v>
      </c>
      <c r="L557">
        <f t="shared" si="8"/>
        <v>556</v>
      </c>
      <c r="M557">
        <f>COUNTIF($A$2:A557,A557)</f>
        <v>23</v>
      </c>
    </row>
    <row r="558" spans="1:13" x14ac:dyDescent="0.3">
      <c r="A558">
        <v>17057</v>
      </c>
      <c r="B558" t="s">
        <v>378</v>
      </c>
      <c r="C558" t="s">
        <v>424</v>
      </c>
      <c r="D558" t="s">
        <v>425</v>
      </c>
      <c r="E558">
        <v>57</v>
      </c>
      <c r="F558">
        <v>13.33</v>
      </c>
      <c r="G558">
        <v>46.67</v>
      </c>
      <c r="H558">
        <v>40</v>
      </c>
      <c r="I558">
        <v>0</v>
      </c>
      <c r="J558" s="1">
        <v>45927.787575138886</v>
      </c>
      <c r="K558" t="s">
        <v>381</v>
      </c>
      <c r="L558">
        <f t="shared" si="8"/>
        <v>557</v>
      </c>
      <c r="M558">
        <f>COUNTIF($A$2:A558,A558)</f>
        <v>24</v>
      </c>
    </row>
    <row r="559" spans="1:13" x14ac:dyDescent="0.3">
      <c r="A559">
        <v>17057</v>
      </c>
      <c r="B559" t="s">
        <v>378</v>
      </c>
      <c r="C559" t="s">
        <v>426</v>
      </c>
      <c r="D559" t="s">
        <v>427</v>
      </c>
      <c r="E559">
        <v>60</v>
      </c>
      <c r="F559">
        <v>13.33</v>
      </c>
      <c r="G559">
        <v>43.33</v>
      </c>
      <c r="H559">
        <v>43.33</v>
      </c>
      <c r="I559">
        <v>0.01</v>
      </c>
      <c r="J559" s="1">
        <v>45927.787591215281</v>
      </c>
      <c r="K559" t="s">
        <v>381</v>
      </c>
      <c r="L559">
        <f t="shared" si="8"/>
        <v>558</v>
      </c>
      <c r="M559">
        <f>COUNTIF($A$2:A559,A559)</f>
        <v>25</v>
      </c>
    </row>
    <row r="560" spans="1:13" x14ac:dyDescent="0.3">
      <c r="A560">
        <v>17057</v>
      </c>
      <c r="B560" t="s">
        <v>378</v>
      </c>
      <c r="C560" t="s">
        <v>428</v>
      </c>
      <c r="D560" t="s">
        <v>429</v>
      </c>
      <c r="E560">
        <v>35</v>
      </c>
      <c r="F560">
        <v>36.67</v>
      </c>
      <c r="G560">
        <v>46.67</v>
      </c>
      <c r="H560">
        <v>16.670000000000002</v>
      </c>
      <c r="I560">
        <v>0</v>
      </c>
      <c r="J560" s="1">
        <v>45927.787635173612</v>
      </c>
      <c r="K560" t="s">
        <v>381</v>
      </c>
      <c r="L560">
        <f t="shared" si="8"/>
        <v>559</v>
      </c>
      <c r="M560">
        <f>COUNTIF($A$2:A560,A560)</f>
        <v>26</v>
      </c>
    </row>
    <row r="561" spans="1:13" x14ac:dyDescent="0.3">
      <c r="A561">
        <v>17057</v>
      </c>
      <c r="B561" t="s">
        <v>378</v>
      </c>
      <c r="C561" t="s">
        <v>430</v>
      </c>
      <c r="D561" t="s">
        <v>431</v>
      </c>
      <c r="E561">
        <v>52</v>
      </c>
      <c r="F561">
        <v>36.67</v>
      </c>
      <c r="G561">
        <v>46.67</v>
      </c>
      <c r="H561">
        <v>16.670000000000002</v>
      </c>
      <c r="I561">
        <v>0</v>
      </c>
      <c r="J561" s="1">
        <v>45927.787679004628</v>
      </c>
      <c r="K561" t="s">
        <v>381</v>
      </c>
      <c r="L561">
        <f t="shared" si="8"/>
        <v>560</v>
      </c>
      <c r="M561">
        <f>COUNTIF($A$2:A561,A561)</f>
        <v>27</v>
      </c>
    </row>
    <row r="562" spans="1:13" x14ac:dyDescent="0.3">
      <c r="A562">
        <v>17057</v>
      </c>
      <c r="B562" t="s">
        <v>378</v>
      </c>
      <c r="C562" t="s">
        <v>432</v>
      </c>
      <c r="D562" t="s">
        <v>433</v>
      </c>
      <c r="E562">
        <v>36</v>
      </c>
      <c r="F562">
        <v>70</v>
      </c>
      <c r="G562">
        <v>13.33</v>
      </c>
      <c r="H562">
        <v>16.670000000000002</v>
      </c>
      <c r="I562">
        <v>0</v>
      </c>
      <c r="J562" s="1">
        <v>45927.787695590276</v>
      </c>
      <c r="K562" t="s">
        <v>381</v>
      </c>
      <c r="L562">
        <f t="shared" si="8"/>
        <v>561</v>
      </c>
      <c r="M562">
        <f>COUNTIF($A$2:A562,A562)</f>
        <v>28</v>
      </c>
    </row>
    <row r="563" spans="1:13" x14ac:dyDescent="0.3">
      <c r="A563">
        <v>17057</v>
      </c>
      <c r="B563" t="s">
        <v>378</v>
      </c>
      <c r="C563" t="s">
        <v>434</v>
      </c>
      <c r="D563" t="s">
        <v>435</v>
      </c>
      <c r="E563">
        <v>42</v>
      </c>
      <c r="F563">
        <v>76.67</v>
      </c>
      <c r="G563">
        <v>10</v>
      </c>
      <c r="H563">
        <v>13.33</v>
      </c>
      <c r="I563">
        <v>0</v>
      </c>
      <c r="J563" s="1">
        <v>45927.787735543985</v>
      </c>
      <c r="K563" t="s">
        <v>381</v>
      </c>
      <c r="L563">
        <f t="shared" si="8"/>
        <v>562</v>
      </c>
      <c r="M563">
        <f>COUNTIF($A$2:A563,A563)</f>
        <v>29</v>
      </c>
    </row>
    <row r="564" spans="1:13" x14ac:dyDescent="0.3">
      <c r="A564">
        <v>17058</v>
      </c>
      <c r="B564" t="s">
        <v>378</v>
      </c>
      <c r="C564" t="s">
        <v>434</v>
      </c>
      <c r="D564" t="s">
        <v>435</v>
      </c>
      <c r="E564">
        <v>2</v>
      </c>
      <c r="F564">
        <v>96.67</v>
      </c>
      <c r="G564">
        <v>3.33</v>
      </c>
      <c r="H564">
        <v>0</v>
      </c>
      <c r="I564">
        <v>0</v>
      </c>
      <c r="J564" s="1">
        <v>45927.787804930558</v>
      </c>
      <c r="K564" t="s">
        <v>436</v>
      </c>
      <c r="L564">
        <f t="shared" si="8"/>
        <v>563</v>
      </c>
      <c r="M564">
        <f>COUNTIF($A$2:A564,A564)</f>
        <v>1</v>
      </c>
    </row>
    <row r="565" spans="1:13" x14ac:dyDescent="0.3">
      <c r="A565">
        <v>17058</v>
      </c>
      <c r="B565" t="s">
        <v>378</v>
      </c>
      <c r="C565" t="s">
        <v>432</v>
      </c>
      <c r="D565" t="s">
        <v>433</v>
      </c>
      <c r="E565">
        <v>4</v>
      </c>
      <c r="F565">
        <v>96.67</v>
      </c>
      <c r="G565">
        <v>0</v>
      </c>
      <c r="H565">
        <v>3.33</v>
      </c>
      <c r="I565">
        <v>0</v>
      </c>
      <c r="J565" s="1">
        <v>45927.787845659725</v>
      </c>
      <c r="K565" t="s">
        <v>436</v>
      </c>
      <c r="L565">
        <f t="shared" si="8"/>
        <v>564</v>
      </c>
      <c r="M565">
        <f>COUNTIF($A$2:A565,A565)</f>
        <v>2</v>
      </c>
    </row>
    <row r="566" spans="1:13" x14ac:dyDescent="0.3">
      <c r="A566">
        <v>17058</v>
      </c>
      <c r="B566" t="s">
        <v>378</v>
      </c>
      <c r="C566" t="s">
        <v>430</v>
      </c>
      <c r="D566" t="s">
        <v>431</v>
      </c>
      <c r="F566">
        <v>86.67</v>
      </c>
      <c r="G566">
        <v>13.33</v>
      </c>
      <c r="H566">
        <v>0</v>
      </c>
      <c r="I566">
        <v>0</v>
      </c>
      <c r="J566" s="1">
        <v>45927.787869201391</v>
      </c>
      <c r="K566" t="s">
        <v>436</v>
      </c>
      <c r="L566">
        <f t="shared" si="8"/>
        <v>565</v>
      </c>
      <c r="M566">
        <f>COUNTIF($A$2:A566,A566)</f>
        <v>3</v>
      </c>
    </row>
    <row r="567" spans="1:13" x14ac:dyDescent="0.3">
      <c r="A567">
        <v>17058</v>
      </c>
      <c r="B567" t="s">
        <v>378</v>
      </c>
      <c r="C567" t="s">
        <v>428</v>
      </c>
      <c r="D567" t="s">
        <v>429</v>
      </c>
      <c r="E567">
        <v>5</v>
      </c>
      <c r="F567">
        <v>90</v>
      </c>
      <c r="G567">
        <v>10</v>
      </c>
      <c r="H567">
        <v>0</v>
      </c>
      <c r="I567">
        <v>0</v>
      </c>
      <c r="J567" s="1">
        <v>45927.78788708333</v>
      </c>
      <c r="K567" t="s">
        <v>436</v>
      </c>
      <c r="L567">
        <f t="shared" si="8"/>
        <v>566</v>
      </c>
      <c r="M567">
        <f>COUNTIF($A$2:A567,A567)</f>
        <v>4</v>
      </c>
    </row>
    <row r="568" spans="1:13" x14ac:dyDescent="0.3">
      <c r="A568">
        <v>17058</v>
      </c>
      <c r="B568" t="s">
        <v>378</v>
      </c>
      <c r="C568" t="s">
        <v>426</v>
      </c>
      <c r="D568" t="s">
        <v>427</v>
      </c>
      <c r="E568">
        <v>17</v>
      </c>
      <c r="F568">
        <v>43.33</v>
      </c>
      <c r="G568">
        <v>56.67</v>
      </c>
      <c r="H568">
        <v>0</v>
      </c>
      <c r="I568">
        <v>0</v>
      </c>
      <c r="J568" s="1">
        <v>45927.787903969911</v>
      </c>
      <c r="K568" t="s">
        <v>436</v>
      </c>
      <c r="L568">
        <f t="shared" si="8"/>
        <v>567</v>
      </c>
      <c r="M568">
        <f>COUNTIF($A$2:A568,A568)</f>
        <v>5</v>
      </c>
    </row>
    <row r="569" spans="1:13" x14ac:dyDescent="0.3">
      <c r="A569">
        <v>17058</v>
      </c>
      <c r="B569" t="s">
        <v>378</v>
      </c>
      <c r="C569" t="s">
        <v>424</v>
      </c>
      <c r="D569" t="s">
        <v>425</v>
      </c>
      <c r="E569">
        <v>21</v>
      </c>
      <c r="F569">
        <v>33.33</v>
      </c>
      <c r="G569">
        <v>66.67</v>
      </c>
      <c r="H569">
        <v>0</v>
      </c>
      <c r="I569">
        <v>0</v>
      </c>
      <c r="J569" s="1">
        <v>45927.7879234375</v>
      </c>
      <c r="K569" t="s">
        <v>436</v>
      </c>
      <c r="L569">
        <f t="shared" si="8"/>
        <v>568</v>
      </c>
      <c r="M569">
        <f>COUNTIF($A$2:A569,A569)</f>
        <v>6</v>
      </c>
    </row>
    <row r="570" spans="1:13" x14ac:dyDescent="0.3">
      <c r="A570">
        <v>17058</v>
      </c>
      <c r="B570" t="s">
        <v>378</v>
      </c>
      <c r="C570" t="s">
        <v>422</v>
      </c>
      <c r="D570" t="s">
        <v>423</v>
      </c>
      <c r="E570">
        <v>29</v>
      </c>
      <c r="F570">
        <v>16.670000000000002</v>
      </c>
      <c r="G570">
        <v>80</v>
      </c>
      <c r="H570">
        <v>3.33</v>
      </c>
      <c r="I570">
        <v>0</v>
      </c>
      <c r="J570" s="1">
        <v>45927.787964861112</v>
      </c>
      <c r="K570" t="s">
        <v>436</v>
      </c>
      <c r="L570">
        <f t="shared" si="8"/>
        <v>569</v>
      </c>
      <c r="M570">
        <f>COUNTIF($A$2:A570,A570)</f>
        <v>7</v>
      </c>
    </row>
    <row r="571" spans="1:13" x14ac:dyDescent="0.3">
      <c r="A571">
        <v>17058</v>
      </c>
      <c r="B571" t="s">
        <v>378</v>
      </c>
      <c r="C571" t="s">
        <v>420</v>
      </c>
      <c r="D571" t="s">
        <v>421</v>
      </c>
      <c r="E571">
        <v>42</v>
      </c>
      <c r="F571">
        <v>13.33</v>
      </c>
      <c r="G571">
        <v>70</v>
      </c>
      <c r="H571">
        <v>16.670000000000002</v>
      </c>
      <c r="I571">
        <v>0</v>
      </c>
      <c r="J571" s="1">
        <v>45927.787986354168</v>
      </c>
      <c r="K571" t="s">
        <v>436</v>
      </c>
      <c r="L571">
        <f t="shared" si="8"/>
        <v>570</v>
      </c>
      <c r="M571">
        <f>COUNTIF($A$2:A571,A571)</f>
        <v>8</v>
      </c>
    </row>
    <row r="572" spans="1:13" x14ac:dyDescent="0.3">
      <c r="A572">
        <v>17058</v>
      </c>
      <c r="B572" t="s">
        <v>378</v>
      </c>
      <c r="C572" t="s">
        <v>418</v>
      </c>
      <c r="D572" t="s">
        <v>419</v>
      </c>
      <c r="E572">
        <v>54</v>
      </c>
      <c r="F572">
        <v>6.67</v>
      </c>
      <c r="G572">
        <v>80</v>
      </c>
      <c r="H572">
        <v>13.33</v>
      </c>
      <c r="I572">
        <v>0</v>
      </c>
      <c r="J572" s="1">
        <v>45927.788025879629</v>
      </c>
      <c r="K572" t="s">
        <v>436</v>
      </c>
      <c r="L572">
        <f t="shared" si="8"/>
        <v>571</v>
      </c>
      <c r="M572">
        <f>COUNTIF($A$2:A572,A572)</f>
        <v>9</v>
      </c>
    </row>
    <row r="573" spans="1:13" x14ac:dyDescent="0.3">
      <c r="A573">
        <v>17058</v>
      </c>
      <c r="B573" t="s">
        <v>378</v>
      </c>
      <c r="C573" t="s">
        <v>416</v>
      </c>
      <c r="D573" t="s">
        <v>417</v>
      </c>
      <c r="E573">
        <v>57</v>
      </c>
      <c r="F573">
        <v>6.67</v>
      </c>
      <c r="G573">
        <v>80</v>
      </c>
      <c r="H573">
        <v>13.33</v>
      </c>
      <c r="I573">
        <v>0</v>
      </c>
      <c r="J573" s="1">
        <v>45927.788067268521</v>
      </c>
      <c r="K573" t="s">
        <v>436</v>
      </c>
      <c r="L573">
        <f t="shared" si="8"/>
        <v>572</v>
      </c>
      <c r="M573">
        <f>COUNTIF($A$2:A573,A573)</f>
        <v>10</v>
      </c>
    </row>
    <row r="574" spans="1:13" x14ac:dyDescent="0.3">
      <c r="A574">
        <v>17058</v>
      </c>
      <c r="B574" t="s">
        <v>378</v>
      </c>
      <c r="C574" t="s">
        <v>415</v>
      </c>
      <c r="D574" t="s">
        <v>415</v>
      </c>
      <c r="E574">
        <v>53</v>
      </c>
      <c r="F574">
        <v>6.67</v>
      </c>
      <c r="G574">
        <v>83.33</v>
      </c>
      <c r="H574">
        <v>10</v>
      </c>
      <c r="I574">
        <v>0</v>
      </c>
      <c r="J574" s="1">
        <v>45927.788083043983</v>
      </c>
      <c r="K574" t="s">
        <v>436</v>
      </c>
      <c r="L574">
        <f t="shared" si="8"/>
        <v>573</v>
      </c>
      <c r="M574">
        <f>COUNTIF($A$2:A574,A574)</f>
        <v>11</v>
      </c>
    </row>
    <row r="575" spans="1:13" x14ac:dyDescent="0.3">
      <c r="A575">
        <v>17058</v>
      </c>
      <c r="B575" t="s">
        <v>378</v>
      </c>
      <c r="C575" t="s">
        <v>413</v>
      </c>
      <c r="D575" t="s">
        <v>414</v>
      </c>
      <c r="E575">
        <v>29</v>
      </c>
      <c r="F575">
        <v>73.33</v>
      </c>
      <c r="G575">
        <v>16.670000000000002</v>
      </c>
      <c r="H575">
        <v>10</v>
      </c>
      <c r="I575">
        <v>0</v>
      </c>
      <c r="J575" s="1">
        <v>45927.78809962963</v>
      </c>
      <c r="K575" t="s">
        <v>436</v>
      </c>
      <c r="L575">
        <f t="shared" si="8"/>
        <v>574</v>
      </c>
      <c r="M575">
        <f>COUNTIF($A$2:A575,A575)</f>
        <v>12</v>
      </c>
    </row>
    <row r="576" spans="1:13" x14ac:dyDescent="0.3">
      <c r="A576">
        <v>17058</v>
      </c>
      <c r="B576" t="s">
        <v>378</v>
      </c>
      <c r="C576" t="s">
        <v>411</v>
      </c>
      <c r="D576" t="s">
        <v>412</v>
      </c>
      <c r="E576">
        <v>29</v>
      </c>
      <c r="F576">
        <v>66.67</v>
      </c>
      <c r="G576">
        <v>23.33</v>
      </c>
      <c r="H576">
        <v>10</v>
      </c>
      <c r="I576">
        <v>0</v>
      </c>
      <c r="J576" s="1">
        <v>45927.788115648145</v>
      </c>
      <c r="K576" t="s">
        <v>436</v>
      </c>
      <c r="L576">
        <f t="shared" si="8"/>
        <v>575</v>
      </c>
      <c r="M576">
        <f>COUNTIF($A$2:A576,A576)</f>
        <v>13</v>
      </c>
    </row>
    <row r="577" spans="1:13" x14ac:dyDescent="0.3">
      <c r="A577">
        <v>17058</v>
      </c>
      <c r="B577" t="s">
        <v>378</v>
      </c>
      <c r="C577" t="s">
        <v>409</v>
      </c>
      <c r="D577" t="s">
        <v>410</v>
      </c>
      <c r="E577">
        <v>24</v>
      </c>
      <c r="F577">
        <v>70</v>
      </c>
      <c r="G577">
        <v>23.33</v>
      </c>
      <c r="H577">
        <v>6.67</v>
      </c>
      <c r="I577">
        <v>0</v>
      </c>
      <c r="J577" s="1">
        <v>45927.788159004631</v>
      </c>
      <c r="K577" t="s">
        <v>436</v>
      </c>
      <c r="L577">
        <f t="shared" si="8"/>
        <v>576</v>
      </c>
      <c r="M577">
        <f>COUNTIF($A$2:A577,A577)</f>
        <v>14</v>
      </c>
    </row>
    <row r="578" spans="1:13" x14ac:dyDescent="0.3">
      <c r="A578">
        <v>17058</v>
      </c>
      <c r="B578" t="s">
        <v>378</v>
      </c>
      <c r="C578" t="s">
        <v>407</v>
      </c>
      <c r="D578" t="s">
        <v>408</v>
      </c>
      <c r="E578">
        <v>30</v>
      </c>
      <c r="F578">
        <v>80</v>
      </c>
      <c r="G578">
        <v>10</v>
      </c>
      <c r="H578">
        <v>10</v>
      </c>
      <c r="I578">
        <v>0</v>
      </c>
      <c r="J578" s="1">
        <v>45927.788176793983</v>
      </c>
      <c r="K578" t="s">
        <v>436</v>
      </c>
      <c r="L578">
        <f t="shared" ref="L578:L641" si="9">ROW()-1</f>
        <v>577</v>
      </c>
      <c r="M578">
        <f>COUNTIF($A$2:A578,A578)</f>
        <v>15</v>
      </c>
    </row>
    <row r="579" spans="1:13" x14ac:dyDescent="0.3">
      <c r="A579">
        <v>17058</v>
      </c>
      <c r="B579" t="s">
        <v>378</v>
      </c>
      <c r="C579" t="s">
        <v>405</v>
      </c>
      <c r="D579" t="s">
        <v>406</v>
      </c>
      <c r="E579">
        <v>36</v>
      </c>
      <c r="F579">
        <v>70</v>
      </c>
      <c r="G579">
        <v>20</v>
      </c>
      <c r="H579">
        <v>10</v>
      </c>
      <c r="I579">
        <v>0</v>
      </c>
      <c r="J579" s="1">
        <v>45927.788195520836</v>
      </c>
      <c r="K579" t="s">
        <v>436</v>
      </c>
      <c r="L579">
        <f t="shared" si="9"/>
        <v>578</v>
      </c>
      <c r="M579">
        <f>COUNTIF($A$2:A579,A579)</f>
        <v>16</v>
      </c>
    </row>
    <row r="580" spans="1:13" x14ac:dyDescent="0.3">
      <c r="A580">
        <v>17058</v>
      </c>
      <c r="B580" t="s">
        <v>378</v>
      </c>
      <c r="C580" t="s">
        <v>404</v>
      </c>
      <c r="D580" t="s">
        <v>404</v>
      </c>
      <c r="E580">
        <v>35</v>
      </c>
      <c r="F580">
        <v>60</v>
      </c>
      <c r="G580">
        <v>30</v>
      </c>
      <c r="H580">
        <v>10</v>
      </c>
      <c r="I580">
        <v>0</v>
      </c>
      <c r="J580" s="1">
        <v>45927.788214594904</v>
      </c>
      <c r="K580" t="s">
        <v>436</v>
      </c>
      <c r="L580">
        <f t="shared" si="9"/>
        <v>579</v>
      </c>
      <c r="M580">
        <f>COUNTIF($A$2:A580,A580)</f>
        <v>17</v>
      </c>
    </row>
    <row r="581" spans="1:13" x14ac:dyDescent="0.3">
      <c r="A581">
        <v>17058</v>
      </c>
      <c r="B581" t="s">
        <v>378</v>
      </c>
      <c r="C581" t="s">
        <v>402</v>
      </c>
      <c r="D581" t="s">
        <v>403</v>
      </c>
      <c r="E581">
        <v>46</v>
      </c>
      <c r="F581">
        <v>33.33</v>
      </c>
      <c r="G581">
        <v>56.67</v>
      </c>
      <c r="H581">
        <v>10</v>
      </c>
      <c r="I581">
        <v>0</v>
      </c>
      <c r="J581" s="1">
        <v>45927.788231319442</v>
      </c>
      <c r="K581" t="s">
        <v>436</v>
      </c>
      <c r="L581">
        <f t="shared" si="9"/>
        <v>580</v>
      </c>
      <c r="M581">
        <f>COUNTIF($A$2:A581,A581)</f>
        <v>18</v>
      </c>
    </row>
    <row r="582" spans="1:13" x14ac:dyDescent="0.3">
      <c r="A582">
        <v>17058</v>
      </c>
      <c r="B582" t="s">
        <v>378</v>
      </c>
      <c r="C582" t="s">
        <v>400</v>
      </c>
      <c r="D582" t="s">
        <v>401</v>
      </c>
      <c r="E582">
        <v>49</v>
      </c>
      <c r="F582">
        <v>20</v>
      </c>
      <c r="G582">
        <v>70</v>
      </c>
      <c r="H582">
        <v>10</v>
      </c>
      <c r="I582">
        <v>0</v>
      </c>
      <c r="J582" s="1">
        <v>45927.788251574071</v>
      </c>
      <c r="K582" t="s">
        <v>436</v>
      </c>
      <c r="L582">
        <f t="shared" si="9"/>
        <v>581</v>
      </c>
      <c r="M582">
        <f>COUNTIF($A$2:A582,A582)</f>
        <v>19</v>
      </c>
    </row>
    <row r="583" spans="1:13" x14ac:dyDescent="0.3">
      <c r="A583">
        <v>17058</v>
      </c>
      <c r="B583" t="s">
        <v>378</v>
      </c>
      <c r="C583" t="s">
        <v>398</v>
      </c>
      <c r="D583" t="s">
        <v>399</v>
      </c>
      <c r="E583">
        <v>43</v>
      </c>
      <c r="F583">
        <v>50</v>
      </c>
      <c r="G583">
        <v>40</v>
      </c>
      <c r="H583">
        <v>10</v>
      </c>
      <c r="I583">
        <v>0</v>
      </c>
      <c r="J583" s="1">
        <v>45927.788269722223</v>
      </c>
      <c r="K583" t="s">
        <v>436</v>
      </c>
      <c r="L583">
        <f t="shared" si="9"/>
        <v>582</v>
      </c>
      <c r="M583">
        <f>COUNTIF($A$2:A583,A583)</f>
        <v>20</v>
      </c>
    </row>
    <row r="584" spans="1:13" x14ac:dyDescent="0.3">
      <c r="A584">
        <v>17058</v>
      </c>
      <c r="B584" t="s">
        <v>378</v>
      </c>
      <c r="C584" t="s">
        <v>396</v>
      </c>
      <c r="D584" t="s">
        <v>397</v>
      </c>
      <c r="E584">
        <v>41</v>
      </c>
      <c r="F584">
        <v>53.33</v>
      </c>
      <c r="G584">
        <v>36.67</v>
      </c>
      <c r="H584">
        <v>10</v>
      </c>
      <c r="I584">
        <v>0</v>
      </c>
      <c r="J584" s="1">
        <v>45927.788287013886</v>
      </c>
      <c r="K584" t="s">
        <v>436</v>
      </c>
      <c r="L584">
        <f t="shared" si="9"/>
        <v>583</v>
      </c>
      <c r="M584">
        <f>COUNTIF($A$2:A584,A584)</f>
        <v>21</v>
      </c>
    </row>
    <row r="585" spans="1:13" x14ac:dyDescent="0.3">
      <c r="A585">
        <v>17058</v>
      </c>
      <c r="B585" t="s">
        <v>378</v>
      </c>
      <c r="C585" t="s">
        <v>394</v>
      </c>
      <c r="D585" t="s">
        <v>395</v>
      </c>
      <c r="E585">
        <v>53</v>
      </c>
      <c r="F585">
        <v>53.33</v>
      </c>
      <c r="G585">
        <v>33.33</v>
      </c>
      <c r="H585">
        <v>13.33</v>
      </c>
      <c r="I585">
        <v>0.01</v>
      </c>
      <c r="J585" s="1">
        <v>45927.788307499999</v>
      </c>
      <c r="K585" t="s">
        <v>436</v>
      </c>
      <c r="L585">
        <f t="shared" si="9"/>
        <v>584</v>
      </c>
      <c r="M585">
        <f>COUNTIF($A$2:A585,A585)</f>
        <v>22</v>
      </c>
    </row>
    <row r="586" spans="1:13" x14ac:dyDescent="0.3">
      <c r="A586">
        <v>17058</v>
      </c>
      <c r="B586" t="s">
        <v>378</v>
      </c>
      <c r="C586" t="s">
        <v>392</v>
      </c>
      <c r="D586" t="s">
        <v>393</v>
      </c>
      <c r="E586">
        <v>62</v>
      </c>
      <c r="F586">
        <v>16.670000000000002</v>
      </c>
      <c r="G586">
        <v>70</v>
      </c>
      <c r="H586">
        <v>13.33</v>
      </c>
      <c r="I586">
        <v>0</v>
      </c>
      <c r="J586" s="1">
        <v>45927.788352233794</v>
      </c>
      <c r="K586" t="s">
        <v>436</v>
      </c>
      <c r="L586">
        <f t="shared" si="9"/>
        <v>585</v>
      </c>
      <c r="M586">
        <f>COUNTIF($A$2:A586,A586)</f>
        <v>23</v>
      </c>
    </row>
    <row r="587" spans="1:13" x14ac:dyDescent="0.3">
      <c r="A587">
        <v>17058</v>
      </c>
      <c r="B587" t="s">
        <v>378</v>
      </c>
      <c r="C587" t="s">
        <v>390</v>
      </c>
      <c r="D587" t="s">
        <v>391</v>
      </c>
      <c r="E587">
        <v>39</v>
      </c>
      <c r="F587">
        <v>83.33</v>
      </c>
      <c r="G587">
        <v>3.33</v>
      </c>
      <c r="H587">
        <v>13.33</v>
      </c>
      <c r="I587">
        <v>0.01</v>
      </c>
      <c r="J587" s="1">
        <v>45927.788369097223</v>
      </c>
      <c r="K587" t="s">
        <v>436</v>
      </c>
      <c r="L587">
        <f t="shared" si="9"/>
        <v>586</v>
      </c>
      <c r="M587">
        <f>COUNTIF($A$2:A587,A587)</f>
        <v>24</v>
      </c>
    </row>
    <row r="588" spans="1:13" x14ac:dyDescent="0.3">
      <c r="A588">
        <v>17058</v>
      </c>
      <c r="B588" t="s">
        <v>378</v>
      </c>
      <c r="C588" t="s">
        <v>386</v>
      </c>
      <c r="D588" t="s">
        <v>387</v>
      </c>
      <c r="E588">
        <v>53</v>
      </c>
      <c r="F588">
        <v>46.67</v>
      </c>
      <c r="G588">
        <v>40</v>
      </c>
      <c r="H588">
        <v>13.33</v>
      </c>
      <c r="I588">
        <v>0</v>
      </c>
      <c r="J588" s="1">
        <v>45927.788410347224</v>
      </c>
      <c r="K588" t="s">
        <v>436</v>
      </c>
      <c r="L588">
        <f t="shared" si="9"/>
        <v>587</v>
      </c>
      <c r="M588">
        <f>COUNTIF($A$2:A588,A588)</f>
        <v>25</v>
      </c>
    </row>
    <row r="589" spans="1:13" x14ac:dyDescent="0.3">
      <c r="A589">
        <v>17058</v>
      </c>
      <c r="B589" t="s">
        <v>378</v>
      </c>
      <c r="C589" t="s">
        <v>384</v>
      </c>
      <c r="D589" t="s">
        <v>385</v>
      </c>
      <c r="E589">
        <v>62</v>
      </c>
      <c r="F589">
        <v>10</v>
      </c>
      <c r="G589">
        <v>76.67</v>
      </c>
      <c r="H589">
        <v>13.33</v>
      </c>
      <c r="I589">
        <v>0</v>
      </c>
      <c r="J589" s="1">
        <v>45927.78845482639</v>
      </c>
      <c r="K589" t="s">
        <v>436</v>
      </c>
      <c r="L589">
        <f t="shared" si="9"/>
        <v>588</v>
      </c>
      <c r="M589">
        <f>COUNTIF($A$2:A589,A589)</f>
        <v>26</v>
      </c>
    </row>
    <row r="590" spans="1:13" x14ac:dyDescent="0.3">
      <c r="A590">
        <v>17058</v>
      </c>
      <c r="B590" t="s">
        <v>378</v>
      </c>
      <c r="C590" t="s">
        <v>382</v>
      </c>
      <c r="D590" t="s">
        <v>383</v>
      </c>
      <c r="E590">
        <v>61</v>
      </c>
      <c r="F590">
        <v>20</v>
      </c>
      <c r="G590">
        <v>66.67</v>
      </c>
      <c r="H590">
        <v>13.33</v>
      </c>
      <c r="I590">
        <v>0</v>
      </c>
      <c r="J590" s="1">
        <v>45927.788500636576</v>
      </c>
      <c r="K590" t="s">
        <v>436</v>
      </c>
      <c r="L590">
        <f t="shared" si="9"/>
        <v>589</v>
      </c>
      <c r="M590">
        <f>COUNTIF($A$2:A590,A590)</f>
        <v>27</v>
      </c>
    </row>
    <row r="591" spans="1:13" x14ac:dyDescent="0.3">
      <c r="A591">
        <v>17058</v>
      </c>
      <c r="B591" t="s">
        <v>378</v>
      </c>
      <c r="C591" t="s">
        <v>379</v>
      </c>
      <c r="D591" t="s">
        <v>380</v>
      </c>
      <c r="E591">
        <v>39</v>
      </c>
      <c r="F591">
        <v>83.33</v>
      </c>
      <c r="G591">
        <v>3.33</v>
      </c>
      <c r="H591">
        <v>13.33</v>
      </c>
      <c r="I591">
        <v>0.01</v>
      </c>
      <c r="J591" s="1">
        <v>45927.788518414352</v>
      </c>
      <c r="K591" t="s">
        <v>436</v>
      </c>
      <c r="L591">
        <f t="shared" si="9"/>
        <v>590</v>
      </c>
      <c r="M591">
        <f>COUNTIF($A$2:A591,A591)</f>
        <v>28</v>
      </c>
    </row>
    <row r="592" spans="1:13" x14ac:dyDescent="0.3">
      <c r="A592">
        <v>22651</v>
      </c>
      <c r="B592" t="s">
        <v>437</v>
      </c>
      <c r="C592" t="s">
        <v>12</v>
      </c>
      <c r="D592" t="s">
        <v>13</v>
      </c>
      <c r="E592">
        <v>3</v>
      </c>
      <c r="F592">
        <v>96.67</v>
      </c>
      <c r="G592">
        <v>3.33</v>
      </c>
      <c r="H592">
        <v>0</v>
      </c>
      <c r="I592">
        <v>0</v>
      </c>
      <c r="J592" s="1">
        <v>45927.788581851855</v>
      </c>
      <c r="K592" t="s">
        <v>438</v>
      </c>
      <c r="L592">
        <f t="shared" si="9"/>
        <v>591</v>
      </c>
      <c r="M592">
        <f>COUNTIF($A$2:A592,A592)</f>
        <v>1</v>
      </c>
    </row>
    <row r="593" spans="1:13" x14ac:dyDescent="0.3">
      <c r="A593">
        <v>22651</v>
      </c>
      <c r="B593" t="s">
        <v>437</v>
      </c>
      <c r="C593" t="s">
        <v>439</v>
      </c>
      <c r="D593" t="s">
        <v>440</v>
      </c>
      <c r="E593">
        <v>8</v>
      </c>
      <c r="F593">
        <v>90</v>
      </c>
      <c r="G593">
        <v>10</v>
      </c>
      <c r="H593">
        <v>0</v>
      </c>
      <c r="I593">
        <v>0</v>
      </c>
      <c r="J593" s="1">
        <v>45927.788602222223</v>
      </c>
      <c r="K593" t="s">
        <v>438</v>
      </c>
      <c r="L593">
        <f t="shared" si="9"/>
        <v>592</v>
      </c>
      <c r="M593">
        <f>COUNTIF($A$2:A593,A593)</f>
        <v>2</v>
      </c>
    </row>
    <row r="594" spans="1:13" x14ac:dyDescent="0.3">
      <c r="A594">
        <v>22651</v>
      </c>
      <c r="B594" t="s">
        <v>437</v>
      </c>
      <c r="C594" t="s">
        <v>17</v>
      </c>
      <c r="D594" t="s">
        <v>18</v>
      </c>
      <c r="E594">
        <v>15</v>
      </c>
      <c r="F594">
        <v>66.67</v>
      </c>
      <c r="G594">
        <v>33.33</v>
      </c>
      <c r="H594">
        <v>0</v>
      </c>
      <c r="I594">
        <v>0</v>
      </c>
      <c r="J594" s="1">
        <v>45927.788622349537</v>
      </c>
      <c r="K594" t="s">
        <v>438</v>
      </c>
      <c r="L594">
        <f t="shared" si="9"/>
        <v>593</v>
      </c>
      <c r="M594">
        <f>COUNTIF($A$2:A594,A594)</f>
        <v>3</v>
      </c>
    </row>
    <row r="595" spans="1:13" x14ac:dyDescent="0.3">
      <c r="A595">
        <v>22651</v>
      </c>
      <c r="B595" t="s">
        <v>437</v>
      </c>
      <c r="C595" t="s">
        <v>19</v>
      </c>
      <c r="D595" t="s">
        <v>20</v>
      </c>
      <c r="E595">
        <v>18</v>
      </c>
      <c r="F595">
        <v>50</v>
      </c>
      <c r="G595">
        <v>50</v>
      </c>
      <c r="H595">
        <v>0</v>
      </c>
      <c r="I595">
        <v>0</v>
      </c>
      <c r="J595" s="1">
        <v>45927.78863949074</v>
      </c>
      <c r="K595" t="s">
        <v>438</v>
      </c>
      <c r="L595">
        <f t="shared" si="9"/>
        <v>594</v>
      </c>
      <c r="M595">
        <f>COUNTIF($A$2:A595,A595)</f>
        <v>4</v>
      </c>
    </row>
    <row r="596" spans="1:13" x14ac:dyDescent="0.3">
      <c r="A596">
        <v>22651</v>
      </c>
      <c r="B596" t="s">
        <v>437</v>
      </c>
      <c r="C596" t="s">
        <v>441</v>
      </c>
      <c r="D596" t="s">
        <v>442</v>
      </c>
      <c r="E596">
        <v>24</v>
      </c>
      <c r="F596">
        <v>16.670000000000002</v>
      </c>
      <c r="G596">
        <v>83.33</v>
      </c>
      <c r="H596">
        <v>0</v>
      </c>
      <c r="I596">
        <v>0</v>
      </c>
      <c r="J596" s="1">
        <v>45927.788659687503</v>
      </c>
      <c r="K596" t="s">
        <v>438</v>
      </c>
      <c r="L596">
        <f t="shared" si="9"/>
        <v>595</v>
      </c>
      <c r="M596">
        <f>COUNTIF($A$2:A596,A596)</f>
        <v>5</v>
      </c>
    </row>
    <row r="597" spans="1:13" x14ac:dyDescent="0.3">
      <c r="A597">
        <v>22651</v>
      </c>
      <c r="B597" t="s">
        <v>437</v>
      </c>
      <c r="C597" t="s">
        <v>21</v>
      </c>
      <c r="D597" t="s">
        <v>22</v>
      </c>
      <c r="E597">
        <v>12</v>
      </c>
      <c r="F597">
        <v>73.33</v>
      </c>
      <c r="G597">
        <v>26.67</v>
      </c>
      <c r="H597">
        <v>0</v>
      </c>
      <c r="I597">
        <v>0</v>
      </c>
      <c r="J597" s="1">
        <v>45927.788678993056</v>
      </c>
      <c r="K597" t="s">
        <v>438</v>
      </c>
      <c r="L597">
        <f t="shared" si="9"/>
        <v>596</v>
      </c>
      <c r="M597">
        <f>COUNTIF($A$2:A597,A597)</f>
        <v>6</v>
      </c>
    </row>
    <row r="598" spans="1:13" x14ac:dyDescent="0.3">
      <c r="A598">
        <v>22651</v>
      </c>
      <c r="B598" t="s">
        <v>437</v>
      </c>
      <c r="C598" t="s">
        <v>443</v>
      </c>
      <c r="D598" t="s">
        <v>444</v>
      </c>
      <c r="E598">
        <v>17</v>
      </c>
      <c r="F598">
        <v>53.33</v>
      </c>
      <c r="G598">
        <v>46.67</v>
      </c>
      <c r="H598">
        <v>0</v>
      </c>
      <c r="I598">
        <v>0</v>
      </c>
      <c r="J598" s="1">
        <v>45927.788694143521</v>
      </c>
      <c r="K598" t="s">
        <v>438</v>
      </c>
      <c r="L598">
        <f t="shared" si="9"/>
        <v>597</v>
      </c>
      <c r="M598">
        <f>COUNTIF($A$2:A598,A598)</f>
        <v>7</v>
      </c>
    </row>
    <row r="599" spans="1:13" x14ac:dyDescent="0.3">
      <c r="A599">
        <v>22651</v>
      </c>
      <c r="B599" t="s">
        <v>437</v>
      </c>
      <c r="C599" t="s">
        <v>23</v>
      </c>
      <c r="D599" t="s">
        <v>24</v>
      </c>
      <c r="E599">
        <v>14</v>
      </c>
      <c r="F599">
        <v>66.67</v>
      </c>
      <c r="G599">
        <v>33.33</v>
      </c>
      <c r="H599">
        <v>0</v>
      </c>
      <c r="I599">
        <v>0</v>
      </c>
      <c r="J599" s="1">
        <v>45927.788709953704</v>
      </c>
      <c r="K599" t="s">
        <v>438</v>
      </c>
      <c r="L599">
        <f t="shared" si="9"/>
        <v>598</v>
      </c>
      <c r="M599">
        <f>COUNTIF($A$2:A599,A599)</f>
        <v>8</v>
      </c>
    </row>
    <row r="600" spans="1:13" x14ac:dyDescent="0.3">
      <c r="A600">
        <v>22651</v>
      </c>
      <c r="B600" t="s">
        <v>437</v>
      </c>
      <c r="C600" t="s">
        <v>445</v>
      </c>
      <c r="D600" t="s">
        <v>446</v>
      </c>
      <c r="E600">
        <v>14</v>
      </c>
      <c r="F600">
        <v>70</v>
      </c>
      <c r="G600">
        <v>30</v>
      </c>
      <c r="H600">
        <v>0</v>
      </c>
      <c r="I600">
        <v>0</v>
      </c>
      <c r="J600" s="1">
        <v>45927.788730405089</v>
      </c>
      <c r="K600" t="s">
        <v>438</v>
      </c>
      <c r="L600">
        <f t="shared" si="9"/>
        <v>599</v>
      </c>
      <c r="M600">
        <f>COUNTIF($A$2:A600,A600)</f>
        <v>9</v>
      </c>
    </row>
    <row r="601" spans="1:13" x14ac:dyDescent="0.3">
      <c r="A601">
        <v>22651</v>
      </c>
      <c r="B601" t="s">
        <v>437</v>
      </c>
      <c r="C601" t="s">
        <v>447</v>
      </c>
      <c r="D601" t="s">
        <v>448</v>
      </c>
      <c r="E601">
        <v>13</v>
      </c>
      <c r="F601">
        <v>66.67</v>
      </c>
      <c r="G601">
        <v>33.33</v>
      </c>
      <c r="H601">
        <v>0</v>
      </c>
      <c r="I601">
        <v>0</v>
      </c>
      <c r="J601" s="1">
        <v>45927.788748877312</v>
      </c>
      <c r="K601" t="s">
        <v>438</v>
      </c>
      <c r="L601">
        <f t="shared" si="9"/>
        <v>600</v>
      </c>
      <c r="M601">
        <f>COUNTIF($A$2:A601,A601)</f>
        <v>10</v>
      </c>
    </row>
    <row r="602" spans="1:13" x14ac:dyDescent="0.3">
      <c r="A602">
        <v>22651</v>
      </c>
      <c r="B602" t="s">
        <v>437</v>
      </c>
      <c r="C602" t="s">
        <v>449</v>
      </c>
      <c r="D602" t="s">
        <v>450</v>
      </c>
      <c r="E602">
        <v>13</v>
      </c>
      <c r="F602">
        <v>66.67</v>
      </c>
      <c r="G602">
        <v>33.33</v>
      </c>
      <c r="H602">
        <v>0</v>
      </c>
      <c r="I602">
        <v>0</v>
      </c>
      <c r="J602" s="1">
        <v>45927.788764490739</v>
      </c>
      <c r="K602" t="s">
        <v>438</v>
      </c>
      <c r="L602">
        <f t="shared" si="9"/>
        <v>601</v>
      </c>
      <c r="M602">
        <f>COUNTIF($A$2:A602,A602)</f>
        <v>11</v>
      </c>
    </row>
    <row r="603" spans="1:13" x14ac:dyDescent="0.3">
      <c r="A603">
        <v>22651</v>
      </c>
      <c r="B603" t="s">
        <v>437</v>
      </c>
      <c r="C603" t="s">
        <v>451</v>
      </c>
      <c r="D603" t="s">
        <v>452</v>
      </c>
      <c r="E603">
        <v>11</v>
      </c>
      <c r="F603">
        <v>80</v>
      </c>
      <c r="G603">
        <v>20</v>
      </c>
      <c r="H603">
        <v>0</v>
      </c>
      <c r="I603">
        <v>0</v>
      </c>
      <c r="J603" s="1">
        <v>45927.788781504627</v>
      </c>
      <c r="K603" t="s">
        <v>438</v>
      </c>
      <c r="L603">
        <f t="shared" si="9"/>
        <v>602</v>
      </c>
      <c r="M603">
        <f>COUNTIF($A$2:A603,A603)</f>
        <v>12</v>
      </c>
    </row>
    <row r="604" spans="1:13" x14ac:dyDescent="0.3">
      <c r="A604">
        <v>22651</v>
      </c>
      <c r="B604" t="s">
        <v>437</v>
      </c>
      <c r="C604" t="s">
        <v>57</v>
      </c>
      <c r="D604" t="s">
        <v>58</v>
      </c>
      <c r="E604">
        <v>17</v>
      </c>
      <c r="F604">
        <v>46.67</v>
      </c>
      <c r="G604">
        <v>53.33</v>
      </c>
      <c r="H604">
        <v>0</v>
      </c>
      <c r="I604">
        <v>0</v>
      </c>
      <c r="J604" s="1">
        <v>45927.788796840279</v>
      </c>
      <c r="K604" t="s">
        <v>438</v>
      </c>
      <c r="L604">
        <f t="shared" si="9"/>
        <v>603</v>
      </c>
      <c r="M604">
        <f>COUNTIF($A$2:A604,A604)</f>
        <v>13</v>
      </c>
    </row>
    <row r="605" spans="1:13" x14ac:dyDescent="0.3">
      <c r="A605">
        <v>22651</v>
      </c>
      <c r="B605" t="s">
        <v>437</v>
      </c>
      <c r="C605" t="s">
        <v>453</v>
      </c>
      <c r="D605" t="s">
        <v>454</v>
      </c>
      <c r="E605">
        <v>14</v>
      </c>
      <c r="F605">
        <v>63.33</v>
      </c>
      <c r="G605">
        <v>36.67</v>
      </c>
      <c r="H605">
        <v>0</v>
      </c>
      <c r="I605">
        <v>0</v>
      </c>
      <c r="J605" s="1">
        <v>45927.788816400462</v>
      </c>
      <c r="K605" t="s">
        <v>438</v>
      </c>
      <c r="L605">
        <f t="shared" si="9"/>
        <v>604</v>
      </c>
      <c r="M605">
        <f>COUNTIF($A$2:A605,A605)</f>
        <v>14</v>
      </c>
    </row>
    <row r="606" spans="1:13" x14ac:dyDescent="0.3">
      <c r="A606">
        <v>22651</v>
      </c>
      <c r="B606" t="s">
        <v>437</v>
      </c>
      <c r="C606" t="s">
        <v>455</v>
      </c>
      <c r="D606" t="s">
        <v>456</v>
      </c>
      <c r="F606">
        <v>53.33</v>
      </c>
      <c r="G606">
        <v>46.67</v>
      </c>
      <c r="H606">
        <v>0</v>
      </c>
      <c r="I606">
        <v>0</v>
      </c>
      <c r="J606" s="1">
        <v>45927.788840208334</v>
      </c>
      <c r="K606" t="s">
        <v>438</v>
      </c>
      <c r="L606">
        <f t="shared" si="9"/>
        <v>605</v>
      </c>
      <c r="M606">
        <f>COUNTIF($A$2:A606,A606)</f>
        <v>15</v>
      </c>
    </row>
    <row r="607" spans="1:13" x14ac:dyDescent="0.3">
      <c r="A607">
        <v>22651</v>
      </c>
      <c r="B607" t="s">
        <v>437</v>
      </c>
      <c r="C607" t="s">
        <v>457</v>
      </c>
      <c r="D607" t="s">
        <v>458</v>
      </c>
      <c r="E607">
        <v>13</v>
      </c>
      <c r="F607">
        <v>60</v>
      </c>
      <c r="G607">
        <v>40</v>
      </c>
      <c r="H607">
        <v>0</v>
      </c>
      <c r="I607">
        <v>0</v>
      </c>
      <c r="J607" s="1">
        <v>45927.788856805557</v>
      </c>
      <c r="K607" t="s">
        <v>438</v>
      </c>
      <c r="L607">
        <f t="shared" si="9"/>
        <v>606</v>
      </c>
      <c r="M607">
        <f>COUNTIF($A$2:A607,A607)</f>
        <v>16</v>
      </c>
    </row>
    <row r="608" spans="1:13" x14ac:dyDescent="0.3">
      <c r="A608">
        <v>22651</v>
      </c>
      <c r="B608" t="s">
        <v>437</v>
      </c>
      <c r="C608" t="s">
        <v>459</v>
      </c>
      <c r="D608" t="s">
        <v>460</v>
      </c>
      <c r="E608">
        <v>8</v>
      </c>
      <c r="F608">
        <v>80</v>
      </c>
      <c r="G608">
        <v>20</v>
      </c>
      <c r="H608">
        <v>0</v>
      </c>
      <c r="I608">
        <v>0</v>
      </c>
      <c r="J608" s="1">
        <v>45927.788873287034</v>
      </c>
      <c r="K608" t="s">
        <v>438</v>
      </c>
      <c r="L608">
        <f t="shared" si="9"/>
        <v>607</v>
      </c>
      <c r="M608">
        <f>COUNTIF($A$2:A608,A608)</f>
        <v>17</v>
      </c>
    </row>
    <row r="609" spans="1:13" x14ac:dyDescent="0.3">
      <c r="A609">
        <v>22651</v>
      </c>
      <c r="B609" t="s">
        <v>437</v>
      </c>
      <c r="C609" t="s">
        <v>461</v>
      </c>
      <c r="D609" t="s">
        <v>462</v>
      </c>
      <c r="E609">
        <v>1</v>
      </c>
      <c r="F609">
        <v>100</v>
      </c>
      <c r="G609">
        <v>0</v>
      </c>
      <c r="H609">
        <v>0</v>
      </c>
      <c r="I609">
        <v>0</v>
      </c>
      <c r="J609" s="1">
        <v>45927.788889988427</v>
      </c>
      <c r="K609" t="s">
        <v>438</v>
      </c>
      <c r="L609">
        <f t="shared" si="9"/>
        <v>608</v>
      </c>
      <c r="M609">
        <f>COUNTIF($A$2:A609,A609)</f>
        <v>18</v>
      </c>
    </row>
    <row r="610" spans="1:13" x14ac:dyDescent="0.3">
      <c r="A610">
        <v>22651</v>
      </c>
      <c r="B610" t="s">
        <v>437</v>
      </c>
      <c r="C610" t="s">
        <v>269</v>
      </c>
      <c r="D610" t="s">
        <v>270</v>
      </c>
      <c r="F610">
        <v>100</v>
      </c>
      <c r="G610">
        <v>0</v>
      </c>
      <c r="H610">
        <v>0</v>
      </c>
      <c r="I610">
        <v>0</v>
      </c>
      <c r="J610" s="1">
        <v>45927.788906932874</v>
      </c>
      <c r="K610" t="s">
        <v>438</v>
      </c>
      <c r="L610">
        <f t="shared" si="9"/>
        <v>609</v>
      </c>
      <c r="M610">
        <f>COUNTIF($A$2:A610,A610)</f>
        <v>19</v>
      </c>
    </row>
    <row r="611" spans="1:13" x14ac:dyDescent="0.3">
      <c r="A611">
        <v>22652</v>
      </c>
      <c r="B611" t="s">
        <v>437</v>
      </c>
      <c r="C611" t="s">
        <v>269</v>
      </c>
      <c r="D611" t="s">
        <v>270</v>
      </c>
      <c r="E611">
        <v>1</v>
      </c>
      <c r="F611">
        <v>100</v>
      </c>
      <c r="G611">
        <v>0</v>
      </c>
      <c r="H611">
        <v>0</v>
      </c>
      <c r="I611">
        <v>0</v>
      </c>
      <c r="J611" s="1">
        <v>45927.788942245374</v>
      </c>
      <c r="K611" t="s">
        <v>463</v>
      </c>
      <c r="L611">
        <f t="shared" si="9"/>
        <v>610</v>
      </c>
      <c r="M611">
        <f>COUNTIF($A$2:A611,A611)</f>
        <v>1</v>
      </c>
    </row>
    <row r="612" spans="1:13" x14ac:dyDescent="0.3">
      <c r="A612">
        <v>22652</v>
      </c>
      <c r="B612" t="s">
        <v>437</v>
      </c>
      <c r="C612" t="s">
        <v>461</v>
      </c>
      <c r="D612" t="s">
        <v>462</v>
      </c>
      <c r="E612">
        <v>3</v>
      </c>
      <c r="F612">
        <v>100</v>
      </c>
      <c r="G612">
        <v>0</v>
      </c>
      <c r="H612">
        <v>0</v>
      </c>
      <c r="I612">
        <v>0</v>
      </c>
      <c r="J612" s="1">
        <v>45927.788962210645</v>
      </c>
      <c r="K612" t="s">
        <v>463</v>
      </c>
      <c r="L612">
        <f t="shared" si="9"/>
        <v>611</v>
      </c>
      <c r="M612">
        <f>COUNTIF($A$2:A612,A612)</f>
        <v>2</v>
      </c>
    </row>
    <row r="613" spans="1:13" x14ac:dyDescent="0.3">
      <c r="A613">
        <v>22652</v>
      </c>
      <c r="B613" t="s">
        <v>437</v>
      </c>
      <c r="C613" t="s">
        <v>459</v>
      </c>
      <c r="D613" t="s">
        <v>460</v>
      </c>
      <c r="E613">
        <v>1</v>
      </c>
      <c r="F613">
        <v>100</v>
      </c>
      <c r="G613">
        <v>0</v>
      </c>
      <c r="H613">
        <v>0</v>
      </c>
      <c r="I613">
        <v>0</v>
      </c>
      <c r="J613" s="1">
        <v>45927.788982569444</v>
      </c>
      <c r="K613" t="s">
        <v>463</v>
      </c>
      <c r="L613">
        <f t="shared" si="9"/>
        <v>612</v>
      </c>
      <c r="M613">
        <f>COUNTIF($A$2:A613,A613)</f>
        <v>3</v>
      </c>
    </row>
    <row r="614" spans="1:13" x14ac:dyDescent="0.3">
      <c r="A614">
        <v>22652</v>
      </c>
      <c r="B614" t="s">
        <v>437</v>
      </c>
      <c r="C614" t="s">
        <v>457</v>
      </c>
      <c r="D614" t="s">
        <v>458</v>
      </c>
      <c r="E614">
        <v>2</v>
      </c>
      <c r="F614">
        <v>100</v>
      </c>
      <c r="G614">
        <v>0</v>
      </c>
      <c r="H614">
        <v>0</v>
      </c>
      <c r="I614">
        <v>0</v>
      </c>
      <c r="J614" s="1">
        <v>45927.788997858799</v>
      </c>
      <c r="K614" t="s">
        <v>463</v>
      </c>
      <c r="L614">
        <f t="shared" si="9"/>
        <v>613</v>
      </c>
      <c r="M614">
        <f>COUNTIF($A$2:A614,A614)</f>
        <v>4</v>
      </c>
    </row>
    <row r="615" spans="1:13" x14ac:dyDescent="0.3">
      <c r="A615">
        <v>22652</v>
      </c>
      <c r="B615" t="s">
        <v>437</v>
      </c>
      <c r="C615" t="s">
        <v>455</v>
      </c>
      <c r="D615" t="s">
        <v>456</v>
      </c>
      <c r="E615">
        <v>7</v>
      </c>
      <c r="F615">
        <v>96.67</v>
      </c>
      <c r="G615">
        <v>3.33</v>
      </c>
      <c r="H615">
        <v>0</v>
      </c>
      <c r="I615">
        <v>0</v>
      </c>
      <c r="J615" s="1">
        <v>45927.789039444448</v>
      </c>
      <c r="K615" t="s">
        <v>463</v>
      </c>
      <c r="L615">
        <f t="shared" si="9"/>
        <v>614</v>
      </c>
      <c r="M615">
        <f>COUNTIF($A$2:A615,A615)</f>
        <v>5</v>
      </c>
    </row>
    <row r="616" spans="1:13" x14ac:dyDescent="0.3">
      <c r="A616">
        <v>22652</v>
      </c>
      <c r="B616" t="s">
        <v>437</v>
      </c>
      <c r="C616" t="s">
        <v>453</v>
      </c>
      <c r="D616" t="s">
        <v>454</v>
      </c>
      <c r="E616">
        <v>11</v>
      </c>
      <c r="F616">
        <v>73.33</v>
      </c>
      <c r="G616">
        <v>26.67</v>
      </c>
      <c r="H616">
        <v>0</v>
      </c>
      <c r="I616">
        <v>0</v>
      </c>
      <c r="J616" s="1">
        <v>45927.789055821762</v>
      </c>
      <c r="K616" t="s">
        <v>463</v>
      </c>
      <c r="L616">
        <f t="shared" si="9"/>
        <v>615</v>
      </c>
      <c r="M616">
        <f>COUNTIF($A$2:A616,A616)</f>
        <v>6</v>
      </c>
    </row>
    <row r="617" spans="1:13" x14ac:dyDescent="0.3">
      <c r="A617">
        <v>22652</v>
      </c>
      <c r="B617" t="s">
        <v>437</v>
      </c>
      <c r="C617" t="s">
        <v>57</v>
      </c>
      <c r="D617" t="s">
        <v>58</v>
      </c>
      <c r="E617">
        <v>5</v>
      </c>
      <c r="F617">
        <v>96.67</v>
      </c>
      <c r="G617">
        <v>3.33</v>
      </c>
      <c r="H617">
        <v>0</v>
      </c>
      <c r="I617">
        <v>0</v>
      </c>
      <c r="J617" s="1">
        <v>45927.789100324073</v>
      </c>
      <c r="K617" t="s">
        <v>463</v>
      </c>
      <c r="L617">
        <f t="shared" si="9"/>
        <v>616</v>
      </c>
      <c r="M617">
        <f>COUNTIF($A$2:A617,A617)</f>
        <v>7</v>
      </c>
    </row>
    <row r="618" spans="1:13" x14ac:dyDescent="0.3">
      <c r="A618">
        <v>22652</v>
      </c>
      <c r="B618" t="s">
        <v>437</v>
      </c>
      <c r="C618" t="s">
        <v>451</v>
      </c>
      <c r="D618" t="s">
        <v>452</v>
      </c>
      <c r="E618">
        <v>7</v>
      </c>
      <c r="F618">
        <v>83.33</v>
      </c>
      <c r="G618">
        <v>16.670000000000002</v>
      </c>
      <c r="H618">
        <v>0</v>
      </c>
      <c r="I618">
        <v>0</v>
      </c>
      <c r="J618" s="1">
        <v>45927.789120740737</v>
      </c>
      <c r="K618" t="s">
        <v>463</v>
      </c>
      <c r="L618">
        <f t="shared" si="9"/>
        <v>617</v>
      </c>
      <c r="M618">
        <f>COUNTIF($A$2:A618,A618)</f>
        <v>8</v>
      </c>
    </row>
    <row r="619" spans="1:13" x14ac:dyDescent="0.3">
      <c r="A619">
        <v>22652</v>
      </c>
      <c r="B619" t="s">
        <v>437</v>
      </c>
      <c r="C619" t="s">
        <v>449</v>
      </c>
      <c r="D619" t="s">
        <v>450</v>
      </c>
      <c r="E619">
        <v>11</v>
      </c>
      <c r="F619">
        <v>70</v>
      </c>
      <c r="G619">
        <v>30</v>
      </c>
      <c r="H619">
        <v>0</v>
      </c>
      <c r="I619">
        <v>0</v>
      </c>
      <c r="J619" s="1">
        <v>45927.78913582176</v>
      </c>
      <c r="K619" t="s">
        <v>463</v>
      </c>
      <c r="L619">
        <f t="shared" si="9"/>
        <v>618</v>
      </c>
      <c r="M619">
        <f>COUNTIF($A$2:A619,A619)</f>
        <v>9</v>
      </c>
    </row>
    <row r="620" spans="1:13" x14ac:dyDescent="0.3">
      <c r="A620">
        <v>22652</v>
      </c>
      <c r="B620" t="s">
        <v>437</v>
      </c>
      <c r="C620" t="s">
        <v>447</v>
      </c>
      <c r="D620" t="s">
        <v>448</v>
      </c>
      <c r="E620">
        <v>13</v>
      </c>
      <c r="F620">
        <v>63.33</v>
      </c>
      <c r="G620">
        <v>36.67</v>
      </c>
      <c r="H620">
        <v>0</v>
      </c>
      <c r="I620">
        <v>0</v>
      </c>
      <c r="J620" s="1">
        <v>45927.789154270831</v>
      </c>
      <c r="K620" t="s">
        <v>463</v>
      </c>
      <c r="L620">
        <f t="shared" si="9"/>
        <v>619</v>
      </c>
      <c r="M620">
        <f>COUNTIF($A$2:A620,A620)</f>
        <v>10</v>
      </c>
    </row>
    <row r="621" spans="1:13" x14ac:dyDescent="0.3">
      <c r="A621">
        <v>22652</v>
      </c>
      <c r="B621" t="s">
        <v>437</v>
      </c>
      <c r="C621" t="s">
        <v>445</v>
      </c>
      <c r="D621" t="s">
        <v>446</v>
      </c>
      <c r="E621">
        <v>13</v>
      </c>
      <c r="F621">
        <v>63.33</v>
      </c>
      <c r="G621">
        <v>36.67</v>
      </c>
      <c r="H621">
        <v>0</v>
      </c>
      <c r="I621">
        <v>0</v>
      </c>
      <c r="J621" s="1">
        <v>45927.789172916666</v>
      </c>
      <c r="K621" t="s">
        <v>463</v>
      </c>
      <c r="L621">
        <f t="shared" si="9"/>
        <v>620</v>
      </c>
      <c r="M621">
        <f>COUNTIF($A$2:A621,A621)</f>
        <v>11</v>
      </c>
    </row>
    <row r="622" spans="1:13" x14ac:dyDescent="0.3">
      <c r="A622">
        <v>22652</v>
      </c>
      <c r="B622" t="s">
        <v>437</v>
      </c>
      <c r="C622" t="s">
        <v>23</v>
      </c>
      <c r="D622" t="s">
        <v>24</v>
      </c>
      <c r="E622">
        <v>5</v>
      </c>
      <c r="F622">
        <v>96.67</v>
      </c>
      <c r="G622">
        <v>3.33</v>
      </c>
      <c r="H622">
        <v>0</v>
      </c>
      <c r="I622">
        <v>0</v>
      </c>
      <c r="J622" s="1">
        <v>45927.789214398152</v>
      </c>
      <c r="K622" t="s">
        <v>463</v>
      </c>
      <c r="L622">
        <f t="shared" si="9"/>
        <v>621</v>
      </c>
      <c r="M622">
        <f>COUNTIF($A$2:A622,A622)</f>
        <v>12</v>
      </c>
    </row>
    <row r="623" spans="1:13" x14ac:dyDescent="0.3">
      <c r="A623">
        <v>22652</v>
      </c>
      <c r="B623" t="s">
        <v>437</v>
      </c>
      <c r="C623" t="s">
        <v>443</v>
      </c>
      <c r="D623" t="s">
        <v>444</v>
      </c>
      <c r="E623">
        <v>6</v>
      </c>
      <c r="F623">
        <v>86.67</v>
      </c>
      <c r="G623">
        <v>13.33</v>
      </c>
      <c r="H623">
        <v>0</v>
      </c>
      <c r="I623">
        <v>0</v>
      </c>
      <c r="J623" s="1">
        <v>45927.789258958335</v>
      </c>
      <c r="K623" t="s">
        <v>463</v>
      </c>
      <c r="L623">
        <f t="shared" si="9"/>
        <v>622</v>
      </c>
      <c r="M623">
        <f>COUNTIF($A$2:A623,A623)</f>
        <v>13</v>
      </c>
    </row>
    <row r="624" spans="1:13" x14ac:dyDescent="0.3">
      <c r="A624">
        <v>22652</v>
      </c>
      <c r="B624" t="s">
        <v>437</v>
      </c>
      <c r="C624" t="s">
        <v>21</v>
      </c>
      <c r="D624" t="s">
        <v>22</v>
      </c>
      <c r="E624">
        <v>3</v>
      </c>
      <c r="F624">
        <v>96.67</v>
      </c>
      <c r="G624">
        <v>3.33</v>
      </c>
      <c r="H624">
        <v>0</v>
      </c>
      <c r="I624">
        <v>0</v>
      </c>
      <c r="J624" s="1">
        <v>45927.789302152778</v>
      </c>
      <c r="K624" t="s">
        <v>463</v>
      </c>
      <c r="L624">
        <f t="shared" si="9"/>
        <v>623</v>
      </c>
      <c r="M624">
        <f>COUNTIF($A$2:A624,A624)</f>
        <v>14</v>
      </c>
    </row>
    <row r="625" spans="1:13" x14ac:dyDescent="0.3">
      <c r="A625">
        <v>22652</v>
      </c>
      <c r="B625" t="s">
        <v>437</v>
      </c>
      <c r="C625" t="s">
        <v>441</v>
      </c>
      <c r="D625" t="s">
        <v>442</v>
      </c>
      <c r="E625">
        <v>5</v>
      </c>
      <c r="F625">
        <v>93.33</v>
      </c>
      <c r="G625">
        <v>6.67</v>
      </c>
      <c r="H625">
        <v>0</v>
      </c>
      <c r="I625">
        <v>0</v>
      </c>
      <c r="J625" s="1">
        <v>45927.789343275464</v>
      </c>
      <c r="K625" t="s">
        <v>463</v>
      </c>
      <c r="L625">
        <f t="shared" si="9"/>
        <v>624</v>
      </c>
      <c r="M625">
        <f>COUNTIF($A$2:A625,A625)</f>
        <v>15</v>
      </c>
    </row>
    <row r="626" spans="1:13" x14ac:dyDescent="0.3">
      <c r="A626">
        <v>22652</v>
      </c>
      <c r="B626" t="s">
        <v>437</v>
      </c>
      <c r="C626" t="s">
        <v>19</v>
      </c>
      <c r="D626" t="s">
        <v>20</v>
      </c>
      <c r="E626">
        <v>7</v>
      </c>
      <c r="F626">
        <v>83.33</v>
      </c>
      <c r="G626">
        <v>16.670000000000002</v>
      </c>
      <c r="H626">
        <v>0</v>
      </c>
      <c r="I626">
        <v>0</v>
      </c>
      <c r="J626" s="1">
        <v>45927.789360682873</v>
      </c>
      <c r="K626" t="s">
        <v>463</v>
      </c>
      <c r="L626">
        <f t="shared" si="9"/>
        <v>625</v>
      </c>
      <c r="M626">
        <f>COUNTIF($A$2:A626,A626)</f>
        <v>16</v>
      </c>
    </row>
    <row r="627" spans="1:13" x14ac:dyDescent="0.3">
      <c r="A627">
        <v>22652</v>
      </c>
      <c r="B627" t="s">
        <v>437</v>
      </c>
      <c r="C627" t="s">
        <v>17</v>
      </c>
      <c r="D627" t="s">
        <v>18</v>
      </c>
      <c r="E627">
        <v>10</v>
      </c>
      <c r="F627">
        <v>83.33</v>
      </c>
      <c r="G627">
        <v>16.670000000000002</v>
      </c>
      <c r="H627">
        <v>0</v>
      </c>
      <c r="I627">
        <v>0</v>
      </c>
      <c r="J627" s="1">
        <v>45927.789375231485</v>
      </c>
      <c r="K627" t="s">
        <v>463</v>
      </c>
      <c r="L627">
        <f t="shared" si="9"/>
        <v>626</v>
      </c>
      <c r="M627">
        <f>COUNTIF($A$2:A627,A627)</f>
        <v>17</v>
      </c>
    </row>
    <row r="628" spans="1:13" x14ac:dyDescent="0.3">
      <c r="A628">
        <v>22652</v>
      </c>
      <c r="B628" t="s">
        <v>437</v>
      </c>
      <c r="C628" t="s">
        <v>439</v>
      </c>
      <c r="D628" t="s">
        <v>440</v>
      </c>
      <c r="E628">
        <v>12</v>
      </c>
      <c r="F628">
        <v>66.67</v>
      </c>
      <c r="G628">
        <v>33.33</v>
      </c>
      <c r="H628">
        <v>0</v>
      </c>
      <c r="I628">
        <v>0</v>
      </c>
      <c r="J628" s="1">
        <v>45927.789392615741</v>
      </c>
      <c r="K628" t="s">
        <v>463</v>
      </c>
      <c r="L628">
        <f t="shared" si="9"/>
        <v>627</v>
      </c>
      <c r="M628">
        <f>COUNTIF($A$2:A628,A628)</f>
        <v>18</v>
      </c>
    </row>
    <row r="629" spans="1:13" x14ac:dyDescent="0.3">
      <c r="A629">
        <v>22652</v>
      </c>
      <c r="B629" t="s">
        <v>437</v>
      </c>
      <c r="C629" t="s">
        <v>34</v>
      </c>
      <c r="D629" t="s">
        <v>35</v>
      </c>
      <c r="E629">
        <v>18</v>
      </c>
      <c r="F629">
        <v>46.67</v>
      </c>
      <c r="G629">
        <v>53.33</v>
      </c>
      <c r="H629">
        <v>0</v>
      </c>
      <c r="I629">
        <v>0</v>
      </c>
      <c r="J629" s="1">
        <v>45927.789411319442</v>
      </c>
      <c r="K629" t="s">
        <v>463</v>
      </c>
      <c r="L629">
        <f t="shared" si="9"/>
        <v>628</v>
      </c>
      <c r="M629">
        <f>COUNTIF($A$2:A629,A629)</f>
        <v>19</v>
      </c>
    </row>
    <row r="630" spans="1:13" x14ac:dyDescent="0.3">
      <c r="A630">
        <v>22652</v>
      </c>
      <c r="B630" t="s">
        <v>437</v>
      </c>
      <c r="C630" t="s">
        <v>12</v>
      </c>
      <c r="D630" t="s">
        <v>13</v>
      </c>
      <c r="E630">
        <v>1</v>
      </c>
      <c r="F630">
        <v>93.33</v>
      </c>
      <c r="G630">
        <v>6.67</v>
      </c>
      <c r="H630">
        <v>0</v>
      </c>
      <c r="I630">
        <v>0</v>
      </c>
      <c r="J630" s="1">
        <v>45927.789456168983</v>
      </c>
      <c r="K630" t="s">
        <v>463</v>
      </c>
      <c r="L630">
        <f t="shared" si="9"/>
        <v>629</v>
      </c>
      <c r="M630">
        <f>COUNTIF($A$2:A630,A630)</f>
        <v>20</v>
      </c>
    </row>
    <row r="631" spans="1:13" x14ac:dyDescent="0.3">
      <c r="A631">
        <v>12163</v>
      </c>
      <c r="B631" t="s">
        <v>464</v>
      </c>
      <c r="C631" t="s">
        <v>465</v>
      </c>
      <c r="D631" t="s">
        <v>466</v>
      </c>
      <c r="E631">
        <v>12</v>
      </c>
      <c r="F631">
        <v>89.32</v>
      </c>
      <c r="G631">
        <v>7.4</v>
      </c>
      <c r="H631">
        <v>3.29</v>
      </c>
      <c r="I631">
        <v>0</v>
      </c>
      <c r="J631" s="1">
        <v>45927.790963495368</v>
      </c>
      <c r="K631" t="s">
        <v>467</v>
      </c>
      <c r="L631">
        <f t="shared" si="9"/>
        <v>630</v>
      </c>
      <c r="M631">
        <f>COUNTIF($A$2:A631,A631)</f>
        <v>1</v>
      </c>
    </row>
    <row r="632" spans="1:13" x14ac:dyDescent="0.3">
      <c r="A632">
        <v>12163</v>
      </c>
      <c r="B632" t="s">
        <v>464</v>
      </c>
      <c r="C632" t="s">
        <v>384</v>
      </c>
      <c r="D632" t="s">
        <v>385</v>
      </c>
      <c r="E632">
        <v>11</v>
      </c>
      <c r="F632">
        <v>90.14</v>
      </c>
      <c r="G632">
        <v>6.85</v>
      </c>
      <c r="H632">
        <v>3.01</v>
      </c>
      <c r="I632">
        <v>0</v>
      </c>
      <c r="J632" s="1">
        <v>45927.790979895835</v>
      </c>
      <c r="K632" t="s">
        <v>467</v>
      </c>
      <c r="L632">
        <f t="shared" si="9"/>
        <v>631</v>
      </c>
      <c r="M632">
        <f>COUNTIF($A$2:A632,A632)</f>
        <v>2</v>
      </c>
    </row>
    <row r="633" spans="1:13" x14ac:dyDescent="0.3">
      <c r="A633">
        <v>12163</v>
      </c>
      <c r="B633" t="s">
        <v>464</v>
      </c>
      <c r="C633" t="s">
        <v>386</v>
      </c>
      <c r="D633" t="s">
        <v>387</v>
      </c>
      <c r="E633">
        <v>24</v>
      </c>
      <c r="F633">
        <v>42.74</v>
      </c>
      <c r="G633">
        <v>53.15</v>
      </c>
      <c r="H633">
        <v>4.1100000000000003</v>
      </c>
      <c r="I633">
        <v>0</v>
      </c>
      <c r="J633" s="1">
        <v>45927.791023321763</v>
      </c>
      <c r="K633" t="s">
        <v>467</v>
      </c>
      <c r="L633">
        <f t="shared" si="9"/>
        <v>632</v>
      </c>
      <c r="M633">
        <f>COUNTIF($A$2:A633,A633)</f>
        <v>3</v>
      </c>
    </row>
    <row r="634" spans="1:13" x14ac:dyDescent="0.3">
      <c r="A634">
        <v>12163</v>
      </c>
      <c r="B634" t="s">
        <v>464</v>
      </c>
      <c r="C634" t="s">
        <v>468</v>
      </c>
      <c r="D634" t="s">
        <v>469</v>
      </c>
      <c r="E634">
        <v>35</v>
      </c>
      <c r="F634">
        <v>3.01</v>
      </c>
      <c r="G634">
        <v>86.3</v>
      </c>
      <c r="H634">
        <v>5.21</v>
      </c>
      <c r="I634">
        <v>5.48</v>
      </c>
      <c r="J634" s="1">
        <v>45927.791039687501</v>
      </c>
      <c r="K634" t="s">
        <v>467</v>
      </c>
      <c r="L634">
        <f t="shared" si="9"/>
        <v>633</v>
      </c>
      <c r="M634">
        <f>COUNTIF($A$2:A634,A634)</f>
        <v>4</v>
      </c>
    </row>
    <row r="635" spans="1:13" x14ac:dyDescent="0.3">
      <c r="A635">
        <v>12163</v>
      </c>
      <c r="B635" t="s">
        <v>464</v>
      </c>
      <c r="C635" t="s">
        <v>470</v>
      </c>
      <c r="D635" t="s">
        <v>471</v>
      </c>
      <c r="E635">
        <v>38</v>
      </c>
      <c r="F635">
        <v>3.56</v>
      </c>
      <c r="G635">
        <v>87.67</v>
      </c>
      <c r="H635">
        <v>8.77</v>
      </c>
      <c r="I635">
        <v>0</v>
      </c>
      <c r="J635" s="1">
        <v>45927.791080706018</v>
      </c>
      <c r="K635" t="s">
        <v>467</v>
      </c>
      <c r="L635">
        <f t="shared" si="9"/>
        <v>634</v>
      </c>
      <c r="M635">
        <f>COUNTIF($A$2:A635,A635)</f>
        <v>5</v>
      </c>
    </row>
    <row r="636" spans="1:13" x14ac:dyDescent="0.3">
      <c r="A636">
        <v>12163</v>
      </c>
      <c r="B636" t="s">
        <v>464</v>
      </c>
      <c r="C636" t="s">
        <v>472</v>
      </c>
      <c r="D636" t="s">
        <v>473</v>
      </c>
      <c r="E636">
        <v>31</v>
      </c>
      <c r="F636">
        <v>32.880000000000003</v>
      </c>
      <c r="G636">
        <v>58.63</v>
      </c>
      <c r="H636">
        <v>8.49</v>
      </c>
      <c r="I636">
        <v>0</v>
      </c>
      <c r="J636" s="1">
        <v>45927.791124930554</v>
      </c>
      <c r="K636" t="s">
        <v>467</v>
      </c>
      <c r="L636">
        <f t="shared" si="9"/>
        <v>635</v>
      </c>
      <c r="M636">
        <f>COUNTIF($A$2:A636,A636)</f>
        <v>6</v>
      </c>
    </row>
    <row r="637" spans="1:13" x14ac:dyDescent="0.3">
      <c r="A637">
        <v>12163</v>
      </c>
      <c r="B637" t="s">
        <v>464</v>
      </c>
      <c r="C637" t="s">
        <v>474</v>
      </c>
      <c r="D637" t="s">
        <v>475</v>
      </c>
      <c r="F637">
        <v>17.260000000000002</v>
      </c>
      <c r="G637">
        <v>70.959999999999994</v>
      </c>
      <c r="H637">
        <v>11.78</v>
      </c>
      <c r="I637">
        <v>0</v>
      </c>
      <c r="J637" s="1">
        <v>45927.791154143517</v>
      </c>
      <c r="K637" t="s">
        <v>467</v>
      </c>
      <c r="L637">
        <f t="shared" si="9"/>
        <v>636</v>
      </c>
      <c r="M637">
        <f>COUNTIF($A$2:A637,A637)</f>
        <v>7</v>
      </c>
    </row>
    <row r="638" spans="1:13" x14ac:dyDescent="0.3">
      <c r="A638">
        <v>12163</v>
      </c>
      <c r="B638" t="s">
        <v>464</v>
      </c>
      <c r="C638" t="s">
        <v>476</v>
      </c>
      <c r="D638" t="s">
        <v>476</v>
      </c>
      <c r="E638">
        <v>18</v>
      </c>
      <c r="F638">
        <v>71.510000000000005</v>
      </c>
      <c r="G638">
        <v>22.19</v>
      </c>
      <c r="H638">
        <v>6.3</v>
      </c>
      <c r="I638">
        <v>0</v>
      </c>
      <c r="J638" s="1">
        <v>45927.791193865742</v>
      </c>
      <c r="K638" t="s">
        <v>467</v>
      </c>
      <c r="L638">
        <f t="shared" si="9"/>
        <v>637</v>
      </c>
      <c r="M638">
        <f>COUNTIF($A$2:A638,A638)</f>
        <v>8</v>
      </c>
    </row>
    <row r="639" spans="1:13" x14ac:dyDescent="0.3">
      <c r="A639">
        <v>12163</v>
      </c>
      <c r="B639" t="s">
        <v>464</v>
      </c>
      <c r="C639" t="s">
        <v>477</v>
      </c>
      <c r="D639" t="s">
        <v>478</v>
      </c>
      <c r="E639">
        <v>23</v>
      </c>
      <c r="F639">
        <v>59.18</v>
      </c>
      <c r="G639">
        <v>33.97</v>
      </c>
      <c r="H639">
        <v>6.85</v>
      </c>
      <c r="I639">
        <v>0</v>
      </c>
      <c r="J639" s="1">
        <v>45927.791236134261</v>
      </c>
      <c r="K639" t="s">
        <v>467</v>
      </c>
      <c r="L639">
        <f t="shared" si="9"/>
        <v>638</v>
      </c>
      <c r="M639">
        <f>COUNTIF($A$2:A639,A639)</f>
        <v>9</v>
      </c>
    </row>
    <row r="640" spans="1:13" x14ac:dyDescent="0.3">
      <c r="A640">
        <v>12163</v>
      </c>
      <c r="B640" t="s">
        <v>464</v>
      </c>
      <c r="C640" t="s">
        <v>479</v>
      </c>
      <c r="D640" t="s">
        <v>480</v>
      </c>
      <c r="E640">
        <v>24</v>
      </c>
      <c r="F640">
        <v>55.62</v>
      </c>
      <c r="G640">
        <v>37.81</v>
      </c>
      <c r="H640">
        <v>6.58</v>
      </c>
      <c r="I640">
        <v>0</v>
      </c>
      <c r="J640" s="1">
        <v>45927.79127710648</v>
      </c>
      <c r="K640" t="s">
        <v>467</v>
      </c>
      <c r="L640">
        <f t="shared" si="9"/>
        <v>639</v>
      </c>
      <c r="M640">
        <f>COUNTIF($A$2:A640,A640)</f>
        <v>10</v>
      </c>
    </row>
    <row r="641" spans="1:13" x14ac:dyDescent="0.3">
      <c r="A641">
        <v>12163</v>
      </c>
      <c r="B641" t="s">
        <v>464</v>
      </c>
      <c r="C641" t="s">
        <v>481</v>
      </c>
      <c r="D641" t="s">
        <v>482</v>
      </c>
      <c r="F641">
        <v>44.11</v>
      </c>
      <c r="G641">
        <v>47.95</v>
      </c>
      <c r="H641">
        <v>7.95</v>
      </c>
      <c r="I641">
        <v>0</v>
      </c>
      <c r="J641" s="1">
        <v>45927.791306585648</v>
      </c>
      <c r="K641" t="s">
        <v>467</v>
      </c>
      <c r="L641">
        <f t="shared" si="9"/>
        <v>640</v>
      </c>
      <c r="M641">
        <f>COUNTIF($A$2:A641,A641)</f>
        <v>11</v>
      </c>
    </row>
    <row r="642" spans="1:13" x14ac:dyDescent="0.3">
      <c r="A642">
        <v>12163</v>
      </c>
      <c r="B642" t="s">
        <v>464</v>
      </c>
      <c r="C642" t="s">
        <v>483</v>
      </c>
      <c r="D642" t="s">
        <v>484</v>
      </c>
      <c r="E642">
        <v>30</v>
      </c>
      <c r="F642">
        <v>39.729999999999997</v>
      </c>
      <c r="G642">
        <v>52.05</v>
      </c>
      <c r="H642">
        <v>8.2200000000000006</v>
      </c>
      <c r="I642">
        <v>0</v>
      </c>
      <c r="J642" s="1">
        <v>45927.79135078704</v>
      </c>
      <c r="K642" t="s">
        <v>467</v>
      </c>
      <c r="L642">
        <f t="shared" ref="L642:L705" si="10">ROW()-1</f>
        <v>641</v>
      </c>
      <c r="M642">
        <f>COUNTIF($A$2:A642,A642)</f>
        <v>12</v>
      </c>
    </row>
    <row r="643" spans="1:13" x14ac:dyDescent="0.3">
      <c r="A643">
        <v>12163</v>
      </c>
      <c r="B643" t="s">
        <v>464</v>
      </c>
      <c r="C643" t="s">
        <v>485</v>
      </c>
      <c r="D643" t="s">
        <v>486</v>
      </c>
      <c r="E643">
        <v>27</v>
      </c>
      <c r="F643">
        <v>45.48</v>
      </c>
      <c r="G643">
        <v>47.12</v>
      </c>
      <c r="H643">
        <v>7.4</v>
      </c>
      <c r="I643">
        <v>0</v>
      </c>
      <c r="J643" s="1">
        <v>45927.791393634259</v>
      </c>
      <c r="K643" t="s">
        <v>467</v>
      </c>
      <c r="L643">
        <f t="shared" si="10"/>
        <v>642</v>
      </c>
      <c r="M643">
        <f>COUNTIF($A$2:A643,A643)</f>
        <v>13</v>
      </c>
    </row>
    <row r="644" spans="1:13" x14ac:dyDescent="0.3">
      <c r="A644">
        <v>12163</v>
      </c>
      <c r="B644" t="s">
        <v>464</v>
      </c>
      <c r="C644" t="s">
        <v>487</v>
      </c>
      <c r="D644" t="s">
        <v>488</v>
      </c>
      <c r="E644">
        <v>24</v>
      </c>
      <c r="F644">
        <v>53.97</v>
      </c>
      <c r="G644">
        <v>37.26</v>
      </c>
      <c r="H644">
        <v>8.77</v>
      </c>
      <c r="I644">
        <v>0</v>
      </c>
      <c r="J644" s="1">
        <v>45927.791438159722</v>
      </c>
      <c r="K644" t="s">
        <v>467</v>
      </c>
      <c r="L644">
        <f t="shared" si="10"/>
        <v>643</v>
      </c>
      <c r="M644">
        <f>COUNTIF($A$2:A644,A644)</f>
        <v>14</v>
      </c>
    </row>
    <row r="645" spans="1:13" x14ac:dyDescent="0.3">
      <c r="A645">
        <v>12163</v>
      </c>
      <c r="B645" t="s">
        <v>464</v>
      </c>
      <c r="C645" t="s">
        <v>489</v>
      </c>
      <c r="D645" t="s">
        <v>490</v>
      </c>
      <c r="E645">
        <v>25</v>
      </c>
      <c r="F645">
        <v>56.99</v>
      </c>
      <c r="G645">
        <v>34.79</v>
      </c>
      <c r="H645">
        <v>8.2200000000000006</v>
      </c>
      <c r="I645">
        <v>0</v>
      </c>
      <c r="J645" s="1">
        <v>45927.791478877312</v>
      </c>
      <c r="K645" t="s">
        <v>467</v>
      </c>
      <c r="L645">
        <f t="shared" si="10"/>
        <v>644</v>
      </c>
      <c r="M645">
        <f>COUNTIF($A$2:A645,A645)</f>
        <v>15</v>
      </c>
    </row>
    <row r="646" spans="1:13" x14ac:dyDescent="0.3">
      <c r="A646">
        <v>12163</v>
      </c>
      <c r="B646" t="s">
        <v>464</v>
      </c>
      <c r="C646" t="s">
        <v>491</v>
      </c>
      <c r="D646" t="s">
        <v>492</v>
      </c>
      <c r="E646">
        <v>23</v>
      </c>
      <c r="F646">
        <v>59.18</v>
      </c>
      <c r="G646">
        <v>33.700000000000003</v>
      </c>
      <c r="H646">
        <v>7.12</v>
      </c>
      <c r="I646">
        <v>0</v>
      </c>
      <c r="J646" s="1">
        <v>45927.791524432869</v>
      </c>
      <c r="K646" t="s">
        <v>467</v>
      </c>
      <c r="L646">
        <f t="shared" si="10"/>
        <v>645</v>
      </c>
      <c r="M646">
        <f>COUNTIF($A$2:A646,A646)</f>
        <v>16</v>
      </c>
    </row>
    <row r="647" spans="1:13" x14ac:dyDescent="0.3">
      <c r="A647">
        <v>12163</v>
      </c>
      <c r="B647" t="s">
        <v>464</v>
      </c>
      <c r="C647" t="s">
        <v>493</v>
      </c>
      <c r="D647" t="s">
        <v>494</v>
      </c>
      <c r="E647">
        <v>24</v>
      </c>
      <c r="F647">
        <v>54.25</v>
      </c>
      <c r="G647">
        <v>38.630000000000003</v>
      </c>
      <c r="H647">
        <v>7.12</v>
      </c>
      <c r="I647">
        <v>0</v>
      </c>
      <c r="J647" s="1">
        <v>45927.791568622684</v>
      </c>
      <c r="K647" t="s">
        <v>467</v>
      </c>
      <c r="L647">
        <f t="shared" si="10"/>
        <v>646</v>
      </c>
      <c r="M647">
        <f>COUNTIF($A$2:A647,A647)</f>
        <v>17</v>
      </c>
    </row>
    <row r="648" spans="1:13" x14ac:dyDescent="0.3">
      <c r="A648">
        <v>12163</v>
      </c>
      <c r="B648" t="s">
        <v>464</v>
      </c>
      <c r="C648" t="s">
        <v>495</v>
      </c>
      <c r="D648" t="s">
        <v>496</v>
      </c>
      <c r="E648">
        <v>22</v>
      </c>
      <c r="F648">
        <v>60</v>
      </c>
      <c r="G648">
        <v>33.15</v>
      </c>
      <c r="H648">
        <v>6.85</v>
      </c>
      <c r="I648">
        <v>0</v>
      </c>
      <c r="J648" s="1">
        <v>45927.791610138891</v>
      </c>
      <c r="K648" t="s">
        <v>467</v>
      </c>
      <c r="L648">
        <f t="shared" si="10"/>
        <v>647</v>
      </c>
      <c r="M648">
        <f>COUNTIF($A$2:A648,A648)</f>
        <v>18</v>
      </c>
    </row>
    <row r="649" spans="1:13" x14ac:dyDescent="0.3">
      <c r="A649">
        <v>12163</v>
      </c>
      <c r="B649" t="s">
        <v>464</v>
      </c>
      <c r="C649" t="s">
        <v>497</v>
      </c>
      <c r="D649" t="s">
        <v>498</v>
      </c>
      <c r="E649">
        <v>28</v>
      </c>
      <c r="F649">
        <v>45.21</v>
      </c>
      <c r="G649">
        <v>47.12</v>
      </c>
      <c r="H649">
        <v>7.67</v>
      </c>
      <c r="I649">
        <v>0</v>
      </c>
      <c r="J649" s="1">
        <v>45927.791653692133</v>
      </c>
      <c r="K649" t="s">
        <v>467</v>
      </c>
      <c r="L649">
        <f t="shared" si="10"/>
        <v>648</v>
      </c>
      <c r="M649">
        <f>COUNTIF($A$2:A649,A649)</f>
        <v>19</v>
      </c>
    </row>
    <row r="650" spans="1:13" x14ac:dyDescent="0.3">
      <c r="A650">
        <v>12163</v>
      </c>
      <c r="B650" t="s">
        <v>464</v>
      </c>
      <c r="C650" t="s">
        <v>499</v>
      </c>
      <c r="D650" t="s">
        <v>500</v>
      </c>
      <c r="E650">
        <v>45</v>
      </c>
      <c r="F650">
        <v>0</v>
      </c>
      <c r="G650">
        <v>3.01</v>
      </c>
      <c r="H650">
        <v>0</v>
      </c>
      <c r="I650">
        <v>96.99</v>
      </c>
      <c r="J650" s="1">
        <v>45927.791670185186</v>
      </c>
      <c r="K650" t="s">
        <v>467</v>
      </c>
      <c r="L650">
        <f t="shared" si="10"/>
        <v>649</v>
      </c>
      <c r="M650">
        <f>COUNTIF($A$2:A650,A650)</f>
        <v>20</v>
      </c>
    </row>
    <row r="651" spans="1:13" x14ac:dyDescent="0.3">
      <c r="A651">
        <v>12163</v>
      </c>
      <c r="B651" t="s">
        <v>464</v>
      </c>
      <c r="C651" t="s">
        <v>275</v>
      </c>
      <c r="D651" t="s">
        <v>276</v>
      </c>
      <c r="E651">
        <v>18</v>
      </c>
      <c r="F651">
        <v>73.97</v>
      </c>
      <c r="G651">
        <v>20.27</v>
      </c>
      <c r="H651">
        <v>5.75</v>
      </c>
      <c r="I651">
        <v>0.01</v>
      </c>
      <c r="J651" s="1">
        <v>45927.791689687503</v>
      </c>
      <c r="K651" t="s">
        <v>467</v>
      </c>
      <c r="L651">
        <f t="shared" si="10"/>
        <v>650</v>
      </c>
      <c r="M651">
        <f>COUNTIF($A$2:A651,A651)</f>
        <v>21</v>
      </c>
    </row>
    <row r="652" spans="1:13" x14ac:dyDescent="0.3">
      <c r="A652">
        <v>12163</v>
      </c>
      <c r="B652" t="s">
        <v>464</v>
      </c>
      <c r="C652" t="s">
        <v>501</v>
      </c>
      <c r="D652" t="s">
        <v>502</v>
      </c>
      <c r="E652">
        <v>19</v>
      </c>
      <c r="F652">
        <v>70.14</v>
      </c>
      <c r="G652">
        <v>24.11</v>
      </c>
      <c r="H652">
        <v>5.75</v>
      </c>
      <c r="I652">
        <v>0</v>
      </c>
      <c r="J652" s="1">
        <v>45927.791706041666</v>
      </c>
      <c r="K652" t="s">
        <v>467</v>
      </c>
      <c r="L652">
        <f t="shared" si="10"/>
        <v>651</v>
      </c>
      <c r="M652">
        <f>COUNTIF($A$2:A652,A652)</f>
        <v>22</v>
      </c>
    </row>
    <row r="653" spans="1:13" x14ac:dyDescent="0.3">
      <c r="A653">
        <v>12163</v>
      </c>
      <c r="B653" t="s">
        <v>464</v>
      </c>
      <c r="C653" t="s">
        <v>503</v>
      </c>
      <c r="D653" t="s">
        <v>504</v>
      </c>
      <c r="E653">
        <v>18</v>
      </c>
      <c r="F653">
        <v>69.86</v>
      </c>
      <c r="G653">
        <v>24.11</v>
      </c>
      <c r="H653">
        <v>6.03</v>
      </c>
      <c r="I653">
        <v>0</v>
      </c>
      <c r="J653" s="1">
        <v>45927.791746967596</v>
      </c>
      <c r="K653" t="s">
        <v>467</v>
      </c>
      <c r="L653">
        <f t="shared" si="10"/>
        <v>652</v>
      </c>
      <c r="M653">
        <f>COUNTIF($A$2:A653,A653)</f>
        <v>23</v>
      </c>
    </row>
    <row r="654" spans="1:13" x14ac:dyDescent="0.3">
      <c r="A654">
        <v>12163</v>
      </c>
      <c r="B654" t="s">
        <v>464</v>
      </c>
      <c r="C654" t="s">
        <v>17</v>
      </c>
      <c r="D654" t="s">
        <v>18</v>
      </c>
      <c r="E654">
        <v>33</v>
      </c>
      <c r="F654">
        <v>26.58</v>
      </c>
      <c r="G654">
        <v>66.3</v>
      </c>
      <c r="H654">
        <v>7.12</v>
      </c>
      <c r="I654">
        <v>0</v>
      </c>
      <c r="J654" s="1">
        <v>45927.791792002317</v>
      </c>
      <c r="K654" t="s">
        <v>467</v>
      </c>
      <c r="L654">
        <f t="shared" si="10"/>
        <v>653</v>
      </c>
      <c r="M654">
        <f>COUNTIF($A$2:A654,A654)</f>
        <v>24</v>
      </c>
    </row>
    <row r="655" spans="1:13" x14ac:dyDescent="0.3">
      <c r="A655">
        <v>12163</v>
      </c>
      <c r="B655" t="s">
        <v>464</v>
      </c>
      <c r="C655" t="s">
        <v>34</v>
      </c>
      <c r="D655" t="s">
        <v>35</v>
      </c>
      <c r="E655">
        <v>44</v>
      </c>
      <c r="F655">
        <v>17.809999999999999</v>
      </c>
      <c r="G655">
        <v>67.12</v>
      </c>
      <c r="H655">
        <v>14.52</v>
      </c>
      <c r="I655">
        <v>0.55000000000000004</v>
      </c>
      <c r="J655" s="1">
        <v>45927.791812314812</v>
      </c>
      <c r="K655" t="s">
        <v>467</v>
      </c>
      <c r="L655">
        <f t="shared" si="10"/>
        <v>654</v>
      </c>
      <c r="M655">
        <f>COUNTIF($A$2:A655,A655)</f>
        <v>25</v>
      </c>
    </row>
    <row r="656" spans="1:13" x14ac:dyDescent="0.3">
      <c r="A656">
        <v>12163</v>
      </c>
      <c r="B656" t="s">
        <v>464</v>
      </c>
      <c r="C656" t="s">
        <v>12</v>
      </c>
      <c r="D656" t="s">
        <v>13</v>
      </c>
      <c r="E656">
        <v>6</v>
      </c>
      <c r="F656">
        <v>89.59</v>
      </c>
      <c r="G656">
        <v>4.93</v>
      </c>
      <c r="H656">
        <v>4.93</v>
      </c>
      <c r="I656">
        <v>0.55000000000000004</v>
      </c>
      <c r="J656" s="1">
        <v>45927.79183130787</v>
      </c>
      <c r="K656" t="s">
        <v>467</v>
      </c>
      <c r="L656">
        <f t="shared" si="10"/>
        <v>655</v>
      </c>
      <c r="M656">
        <f>COUNTIF($A$2:A656,A656)</f>
        <v>26</v>
      </c>
    </row>
    <row r="657" spans="1:13" x14ac:dyDescent="0.3">
      <c r="A657">
        <v>12164</v>
      </c>
      <c r="B657" t="s">
        <v>464</v>
      </c>
      <c r="C657" t="s">
        <v>12</v>
      </c>
      <c r="D657" t="s">
        <v>13</v>
      </c>
      <c r="E657">
        <v>1</v>
      </c>
      <c r="F657">
        <v>100</v>
      </c>
      <c r="G657">
        <v>0</v>
      </c>
      <c r="H657">
        <v>0</v>
      </c>
      <c r="I657">
        <v>0</v>
      </c>
      <c r="J657" s="1">
        <v>45927.791868587963</v>
      </c>
      <c r="K657" t="s">
        <v>505</v>
      </c>
      <c r="L657">
        <f t="shared" si="10"/>
        <v>656</v>
      </c>
      <c r="M657">
        <f>COUNTIF($A$2:A657,A657)</f>
        <v>1</v>
      </c>
    </row>
    <row r="658" spans="1:13" x14ac:dyDescent="0.3">
      <c r="A658">
        <v>12164</v>
      </c>
      <c r="B658" t="s">
        <v>464</v>
      </c>
      <c r="C658" t="s">
        <v>17</v>
      </c>
      <c r="D658" t="s">
        <v>18</v>
      </c>
      <c r="E658">
        <v>13</v>
      </c>
      <c r="F658">
        <v>73.33</v>
      </c>
      <c r="G658">
        <v>26.67</v>
      </c>
      <c r="H658">
        <v>0</v>
      </c>
      <c r="I658">
        <v>0</v>
      </c>
      <c r="J658" s="1">
        <v>45927.791888298612</v>
      </c>
      <c r="K658" t="s">
        <v>505</v>
      </c>
      <c r="L658">
        <f t="shared" si="10"/>
        <v>657</v>
      </c>
      <c r="M658">
        <f>COUNTIF($A$2:A658,A658)</f>
        <v>2</v>
      </c>
    </row>
    <row r="659" spans="1:13" x14ac:dyDescent="0.3">
      <c r="A659">
        <v>12164</v>
      </c>
      <c r="B659" t="s">
        <v>464</v>
      </c>
      <c r="C659" t="s">
        <v>503</v>
      </c>
      <c r="D659" t="s">
        <v>504</v>
      </c>
      <c r="E659">
        <v>12</v>
      </c>
      <c r="F659">
        <v>76.67</v>
      </c>
      <c r="G659">
        <v>23.33</v>
      </c>
      <c r="H659">
        <v>0</v>
      </c>
      <c r="I659">
        <v>0</v>
      </c>
      <c r="J659" s="1">
        <v>45927.791905127313</v>
      </c>
      <c r="K659" t="s">
        <v>505</v>
      </c>
      <c r="L659">
        <f t="shared" si="10"/>
        <v>658</v>
      </c>
      <c r="M659">
        <f>COUNTIF($A$2:A659,A659)</f>
        <v>3</v>
      </c>
    </row>
    <row r="660" spans="1:13" x14ac:dyDescent="0.3">
      <c r="A660">
        <v>12164</v>
      </c>
      <c r="B660" t="s">
        <v>464</v>
      </c>
      <c r="C660" t="s">
        <v>501</v>
      </c>
      <c r="D660" t="s">
        <v>502</v>
      </c>
      <c r="E660">
        <v>19</v>
      </c>
      <c r="F660">
        <v>36.67</v>
      </c>
      <c r="G660">
        <v>63.33</v>
      </c>
      <c r="H660">
        <v>0</v>
      </c>
      <c r="I660">
        <v>0</v>
      </c>
      <c r="J660" s="1">
        <v>45927.791925196761</v>
      </c>
      <c r="K660" t="s">
        <v>505</v>
      </c>
      <c r="L660">
        <f t="shared" si="10"/>
        <v>659</v>
      </c>
      <c r="M660">
        <f>COUNTIF($A$2:A660,A660)</f>
        <v>4</v>
      </c>
    </row>
    <row r="661" spans="1:13" x14ac:dyDescent="0.3">
      <c r="A661">
        <v>12164</v>
      </c>
      <c r="B661" t="s">
        <v>464</v>
      </c>
      <c r="C661" t="s">
        <v>275</v>
      </c>
      <c r="D661" t="s">
        <v>276</v>
      </c>
      <c r="E661">
        <v>23</v>
      </c>
      <c r="F661">
        <v>26.67</v>
      </c>
      <c r="G661">
        <v>73.33</v>
      </c>
      <c r="H661">
        <v>0</v>
      </c>
      <c r="I661">
        <v>0</v>
      </c>
      <c r="J661" s="1">
        <v>45927.791945682868</v>
      </c>
      <c r="K661" t="s">
        <v>505</v>
      </c>
      <c r="L661">
        <f t="shared" si="10"/>
        <v>660</v>
      </c>
      <c r="M661">
        <f>COUNTIF($A$2:A661,A661)</f>
        <v>5</v>
      </c>
    </row>
    <row r="662" spans="1:13" x14ac:dyDescent="0.3">
      <c r="A662">
        <v>12164</v>
      </c>
      <c r="B662" t="s">
        <v>464</v>
      </c>
      <c r="C662" t="s">
        <v>499</v>
      </c>
      <c r="D662" t="s">
        <v>500</v>
      </c>
      <c r="E662">
        <v>26</v>
      </c>
      <c r="F662">
        <v>26.67</v>
      </c>
      <c r="G662">
        <v>73.33</v>
      </c>
      <c r="H662">
        <v>0</v>
      </c>
      <c r="I662">
        <v>0</v>
      </c>
      <c r="J662" s="1">
        <v>45927.791965277778</v>
      </c>
      <c r="K662" t="s">
        <v>505</v>
      </c>
      <c r="L662">
        <f t="shared" si="10"/>
        <v>661</v>
      </c>
      <c r="M662">
        <f>COUNTIF($A$2:A662,A662)</f>
        <v>6</v>
      </c>
    </row>
    <row r="663" spans="1:13" x14ac:dyDescent="0.3">
      <c r="A663">
        <v>12164</v>
      </c>
      <c r="B663" t="s">
        <v>464</v>
      </c>
      <c r="C663" t="s">
        <v>497</v>
      </c>
      <c r="D663" t="s">
        <v>498</v>
      </c>
      <c r="E663">
        <v>34</v>
      </c>
      <c r="F663">
        <v>0</v>
      </c>
      <c r="G663">
        <v>100</v>
      </c>
      <c r="H663">
        <v>0</v>
      </c>
      <c r="I663">
        <v>0</v>
      </c>
      <c r="J663" s="1">
        <v>45927.791982754628</v>
      </c>
      <c r="K663" t="s">
        <v>505</v>
      </c>
      <c r="L663">
        <f t="shared" si="10"/>
        <v>662</v>
      </c>
      <c r="M663">
        <f>COUNTIF($A$2:A663,A663)</f>
        <v>7</v>
      </c>
    </row>
    <row r="664" spans="1:13" x14ac:dyDescent="0.3">
      <c r="A664">
        <v>12164</v>
      </c>
      <c r="B664" t="s">
        <v>464</v>
      </c>
      <c r="C664" t="s">
        <v>495</v>
      </c>
      <c r="D664" t="s">
        <v>496</v>
      </c>
      <c r="F664">
        <v>16.670000000000002</v>
      </c>
      <c r="G664">
        <v>83.33</v>
      </c>
      <c r="H664">
        <v>0</v>
      </c>
      <c r="I664">
        <v>0</v>
      </c>
      <c r="J664" s="1">
        <v>45927.792005000003</v>
      </c>
      <c r="K664" t="s">
        <v>505</v>
      </c>
      <c r="L664">
        <f t="shared" si="10"/>
        <v>663</v>
      </c>
      <c r="M664">
        <f>COUNTIF($A$2:A664,A664)</f>
        <v>8</v>
      </c>
    </row>
    <row r="665" spans="1:13" x14ac:dyDescent="0.3">
      <c r="A665">
        <v>12164</v>
      </c>
      <c r="B665" t="s">
        <v>464</v>
      </c>
      <c r="C665" t="s">
        <v>493</v>
      </c>
      <c r="D665" t="s">
        <v>494</v>
      </c>
      <c r="E665">
        <v>32</v>
      </c>
      <c r="F665">
        <v>16.670000000000002</v>
      </c>
      <c r="G665">
        <v>83.33</v>
      </c>
      <c r="H665">
        <v>0</v>
      </c>
      <c r="I665">
        <v>0</v>
      </c>
      <c r="J665" s="1">
        <v>45927.792021805559</v>
      </c>
      <c r="K665" t="s">
        <v>505</v>
      </c>
      <c r="L665">
        <f t="shared" si="10"/>
        <v>664</v>
      </c>
      <c r="M665">
        <f>COUNTIF($A$2:A665,A665)</f>
        <v>9</v>
      </c>
    </row>
    <row r="666" spans="1:13" x14ac:dyDescent="0.3">
      <c r="A666">
        <v>12164</v>
      </c>
      <c r="B666" t="s">
        <v>464</v>
      </c>
      <c r="C666" t="s">
        <v>491</v>
      </c>
      <c r="D666" t="s">
        <v>492</v>
      </c>
      <c r="E666">
        <v>30</v>
      </c>
      <c r="F666">
        <v>13.33</v>
      </c>
      <c r="G666">
        <v>86.67</v>
      </c>
      <c r="H666">
        <v>0</v>
      </c>
      <c r="I666">
        <v>0</v>
      </c>
      <c r="J666" s="1">
        <v>45927.792040023145</v>
      </c>
      <c r="K666" t="s">
        <v>505</v>
      </c>
      <c r="L666">
        <f t="shared" si="10"/>
        <v>665</v>
      </c>
      <c r="M666">
        <f>COUNTIF($A$2:A666,A666)</f>
        <v>10</v>
      </c>
    </row>
    <row r="667" spans="1:13" x14ac:dyDescent="0.3">
      <c r="A667">
        <v>12164</v>
      </c>
      <c r="B667" t="s">
        <v>464</v>
      </c>
      <c r="C667" t="s">
        <v>489</v>
      </c>
      <c r="D667" t="s">
        <v>490</v>
      </c>
      <c r="E667">
        <v>27</v>
      </c>
      <c r="F667">
        <v>16.670000000000002</v>
      </c>
      <c r="G667">
        <v>83.33</v>
      </c>
      <c r="H667">
        <v>0</v>
      </c>
      <c r="I667">
        <v>0</v>
      </c>
      <c r="J667" s="1">
        <v>45927.79205758102</v>
      </c>
      <c r="K667" t="s">
        <v>505</v>
      </c>
      <c r="L667">
        <f t="shared" si="10"/>
        <v>666</v>
      </c>
      <c r="M667">
        <f>COUNTIF($A$2:A667,A667)</f>
        <v>11</v>
      </c>
    </row>
    <row r="668" spans="1:13" x14ac:dyDescent="0.3">
      <c r="A668">
        <v>12164</v>
      </c>
      <c r="B668" t="s">
        <v>464</v>
      </c>
      <c r="C668" t="s">
        <v>487</v>
      </c>
      <c r="D668" t="s">
        <v>488</v>
      </c>
      <c r="E668">
        <v>40</v>
      </c>
      <c r="F668">
        <v>0</v>
      </c>
      <c r="G668">
        <v>93.33</v>
      </c>
      <c r="H668">
        <v>6.67</v>
      </c>
      <c r="I668">
        <v>0</v>
      </c>
      <c r="J668" s="1">
        <v>45927.792102199077</v>
      </c>
      <c r="K668" t="s">
        <v>505</v>
      </c>
      <c r="L668">
        <f t="shared" si="10"/>
        <v>667</v>
      </c>
      <c r="M668">
        <f>COUNTIF($A$2:A668,A668)</f>
        <v>12</v>
      </c>
    </row>
    <row r="669" spans="1:13" x14ac:dyDescent="0.3">
      <c r="A669">
        <v>12164</v>
      </c>
      <c r="B669" t="s">
        <v>464</v>
      </c>
      <c r="C669" t="s">
        <v>485</v>
      </c>
      <c r="D669" t="s">
        <v>486</v>
      </c>
      <c r="E669">
        <v>39</v>
      </c>
      <c r="F669">
        <v>0</v>
      </c>
      <c r="G669">
        <v>90</v>
      </c>
      <c r="H669">
        <v>10</v>
      </c>
      <c r="I669">
        <v>0</v>
      </c>
      <c r="J669" s="1">
        <v>45927.79212273148</v>
      </c>
      <c r="K669" t="s">
        <v>505</v>
      </c>
      <c r="L669">
        <f t="shared" si="10"/>
        <v>668</v>
      </c>
      <c r="M669">
        <f>COUNTIF($A$2:A669,A669)</f>
        <v>13</v>
      </c>
    </row>
    <row r="670" spans="1:13" x14ac:dyDescent="0.3">
      <c r="A670">
        <v>12164</v>
      </c>
      <c r="B670" t="s">
        <v>464</v>
      </c>
      <c r="C670" t="s">
        <v>483</v>
      </c>
      <c r="D670" t="s">
        <v>484</v>
      </c>
      <c r="F670">
        <v>0</v>
      </c>
      <c r="G670">
        <v>90</v>
      </c>
      <c r="H670">
        <v>10</v>
      </c>
      <c r="I670">
        <v>0</v>
      </c>
      <c r="J670" s="1">
        <v>45927.792146458334</v>
      </c>
      <c r="K670" t="s">
        <v>505</v>
      </c>
      <c r="L670">
        <f t="shared" si="10"/>
        <v>669</v>
      </c>
      <c r="M670">
        <f>COUNTIF($A$2:A670,A670)</f>
        <v>14</v>
      </c>
    </row>
    <row r="671" spans="1:13" x14ac:dyDescent="0.3">
      <c r="A671">
        <v>12164</v>
      </c>
      <c r="B671" t="s">
        <v>464</v>
      </c>
      <c r="C671" t="s">
        <v>481</v>
      </c>
      <c r="D671" t="s">
        <v>482</v>
      </c>
      <c r="E671">
        <v>31</v>
      </c>
      <c r="F671">
        <v>10</v>
      </c>
      <c r="G671">
        <v>83.33</v>
      </c>
      <c r="H671">
        <v>6.67</v>
      </c>
      <c r="I671">
        <v>0</v>
      </c>
      <c r="J671" s="1">
        <v>45927.792190185188</v>
      </c>
      <c r="K671" t="s">
        <v>505</v>
      </c>
      <c r="L671">
        <f t="shared" si="10"/>
        <v>670</v>
      </c>
      <c r="M671">
        <f>COUNTIF($A$2:A671,A671)</f>
        <v>15</v>
      </c>
    </row>
    <row r="672" spans="1:13" x14ac:dyDescent="0.3">
      <c r="A672">
        <v>12164</v>
      </c>
      <c r="B672" t="s">
        <v>464</v>
      </c>
      <c r="C672" t="s">
        <v>479</v>
      </c>
      <c r="D672" t="s">
        <v>480</v>
      </c>
      <c r="E672">
        <v>25</v>
      </c>
      <c r="F672">
        <v>33.33</v>
      </c>
      <c r="G672">
        <v>63.33</v>
      </c>
      <c r="H672">
        <v>3.33</v>
      </c>
      <c r="I672">
        <v>0.01</v>
      </c>
      <c r="J672" s="1">
        <v>45927.792207418985</v>
      </c>
      <c r="K672" t="s">
        <v>505</v>
      </c>
      <c r="L672">
        <f t="shared" si="10"/>
        <v>671</v>
      </c>
      <c r="M672">
        <f>COUNTIF($A$2:A672,A672)</f>
        <v>16</v>
      </c>
    </row>
    <row r="673" spans="1:13" x14ac:dyDescent="0.3">
      <c r="A673">
        <v>12164</v>
      </c>
      <c r="B673" t="s">
        <v>464</v>
      </c>
      <c r="C673" t="s">
        <v>477</v>
      </c>
      <c r="D673" t="s">
        <v>478</v>
      </c>
      <c r="E673">
        <v>25</v>
      </c>
      <c r="F673">
        <v>40</v>
      </c>
      <c r="G673">
        <v>53.33</v>
      </c>
      <c r="H673">
        <v>6.67</v>
      </c>
      <c r="I673">
        <v>0</v>
      </c>
      <c r="J673" s="1">
        <v>45927.792249733793</v>
      </c>
      <c r="K673" t="s">
        <v>505</v>
      </c>
      <c r="L673">
        <f t="shared" si="10"/>
        <v>672</v>
      </c>
      <c r="M673">
        <f>COUNTIF($A$2:A673,A673)</f>
        <v>17</v>
      </c>
    </row>
    <row r="674" spans="1:13" x14ac:dyDescent="0.3">
      <c r="A674">
        <v>12164</v>
      </c>
      <c r="B674" t="s">
        <v>464</v>
      </c>
      <c r="C674" t="s">
        <v>476</v>
      </c>
      <c r="D674" t="s">
        <v>476</v>
      </c>
      <c r="E674">
        <v>8</v>
      </c>
      <c r="F674">
        <v>90</v>
      </c>
      <c r="G674">
        <v>6.67</v>
      </c>
      <c r="H674">
        <v>3.33</v>
      </c>
      <c r="I674">
        <v>0</v>
      </c>
      <c r="J674" s="1">
        <v>45927.79226681713</v>
      </c>
      <c r="K674" t="s">
        <v>505</v>
      </c>
      <c r="L674">
        <f t="shared" si="10"/>
        <v>673</v>
      </c>
      <c r="M674">
        <f>COUNTIF($A$2:A674,A674)</f>
        <v>18</v>
      </c>
    </row>
    <row r="675" spans="1:13" x14ac:dyDescent="0.3">
      <c r="A675">
        <v>12164</v>
      </c>
      <c r="B675" t="s">
        <v>464</v>
      </c>
      <c r="C675" t="s">
        <v>474</v>
      </c>
      <c r="D675" t="s">
        <v>475</v>
      </c>
      <c r="E675">
        <v>6</v>
      </c>
      <c r="F675">
        <v>93.33</v>
      </c>
      <c r="G675">
        <v>6.67</v>
      </c>
      <c r="H675">
        <v>0</v>
      </c>
      <c r="I675">
        <v>0</v>
      </c>
      <c r="J675" s="1">
        <v>45927.792311944446</v>
      </c>
      <c r="K675" t="s">
        <v>505</v>
      </c>
      <c r="L675">
        <f t="shared" si="10"/>
        <v>674</v>
      </c>
      <c r="M675">
        <f>COUNTIF($A$2:A675,A675)</f>
        <v>19</v>
      </c>
    </row>
    <row r="676" spans="1:13" x14ac:dyDescent="0.3">
      <c r="A676">
        <v>12164</v>
      </c>
      <c r="B676" t="s">
        <v>464</v>
      </c>
      <c r="C676" t="s">
        <v>472</v>
      </c>
      <c r="D676" t="s">
        <v>473</v>
      </c>
      <c r="E676">
        <v>20</v>
      </c>
      <c r="F676">
        <v>43.33</v>
      </c>
      <c r="G676">
        <v>53.33</v>
      </c>
      <c r="H676">
        <v>3.33</v>
      </c>
      <c r="I676">
        <v>0.01</v>
      </c>
      <c r="J676" s="1">
        <v>45927.792331296296</v>
      </c>
      <c r="K676" t="s">
        <v>505</v>
      </c>
      <c r="L676">
        <f t="shared" si="10"/>
        <v>675</v>
      </c>
      <c r="M676">
        <f>COUNTIF($A$2:A676,A676)</f>
        <v>20</v>
      </c>
    </row>
    <row r="677" spans="1:13" x14ac:dyDescent="0.3">
      <c r="A677">
        <v>12164</v>
      </c>
      <c r="B677" t="s">
        <v>464</v>
      </c>
      <c r="C677" t="s">
        <v>470</v>
      </c>
      <c r="D677" t="s">
        <v>471</v>
      </c>
      <c r="F677">
        <v>46.67</v>
      </c>
      <c r="G677">
        <v>50</v>
      </c>
      <c r="H677">
        <v>3.33</v>
      </c>
      <c r="I677">
        <v>0</v>
      </c>
      <c r="J677" s="1">
        <v>45927.792351215277</v>
      </c>
      <c r="K677" t="s">
        <v>505</v>
      </c>
      <c r="L677">
        <f t="shared" si="10"/>
        <v>676</v>
      </c>
      <c r="M677">
        <f>COUNTIF($A$2:A677,A677)</f>
        <v>21</v>
      </c>
    </row>
    <row r="678" spans="1:13" x14ac:dyDescent="0.3">
      <c r="A678">
        <v>12164</v>
      </c>
      <c r="B678" t="s">
        <v>464</v>
      </c>
      <c r="C678" t="s">
        <v>468</v>
      </c>
      <c r="D678" t="s">
        <v>469</v>
      </c>
      <c r="E678">
        <v>34</v>
      </c>
      <c r="F678">
        <v>10</v>
      </c>
      <c r="G678">
        <v>73.33</v>
      </c>
      <c r="H678">
        <v>16.670000000000002</v>
      </c>
      <c r="I678">
        <v>0</v>
      </c>
      <c r="J678" s="1">
        <v>45927.79236767361</v>
      </c>
      <c r="K678" t="s">
        <v>505</v>
      </c>
      <c r="L678">
        <f t="shared" si="10"/>
        <v>677</v>
      </c>
      <c r="M678">
        <f>COUNTIF($A$2:A678,A678)</f>
        <v>22</v>
      </c>
    </row>
    <row r="679" spans="1:13" x14ac:dyDescent="0.3">
      <c r="A679">
        <v>12164</v>
      </c>
      <c r="B679" t="s">
        <v>464</v>
      </c>
      <c r="C679" t="s">
        <v>386</v>
      </c>
      <c r="D679" t="s">
        <v>387</v>
      </c>
      <c r="E679">
        <v>51</v>
      </c>
      <c r="F679">
        <v>0</v>
      </c>
      <c r="G679">
        <v>80</v>
      </c>
      <c r="H679">
        <v>20</v>
      </c>
      <c r="I679">
        <v>0</v>
      </c>
      <c r="J679" s="1">
        <v>45927.792386504632</v>
      </c>
      <c r="K679" t="s">
        <v>505</v>
      </c>
      <c r="L679">
        <f t="shared" si="10"/>
        <v>678</v>
      </c>
      <c r="M679">
        <f>COUNTIF($A$2:A679,A679)</f>
        <v>23</v>
      </c>
    </row>
    <row r="680" spans="1:13" x14ac:dyDescent="0.3">
      <c r="A680">
        <v>12164</v>
      </c>
      <c r="B680" t="s">
        <v>464</v>
      </c>
      <c r="C680" t="s">
        <v>384</v>
      </c>
      <c r="D680" t="s">
        <v>385</v>
      </c>
      <c r="E680">
        <v>54</v>
      </c>
      <c r="F680">
        <v>0</v>
      </c>
      <c r="G680">
        <v>76.67</v>
      </c>
      <c r="H680">
        <v>23.33</v>
      </c>
      <c r="I680">
        <v>0</v>
      </c>
      <c r="J680" s="1">
        <v>45927.792401967592</v>
      </c>
      <c r="K680" t="s">
        <v>505</v>
      </c>
      <c r="L680">
        <f t="shared" si="10"/>
        <v>679</v>
      </c>
      <c r="M680">
        <f>COUNTIF($A$2:A680,A680)</f>
        <v>24</v>
      </c>
    </row>
    <row r="681" spans="1:13" x14ac:dyDescent="0.3">
      <c r="A681">
        <v>12164</v>
      </c>
      <c r="B681" t="s">
        <v>464</v>
      </c>
      <c r="C681" t="s">
        <v>465</v>
      </c>
      <c r="D681" t="s">
        <v>466</v>
      </c>
      <c r="E681">
        <v>9</v>
      </c>
      <c r="F681">
        <v>80</v>
      </c>
      <c r="G681">
        <v>16.670000000000002</v>
      </c>
      <c r="H681">
        <v>3.33</v>
      </c>
      <c r="I681">
        <v>0</v>
      </c>
      <c r="J681" s="1">
        <v>45927.792446134263</v>
      </c>
      <c r="K681" t="s">
        <v>505</v>
      </c>
      <c r="L681">
        <f t="shared" si="10"/>
        <v>680</v>
      </c>
      <c r="M681">
        <f>COUNTIF($A$2:A681,A681)</f>
        <v>25</v>
      </c>
    </row>
    <row r="682" spans="1:13" x14ac:dyDescent="0.3">
      <c r="A682">
        <v>12679</v>
      </c>
      <c r="B682" t="s">
        <v>506</v>
      </c>
      <c r="C682" t="s">
        <v>12</v>
      </c>
      <c r="D682" t="s">
        <v>13</v>
      </c>
      <c r="E682">
        <v>2</v>
      </c>
      <c r="F682">
        <v>100</v>
      </c>
      <c r="G682">
        <v>0</v>
      </c>
      <c r="H682">
        <v>0</v>
      </c>
      <c r="I682">
        <v>0</v>
      </c>
      <c r="J682" s="1">
        <v>45927.792480358796</v>
      </c>
      <c r="K682" t="s">
        <v>507</v>
      </c>
      <c r="L682">
        <f t="shared" si="10"/>
        <v>681</v>
      </c>
      <c r="M682">
        <f>COUNTIF($A$2:A682,A682)</f>
        <v>1</v>
      </c>
    </row>
    <row r="683" spans="1:13" x14ac:dyDescent="0.3">
      <c r="A683">
        <v>12679</v>
      </c>
      <c r="B683" t="s">
        <v>506</v>
      </c>
      <c r="C683" t="s">
        <v>17</v>
      </c>
      <c r="D683" t="s">
        <v>18</v>
      </c>
      <c r="E683">
        <v>16</v>
      </c>
      <c r="F683">
        <v>60</v>
      </c>
      <c r="G683">
        <v>40</v>
      </c>
      <c r="H683">
        <v>0</v>
      </c>
      <c r="I683">
        <v>0</v>
      </c>
      <c r="J683" s="1">
        <v>45927.792495000002</v>
      </c>
      <c r="K683" t="s">
        <v>507</v>
      </c>
      <c r="L683">
        <f t="shared" si="10"/>
        <v>682</v>
      </c>
      <c r="M683">
        <f>COUNTIF($A$2:A683,A683)</f>
        <v>2</v>
      </c>
    </row>
    <row r="684" spans="1:13" x14ac:dyDescent="0.3">
      <c r="A684">
        <v>12679</v>
      </c>
      <c r="B684" t="s">
        <v>506</v>
      </c>
      <c r="C684" t="s">
        <v>19</v>
      </c>
      <c r="D684" t="s">
        <v>20</v>
      </c>
      <c r="E684">
        <v>20</v>
      </c>
      <c r="F684">
        <v>16.670000000000002</v>
      </c>
      <c r="G684">
        <v>83.33</v>
      </c>
      <c r="H684">
        <v>0</v>
      </c>
      <c r="I684">
        <v>0</v>
      </c>
      <c r="J684" s="1">
        <v>45927.792515300927</v>
      </c>
      <c r="K684" t="s">
        <v>507</v>
      </c>
      <c r="L684">
        <f t="shared" si="10"/>
        <v>683</v>
      </c>
      <c r="M684">
        <f>COUNTIF($A$2:A684,A684)</f>
        <v>3</v>
      </c>
    </row>
    <row r="685" spans="1:13" x14ac:dyDescent="0.3">
      <c r="A685">
        <v>12679</v>
      </c>
      <c r="B685" t="s">
        <v>506</v>
      </c>
      <c r="C685" t="s">
        <v>508</v>
      </c>
      <c r="D685" t="s">
        <v>509</v>
      </c>
      <c r="E685">
        <v>26</v>
      </c>
      <c r="F685">
        <v>6.67</v>
      </c>
      <c r="G685">
        <v>93.33</v>
      </c>
      <c r="H685">
        <v>0</v>
      </c>
      <c r="I685">
        <v>0</v>
      </c>
      <c r="J685" s="1">
        <v>45927.792533437503</v>
      </c>
      <c r="K685" t="s">
        <v>507</v>
      </c>
      <c r="L685">
        <f t="shared" si="10"/>
        <v>684</v>
      </c>
      <c r="M685">
        <f>COUNTIF($A$2:A685,A685)</f>
        <v>4</v>
      </c>
    </row>
    <row r="686" spans="1:13" x14ac:dyDescent="0.3">
      <c r="A686">
        <v>12679</v>
      </c>
      <c r="B686" t="s">
        <v>506</v>
      </c>
      <c r="C686" t="s">
        <v>21</v>
      </c>
      <c r="D686" t="s">
        <v>22</v>
      </c>
      <c r="E686">
        <v>15</v>
      </c>
      <c r="F686">
        <v>63.33</v>
      </c>
      <c r="G686">
        <v>36.67</v>
      </c>
      <c r="H686">
        <v>0</v>
      </c>
      <c r="I686">
        <v>0</v>
      </c>
      <c r="J686" s="1">
        <v>45927.792548657409</v>
      </c>
      <c r="K686" t="s">
        <v>507</v>
      </c>
      <c r="L686">
        <f t="shared" si="10"/>
        <v>685</v>
      </c>
      <c r="M686">
        <f>COUNTIF($A$2:A686,A686)</f>
        <v>5</v>
      </c>
    </row>
    <row r="687" spans="1:13" x14ac:dyDescent="0.3">
      <c r="A687">
        <v>12679</v>
      </c>
      <c r="B687" t="s">
        <v>506</v>
      </c>
      <c r="C687" t="s">
        <v>510</v>
      </c>
      <c r="D687" t="s">
        <v>511</v>
      </c>
      <c r="E687">
        <v>24</v>
      </c>
      <c r="F687">
        <v>33.33</v>
      </c>
      <c r="G687">
        <v>63.33</v>
      </c>
      <c r="H687">
        <v>3.33</v>
      </c>
      <c r="I687">
        <v>0.01</v>
      </c>
      <c r="J687" s="1">
        <v>45927.792563692128</v>
      </c>
      <c r="K687" t="s">
        <v>507</v>
      </c>
      <c r="L687">
        <f t="shared" si="10"/>
        <v>686</v>
      </c>
      <c r="M687">
        <f>COUNTIF($A$2:A687,A687)</f>
        <v>6</v>
      </c>
    </row>
    <row r="688" spans="1:13" x14ac:dyDescent="0.3">
      <c r="A688">
        <v>12679</v>
      </c>
      <c r="B688" t="s">
        <v>506</v>
      </c>
      <c r="C688" t="s">
        <v>443</v>
      </c>
      <c r="D688" t="s">
        <v>444</v>
      </c>
      <c r="E688">
        <v>28</v>
      </c>
      <c r="F688">
        <v>16.670000000000002</v>
      </c>
      <c r="G688">
        <v>76.67</v>
      </c>
      <c r="H688">
        <v>6.67</v>
      </c>
      <c r="I688">
        <v>0</v>
      </c>
      <c r="J688" s="1">
        <v>45927.792607465279</v>
      </c>
      <c r="K688" t="s">
        <v>507</v>
      </c>
      <c r="L688">
        <f t="shared" si="10"/>
        <v>687</v>
      </c>
      <c r="M688">
        <f>COUNTIF($A$2:A688,A688)</f>
        <v>7</v>
      </c>
    </row>
    <row r="689" spans="1:13" x14ac:dyDescent="0.3">
      <c r="A689">
        <v>12679</v>
      </c>
      <c r="B689" t="s">
        <v>506</v>
      </c>
      <c r="C689" t="s">
        <v>512</v>
      </c>
      <c r="D689" t="s">
        <v>513</v>
      </c>
      <c r="E689">
        <v>29</v>
      </c>
      <c r="F689">
        <v>16.670000000000002</v>
      </c>
      <c r="G689">
        <v>76.67</v>
      </c>
      <c r="H689">
        <v>6.67</v>
      </c>
      <c r="I689">
        <v>0</v>
      </c>
      <c r="J689" s="1">
        <v>45927.792649212963</v>
      </c>
      <c r="K689" t="s">
        <v>507</v>
      </c>
      <c r="L689">
        <f t="shared" si="10"/>
        <v>688</v>
      </c>
      <c r="M689">
        <f>COUNTIF($A$2:A689,A689)</f>
        <v>8</v>
      </c>
    </row>
    <row r="690" spans="1:13" x14ac:dyDescent="0.3">
      <c r="A690">
        <v>12679</v>
      </c>
      <c r="B690" t="s">
        <v>506</v>
      </c>
      <c r="C690" t="s">
        <v>23</v>
      </c>
      <c r="D690" t="s">
        <v>24</v>
      </c>
      <c r="E690">
        <v>22</v>
      </c>
      <c r="F690">
        <v>36.67</v>
      </c>
      <c r="G690">
        <v>56.67</v>
      </c>
      <c r="H690">
        <v>6.67</v>
      </c>
      <c r="I690">
        <v>0</v>
      </c>
      <c r="J690" s="1">
        <v>45927.792691631941</v>
      </c>
      <c r="K690" t="s">
        <v>507</v>
      </c>
      <c r="L690">
        <f t="shared" si="10"/>
        <v>689</v>
      </c>
      <c r="M690">
        <f>COUNTIF($A$2:A690,A690)</f>
        <v>9</v>
      </c>
    </row>
    <row r="691" spans="1:13" x14ac:dyDescent="0.3">
      <c r="A691">
        <v>12679</v>
      </c>
      <c r="B691" t="s">
        <v>506</v>
      </c>
      <c r="C691" t="s">
        <v>25</v>
      </c>
      <c r="D691" t="s">
        <v>26</v>
      </c>
      <c r="E691">
        <v>23</v>
      </c>
      <c r="F691">
        <v>26.67</v>
      </c>
      <c r="G691">
        <v>66.67</v>
      </c>
      <c r="H691">
        <v>6.67</v>
      </c>
      <c r="I691">
        <v>0</v>
      </c>
      <c r="J691" s="1">
        <v>45927.79273494213</v>
      </c>
      <c r="K691" t="s">
        <v>507</v>
      </c>
      <c r="L691">
        <f t="shared" si="10"/>
        <v>690</v>
      </c>
      <c r="M691">
        <f>COUNTIF($A$2:A691,A691)</f>
        <v>10</v>
      </c>
    </row>
    <row r="692" spans="1:13" x14ac:dyDescent="0.3">
      <c r="A692">
        <v>12679</v>
      </c>
      <c r="B692" t="s">
        <v>506</v>
      </c>
      <c r="C692" t="s">
        <v>27</v>
      </c>
      <c r="D692" t="s">
        <v>28</v>
      </c>
      <c r="E692">
        <v>28</v>
      </c>
      <c r="F692">
        <v>23.33</v>
      </c>
      <c r="G692">
        <v>66.67</v>
      </c>
      <c r="H692">
        <v>10</v>
      </c>
      <c r="I692">
        <v>0</v>
      </c>
      <c r="J692" s="1">
        <v>45927.79275119213</v>
      </c>
      <c r="K692" t="s">
        <v>507</v>
      </c>
      <c r="L692">
        <f t="shared" si="10"/>
        <v>691</v>
      </c>
      <c r="M692">
        <f>COUNTIF($A$2:A692,A692)</f>
        <v>11</v>
      </c>
    </row>
    <row r="693" spans="1:13" x14ac:dyDescent="0.3">
      <c r="A693">
        <v>12679</v>
      </c>
      <c r="B693" t="s">
        <v>506</v>
      </c>
      <c r="C693" t="s">
        <v>29</v>
      </c>
      <c r="D693" t="s">
        <v>30</v>
      </c>
      <c r="E693">
        <v>28</v>
      </c>
      <c r="F693">
        <v>16.670000000000002</v>
      </c>
      <c r="G693">
        <v>76.67</v>
      </c>
      <c r="H693">
        <v>6.67</v>
      </c>
      <c r="I693">
        <v>0</v>
      </c>
      <c r="J693" s="1">
        <v>45927.792791527776</v>
      </c>
      <c r="K693" t="s">
        <v>507</v>
      </c>
      <c r="L693">
        <f t="shared" si="10"/>
        <v>692</v>
      </c>
      <c r="M693">
        <f>COUNTIF($A$2:A693,A693)</f>
        <v>12</v>
      </c>
    </row>
    <row r="694" spans="1:13" x14ac:dyDescent="0.3">
      <c r="A694">
        <v>12679</v>
      </c>
      <c r="B694" t="s">
        <v>506</v>
      </c>
      <c r="C694" t="s">
        <v>31</v>
      </c>
      <c r="D694" t="s">
        <v>32</v>
      </c>
      <c r="E694">
        <v>1</v>
      </c>
      <c r="F694">
        <v>90</v>
      </c>
      <c r="G694">
        <v>10</v>
      </c>
      <c r="H694">
        <v>0</v>
      </c>
      <c r="I694">
        <v>0</v>
      </c>
      <c r="J694" s="1">
        <v>45927.792812604166</v>
      </c>
      <c r="K694" t="s">
        <v>507</v>
      </c>
      <c r="L694">
        <f t="shared" si="10"/>
        <v>693</v>
      </c>
      <c r="M694">
        <f>COUNTIF($A$2:A694,A694)</f>
        <v>13</v>
      </c>
    </row>
    <row r="695" spans="1:13" x14ac:dyDescent="0.3">
      <c r="A695">
        <v>12680</v>
      </c>
      <c r="B695" t="s">
        <v>506</v>
      </c>
      <c r="C695" t="s">
        <v>31</v>
      </c>
      <c r="D695" t="s">
        <v>32</v>
      </c>
      <c r="E695">
        <v>1</v>
      </c>
      <c r="F695">
        <v>100</v>
      </c>
      <c r="G695">
        <v>0</v>
      </c>
      <c r="H695">
        <v>0</v>
      </c>
      <c r="I695">
        <v>0</v>
      </c>
      <c r="J695" s="1">
        <v>45927.792844675925</v>
      </c>
      <c r="K695" t="s">
        <v>514</v>
      </c>
      <c r="L695">
        <f t="shared" si="10"/>
        <v>694</v>
      </c>
      <c r="M695">
        <f>COUNTIF($A$2:A695,A695)</f>
        <v>1</v>
      </c>
    </row>
    <row r="696" spans="1:13" x14ac:dyDescent="0.3">
      <c r="A696">
        <v>12680</v>
      </c>
      <c r="B696" t="s">
        <v>506</v>
      </c>
      <c r="C696" t="s">
        <v>27</v>
      </c>
      <c r="D696" t="s">
        <v>28</v>
      </c>
      <c r="E696">
        <v>3</v>
      </c>
      <c r="F696">
        <v>100</v>
      </c>
      <c r="G696">
        <v>0</v>
      </c>
      <c r="H696">
        <v>0</v>
      </c>
      <c r="I696">
        <v>0</v>
      </c>
      <c r="J696" s="1">
        <v>45927.792861898146</v>
      </c>
      <c r="K696" t="s">
        <v>514</v>
      </c>
      <c r="L696">
        <f t="shared" si="10"/>
        <v>695</v>
      </c>
      <c r="M696">
        <f>COUNTIF($A$2:A696,A696)</f>
        <v>2</v>
      </c>
    </row>
    <row r="697" spans="1:13" x14ac:dyDescent="0.3">
      <c r="A697">
        <v>12680</v>
      </c>
      <c r="B697" t="s">
        <v>506</v>
      </c>
      <c r="C697" t="s">
        <v>25</v>
      </c>
      <c r="D697" t="s">
        <v>26</v>
      </c>
      <c r="E697">
        <v>6</v>
      </c>
      <c r="F697">
        <v>96.67</v>
      </c>
      <c r="G697">
        <v>3.33</v>
      </c>
      <c r="H697">
        <v>0</v>
      </c>
      <c r="I697">
        <v>0</v>
      </c>
      <c r="J697" s="1">
        <v>45927.792903993053</v>
      </c>
      <c r="K697" t="s">
        <v>514</v>
      </c>
      <c r="L697">
        <f t="shared" si="10"/>
        <v>696</v>
      </c>
      <c r="M697">
        <f>COUNTIF($A$2:A697,A697)</f>
        <v>3</v>
      </c>
    </row>
    <row r="698" spans="1:13" x14ac:dyDescent="0.3">
      <c r="A698">
        <v>12680</v>
      </c>
      <c r="B698" t="s">
        <v>506</v>
      </c>
      <c r="C698" t="s">
        <v>23</v>
      </c>
      <c r="D698" t="s">
        <v>24</v>
      </c>
      <c r="E698">
        <v>7</v>
      </c>
      <c r="F698">
        <v>86.67</v>
      </c>
      <c r="G698">
        <v>13.33</v>
      </c>
      <c r="H698">
        <v>0</v>
      </c>
      <c r="I698">
        <v>0</v>
      </c>
      <c r="J698" s="1">
        <v>45927.792944849534</v>
      </c>
      <c r="K698" t="s">
        <v>514</v>
      </c>
      <c r="L698">
        <f t="shared" si="10"/>
        <v>697</v>
      </c>
      <c r="M698">
        <f>COUNTIF($A$2:A698,A698)</f>
        <v>4</v>
      </c>
    </row>
    <row r="699" spans="1:13" x14ac:dyDescent="0.3">
      <c r="A699">
        <v>12680</v>
      </c>
      <c r="B699" t="s">
        <v>506</v>
      </c>
      <c r="C699" t="s">
        <v>512</v>
      </c>
      <c r="D699" t="s">
        <v>513</v>
      </c>
      <c r="E699">
        <v>5</v>
      </c>
      <c r="F699">
        <v>93.33</v>
      </c>
      <c r="G699">
        <v>6.67</v>
      </c>
      <c r="H699">
        <v>0</v>
      </c>
      <c r="I699">
        <v>0</v>
      </c>
      <c r="J699" s="1">
        <v>45927.79298972222</v>
      </c>
      <c r="K699" t="s">
        <v>514</v>
      </c>
      <c r="L699">
        <f t="shared" si="10"/>
        <v>698</v>
      </c>
      <c r="M699">
        <f>COUNTIF($A$2:A699,A699)</f>
        <v>5</v>
      </c>
    </row>
    <row r="700" spans="1:13" x14ac:dyDescent="0.3">
      <c r="A700">
        <v>12680</v>
      </c>
      <c r="B700" t="s">
        <v>506</v>
      </c>
      <c r="C700" t="s">
        <v>443</v>
      </c>
      <c r="D700" t="s">
        <v>444</v>
      </c>
      <c r="E700">
        <v>4</v>
      </c>
      <c r="F700">
        <v>93.33</v>
      </c>
      <c r="G700">
        <v>6.67</v>
      </c>
      <c r="H700">
        <v>0</v>
      </c>
      <c r="I700">
        <v>0</v>
      </c>
      <c r="J700" s="1">
        <v>45927.793034016206</v>
      </c>
      <c r="K700" t="s">
        <v>514</v>
      </c>
      <c r="L700">
        <f t="shared" si="10"/>
        <v>699</v>
      </c>
      <c r="M700">
        <f>COUNTIF($A$2:A700,A700)</f>
        <v>6</v>
      </c>
    </row>
    <row r="701" spans="1:13" x14ac:dyDescent="0.3">
      <c r="A701">
        <v>12680</v>
      </c>
      <c r="B701" t="s">
        <v>506</v>
      </c>
      <c r="C701" t="s">
        <v>510</v>
      </c>
      <c r="D701" t="s">
        <v>511</v>
      </c>
      <c r="E701">
        <v>6</v>
      </c>
      <c r="F701">
        <v>93.33</v>
      </c>
      <c r="G701">
        <v>6.67</v>
      </c>
      <c r="H701">
        <v>0</v>
      </c>
      <c r="I701">
        <v>0</v>
      </c>
      <c r="J701" s="1">
        <v>45927.79307792824</v>
      </c>
      <c r="K701" t="s">
        <v>514</v>
      </c>
      <c r="L701">
        <f t="shared" si="10"/>
        <v>700</v>
      </c>
      <c r="M701">
        <f>COUNTIF($A$2:A701,A701)</f>
        <v>7</v>
      </c>
    </row>
    <row r="702" spans="1:13" x14ac:dyDescent="0.3">
      <c r="A702">
        <v>12680</v>
      </c>
      <c r="B702" t="s">
        <v>506</v>
      </c>
      <c r="C702" t="s">
        <v>21</v>
      </c>
      <c r="D702" t="s">
        <v>22</v>
      </c>
      <c r="E702">
        <v>4</v>
      </c>
      <c r="F702">
        <v>93.33</v>
      </c>
      <c r="G702">
        <v>6.67</v>
      </c>
      <c r="H702">
        <v>0</v>
      </c>
      <c r="I702">
        <v>0</v>
      </c>
      <c r="J702" s="1">
        <v>45927.793118217596</v>
      </c>
      <c r="K702" t="s">
        <v>514</v>
      </c>
      <c r="L702">
        <f t="shared" si="10"/>
        <v>701</v>
      </c>
      <c r="M702">
        <f>COUNTIF($A$2:A702,A702)</f>
        <v>8</v>
      </c>
    </row>
    <row r="703" spans="1:13" x14ac:dyDescent="0.3">
      <c r="A703">
        <v>12680</v>
      </c>
      <c r="B703" t="s">
        <v>506</v>
      </c>
      <c r="C703" t="s">
        <v>508</v>
      </c>
      <c r="D703" t="s">
        <v>509</v>
      </c>
      <c r="E703">
        <v>7</v>
      </c>
      <c r="F703">
        <v>90</v>
      </c>
      <c r="G703">
        <v>10</v>
      </c>
      <c r="H703">
        <v>0</v>
      </c>
      <c r="I703">
        <v>0</v>
      </c>
      <c r="J703" s="1">
        <v>45927.793134502317</v>
      </c>
      <c r="K703" t="s">
        <v>514</v>
      </c>
      <c r="L703">
        <f t="shared" si="10"/>
        <v>702</v>
      </c>
      <c r="M703">
        <f>COUNTIF($A$2:A703,A703)</f>
        <v>9</v>
      </c>
    </row>
    <row r="704" spans="1:13" x14ac:dyDescent="0.3">
      <c r="A704">
        <v>12680</v>
      </c>
      <c r="B704" t="s">
        <v>506</v>
      </c>
      <c r="C704" t="s">
        <v>19</v>
      </c>
      <c r="D704" t="s">
        <v>20</v>
      </c>
      <c r="E704">
        <v>6</v>
      </c>
      <c r="F704">
        <v>93.33</v>
      </c>
      <c r="G704">
        <v>6.67</v>
      </c>
      <c r="H704">
        <v>0</v>
      </c>
      <c r="I704">
        <v>0</v>
      </c>
      <c r="J704" s="1">
        <v>45927.793174907405</v>
      </c>
      <c r="K704" t="s">
        <v>514</v>
      </c>
      <c r="L704">
        <f t="shared" si="10"/>
        <v>703</v>
      </c>
      <c r="M704">
        <f>COUNTIF($A$2:A704,A704)</f>
        <v>10</v>
      </c>
    </row>
    <row r="705" spans="1:13" x14ac:dyDescent="0.3">
      <c r="A705">
        <v>12680</v>
      </c>
      <c r="B705" t="s">
        <v>506</v>
      </c>
      <c r="C705" t="s">
        <v>17</v>
      </c>
      <c r="D705" t="s">
        <v>18</v>
      </c>
      <c r="E705">
        <v>6</v>
      </c>
      <c r="F705">
        <v>96.67</v>
      </c>
      <c r="G705">
        <v>3.33</v>
      </c>
      <c r="H705">
        <v>0</v>
      </c>
      <c r="I705">
        <v>0</v>
      </c>
      <c r="J705" s="1">
        <v>45927.793216840277</v>
      </c>
      <c r="K705" t="s">
        <v>514</v>
      </c>
      <c r="L705">
        <f t="shared" si="10"/>
        <v>704</v>
      </c>
      <c r="M705">
        <f>COUNTIF($A$2:A705,A705)</f>
        <v>11</v>
      </c>
    </row>
    <row r="706" spans="1:13" x14ac:dyDescent="0.3">
      <c r="A706">
        <v>12680</v>
      </c>
      <c r="B706" t="s">
        <v>506</v>
      </c>
      <c r="C706" t="s">
        <v>34</v>
      </c>
      <c r="D706" t="s">
        <v>35</v>
      </c>
      <c r="E706">
        <v>12</v>
      </c>
      <c r="F706">
        <v>76.67</v>
      </c>
      <c r="G706">
        <v>23.33</v>
      </c>
      <c r="H706">
        <v>0</v>
      </c>
      <c r="I706">
        <v>0</v>
      </c>
      <c r="J706" s="1">
        <v>45927.793235625002</v>
      </c>
      <c r="K706" t="s">
        <v>514</v>
      </c>
      <c r="L706">
        <f t="shared" ref="L706:L769" si="11">ROW()-1</f>
        <v>705</v>
      </c>
      <c r="M706">
        <f>COUNTIF($A$2:A706,A706)</f>
        <v>12</v>
      </c>
    </row>
    <row r="707" spans="1:13" x14ac:dyDescent="0.3">
      <c r="A707">
        <v>12680</v>
      </c>
      <c r="B707" t="s">
        <v>506</v>
      </c>
      <c r="C707" t="s">
        <v>12</v>
      </c>
      <c r="D707" t="s">
        <v>13</v>
      </c>
      <c r="E707">
        <v>2</v>
      </c>
      <c r="F707">
        <v>100</v>
      </c>
      <c r="G707">
        <v>0</v>
      </c>
      <c r="H707">
        <v>0</v>
      </c>
      <c r="I707">
        <v>0</v>
      </c>
      <c r="J707" s="1">
        <v>45927.793251099538</v>
      </c>
      <c r="K707" t="s">
        <v>514</v>
      </c>
      <c r="L707">
        <f t="shared" si="11"/>
        <v>706</v>
      </c>
      <c r="M707">
        <f>COUNTIF($A$2:A707,A707)</f>
        <v>13</v>
      </c>
    </row>
    <row r="708" spans="1:13" x14ac:dyDescent="0.3">
      <c r="A708">
        <v>12925</v>
      </c>
      <c r="B708" t="s">
        <v>515</v>
      </c>
      <c r="C708" t="s">
        <v>327</v>
      </c>
      <c r="D708" t="s">
        <v>328</v>
      </c>
      <c r="E708">
        <v>1</v>
      </c>
      <c r="F708">
        <v>22.74</v>
      </c>
      <c r="G708">
        <v>0</v>
      </c>
      <c r="H708">
        <v>0</v>
      </c>
      <c r="I708">
        <v>77.260000000000005</v>
      </c>
      <c r="J708" s="1">
        <v>45928.060096631947</v>
      </c>
      <c r="K708" t="s">
        <v>516</v>
      </c>
      <c r="L708">
        <f t="shared" si="11"/>
        <v>707</v>
      </c>
      <c r="M708">
        <f>COUNTIF($A$2:A708,A708)</f>
        <v>1</v>
      </c>
    </row>
    <row r="709" spans="1:13" x14ac:dyDescent="0.3">
      <c r="A709">
        <v>12925</v>
      </c>
      <c r="B709" t="s">
        <v>515</v>
      </c>
      <c r="C709" t="s">
        <v>287</v>
      </c>
      <c r="D709" t="s">
        <v>288</v>
      </c>
      <c r="E709">
        <v>4</v>
      </c>
      <c r="F709">
        <v>74.790000000000006</v>
      </c>
      <c r="G709">
        <v>2.4700000000000002</v>
      </c>
      <c r="H709">
        <v>0</v>
      </c>
      <c r="I709">
        <v>22.74</v>
      </c>
      <c r="J709" s="1">
        <v>45928.06011327546</v>
      </c>
      <c r="K709" t="s">
        <v>516</v>
      </c>
      <c r="L709">
        <f t="shared" si="11"/>
        <v>708</v>
      </c>
      <c r="M709">
        <f>COUNTIF($A$2:A709,A709)</f>
        <v>2</v>
      </c>
    </row>
    <row r="710" spans="1:13" x14ac:dyDescent="0.3">
      <c r="A710">
        <v>12925</v>
      </c>
      <c r="B710" t="s">
        <v>515</v>
      </c>
      <c r="C710" t="s">
        <v>290</v>
      </c>
      <c r="D710" t="s">
        <v>291</v>
      </c>
      <c r="E710">
        <v>16</v>
      </c>
      <c r="F710">
        <v>56.99</v>
      </c>
      <c r="G710">
        <v>43.01</v>
      </c>
      <c r="H710">
        <v>0</v>
      </c>
      <c r="I710">
        <v>0</v>
      </c>
      <c r="J710" s="1">
        <v>45928.060131041668</v>
      </c>
      <c r="K710" t="s">
        <v>516</v>
      </c>
      <c r="L710">
        <f t="shared" si="11"/>
        <v>709</v>
      </c>
      <c r="M710">
        <f>COUNTIF($A$2:A710,A710)</f>
        <v>3</v>
      </c>
    </row>
    <row r="711" spans="1:13" x14ac:dyDescent="0.3">
      <c r="A711">
        <v>12925</v>
      </c>
      <c r="B711" t="s">
        <v>515</v>
      </c>
      <c r="C711" t="s">
        <v>517</v>
      </c>
      <c r="D711" t="s">
        <v>518</v>
      </c>
      <c r="E711">
        <v>19</v>
      </c>
      <c r="F711">
        <v>44.11</v>
      </c>
      <c r="G711">
        <v>55.07</v>
      </c>
      <c r="H711">
        <v>0.82</v>
      </c>
      <c r="I711">
        <v>0</v>
      </c>
      <c r="J711" s="1">
        <v>45928.060172013887</v>
      </c>
      <c r="K711" t="s">
        <v>516</v>
      </c>
      <c r="L711">
        <f t="shared" si="11"/>
        <v>710</v>
      </c>
      <c r="M711">
        <f>COUNTIF($A$2:A711,A711)</f>
        <v>4</v>
      </c>
    </row>
    <row r="712" spans="1:13" x14ac:dyDescent="0.3">
      <c r="A712">
        <v>12925</v>
      </c>
      <c r="B712" t="s">
        <v>515</v>
      </c>
      <c r="C712" t="s">
        <v>519</v>
      </c>
      <c r="D712" t="s">
        <v>519</v>
      </c>
      <c r="E712">
        <v>24</v>
      </c>
      <c r="F712">
        <v>29.59</v>
      </c>
      <c r="G712">
        <v>68.77</v>
      </c>
      <c r="H712">
        <v>1.64</v>
      </c>
      <c r="I712">
        <v>0</v>
      </c>
      <c r="J712" s="1">
        <v>45928.060212569442</v>
      </c>
      <c r="K712" t="s">
        <v>516</v>
      </c>
      <c r="L712">
        <f t="shared" si="11"/>
        <v>711</v>
      </c>
      <c r="M712">
        <f>COUNTIF($A$2:A712,A712)</f>
        <v>5</v>
      </c>
    </row>
    <row r="713" spans="1:13" x14ac:dyDescent="0.3">
      <c r="A713">
        <v>12925</v>
      </c>
      <c r="B713" t="s">
        <v>515</v>
      </c>
      <c r="C713" t="s">
        <v>520</v>
      </c>
      <c r="D713" t="s">
        <v>521</v>
      </c>
      <c r="E713">
        <v>30</v>
      </c>
      <c r="F713">
        <v>14.52</v>
      </c>
      <c r="G713">
        <v>82.19</v>
      </c>
      <c r="H713">
        <v>3.29</v>
      </c>
      <c r="I713">
        <v>0</v>
      </c>
      <c r="J713" s="1">
        <v>45928.060257511577</v>
      </c>
      <c r="K713" t="s">
        <v>516</v>
      </c>
      <c r="L713">
        <f t="shared" si="11"/>
        <v>712</v>
      </c>
      <c r="M713">
        <f>COUNTIF($A$2:A713,A713)</f>
        <v>6</v>
      </c>
    </row>
    <row r="714" spans="1:13" x14ac:dyDescent="0.3">
      <c r="A714">
        <v>12925</v>
      </c>
      <c r="B714" t="s">
        <v>515</v>
      </c>
      <c r="C714" t="s">
        <v>522</v>
      </c>
      <c r="D714" t="s">
        <v>523</v>
      </c>
      <c r="F714">
        <v>14.79</v>
      </c>
      <c r="G714">
        <v>82.74</v>
      </c>
      <c r="H714">
        <v>2.4700000000000002</v>
      </c>
      <c r="I714">
        <v>0</v>
      </c>
      <c r="J714" s="1">
        <v>45928.060291284724</v>
      </c>
      <c r="K714" t="s">
        <v>516</v>
      </c>
      <c r="L714">
        <f t="shared" si="11"/>
        <v>713</v>
      </c>
      <c r="M714">
        <f>COUNTIF($A$2:A714,A714)</f>
        <v>7</v>
      </c>
    </row>
    <row r="715" spans="1:13" x14ac:dyDescent="0.3">
      <c r="A715">
        <v>12925</v>
      </c>
      <c r="B715" t="s">
        <v>515</v>
      </c>
      <c r="C715" t="s">
        <v>292</v>
      </c>
      <c r="D715" t="s">
        <v>293</v>
      </c>
      <c r="E715">
        <v>10</v>
      </c>
      <c r="F715">
        <v>89.04</v>
      </c>
      <c r="G715">
        <v>9.59</v>
      </c>
      <c r="H715">
        <v>1.37</v>
      </c>
      <c r="I715">
        <v>0</v>
      </c>
      <c r="J715" s="1">
        <v>45928.060333437497</v>
      </c>
      <c r="K715" t="s">
        <v>516</v>
      </c>
      <c r="L715">
        <f t="shared" si="11"/>
        <v>714</v>
      </c>
      <c r="M715">
        <f>COUNTIF($A$2:A715,A715)</f>
        <v>8</v>
      </c>
    </row>
    <row r="716" spans="1:13" x14ac:dyDescent="0.3">
      <c r="A716">
        <v>12925</v>
      </c>
      <c r="B716" t="s">
        <v>515</v>
      </c>
      <c r="C716" t="s">
        <v>524</v>
      </c>
      <c r="D716" t="s">
        <v>525</v>
      </c>
      <c r="E716">
        <v>15</v>
      </c>
      <c r="F716">
        <v>68.22</v>
      </c>
      <c r="G716">
        <v>29.59</v>
      </c>
      <c r="H716">
        <v>2.19</v>
      </c>
      <c r="I716">
        <v>0</v>
      </c>
      <c r="J716" s="1">
        <v>45928.060375266206</v>
      </c>
      <c r="K716" t="s">
        <v>516</v>
      </c>
      <c r="L716">
        <f t="shared" si="11"/>
        <v>715</v>
      </c>
      <c r="M716">
        <f>COUNTIF($A$2:A716,A716)</f>
        <v>9</v>
      </c>
    </row>
    <row r="717" spans="1:13" x14ac:dyDescent="0.3">
      <c r="A717">
        <v>12925</v>
      </c>
      <c r="B717" t="s">
        <v>515</v>
      </c>
      <c r="C717" t="s">
        <v>294</v>
      </c>
      <c r="D717" t="s">
        <v>295</v>
      </c>
      <c r="F717">
        <v>88.49</v>
      </c>
      <c r="G717">
        <v>9.59</v>
      </c>
      <c r="H717">
        <v>1.92</v>
      </c>
      <c r="I717">
        <v>0</v>
      </c>
      <c r="J717" s="1">
        <v>45928.060405694443</v>
      </c>
      <c r="K717" t="s">
        <v>516</v>
      </c>
      <c r="L717">
        <f t="shared" si="11"/>
        <v>716</v>
      </c>
      <c r="M717">
        <f>COUNTIF($A$2:A717,A717)</f>
        <v>10</v>
      </c>
    </row>
    <row r="718" spans="1:13" x14ac:dyDescent="0.3">
      <c r="A718">
        <v>12925</v>
      </c>
      <c r="B718" t="s">
        <v>515</v>
      </c>
      <c r="C718" t="s">
        <v>330</v>
      </c>
      <c r="D718" t="s">
        <v>331</v>
      </c>
      <c r="F718">
        <v>95.07</v>
      </c>
      <c r="G718">
        <v>3.56</v>
      </c>
      <c r="H718">
        <v>1.37</v>
      </c>
      <c r="I718">
        <v>0</v>
      </c>
      <c r="J718" s="1">
        <v>45928.060441805559</v>
      </c>
      <c r="K718" t="s">
        <v>516</v>
      </c>
      <c r="L718">
        <f t="shared" si="11"/>
        <v>717</v>
      </c>
      <c r="M718">
        <f>COUNTIF($A$2:A718,A718)</f>
        <v>11</v>
      </c>
    </row>
    <row r="719" spans="1:13" x14ac:dyDescent="0.3">
      <c r="A719">
        <v>12925</v>
      </c>
      <c r="B719" t="s">
        <v>515</v>
      </c>
      <c r="C719" t="s">
        <v>332</v>
      </c>
      <c r="D719" t="s">
        <v>333</v>
      </c>
      <c r="F719">
        <v>81.64</v>
      </c>
      <c r="G719">
        <v>16.71</v>
      </c>
      <c r="H719">
        <v>1.64</v>
      </c>
      <c r="I719">
        <v>0</v>
      </c>
      <c r="J719" s="1">
        <v>45928.060478101848</v>
      </c>
      <c r="K719" t="s">
        <v>516</v>
      </c>
      <c r="L719">
        <f t="shared" si="11"/>
        <v>718</v>
      </c>
      <c r="M719">
        <f>COUNTIF($A$2:A719,A719)</f>
        <v>12</v>
      </c>
    </row>
    <row r="720" spans="1:13" x14ac:dyDescent="0.3">
      <c r="A720">
        <v>12925</v>
      </c>
      <c r="B720" t="s">
        <v>515</v>
      </c>
      <c r="C720" t="s">
        <v>334</v>
      </c>
      <c r="D720" t="s">
        <v>335</v>
      </c>
      <c r="E720">
        <v>12</v>
      </c>
      <c r="F720">
        <v>80.55</v>
      </c>
      <c r="G720">
        <v>17.53</v>
      </c>
      <c r="H720">
        <v>1.92</v>
      </c>
      <c r="I720">
        <v>0</v>
      </c>
      <c r="J720" s="1">
        <v>45928.060524791668</v>
      </c>
      <c r="K720" t="s">
        <v>516</v>
      </c>
      <c r="L720">
        <f t="shared" si="11"/>
        <v>719</v>
      </c>
      <c r="M720">
        <f>COUNTIF($A$2:A720,A720)</f>
        <v>13</v>
      </c>
    </row>
    <row r="721" spans="1:13" x14ac:dyDescent="0.3">
      <c r="A721">
        <v>12925</v>
      </c>
      <c r="B721" t="s">
        <v>515</v>
      </c>
      <c r="C721" t="s">
        <v>296</v>
      </c>
      <c r="D721" t="s">
        <v>297</v>
      </c>
      <c r="E721">
        <v>13</v>
      </c>
      <c r="F721">
        <v>80.27</v>
      </c>
      <c r="G721">
        <v>17.809999999999999</v>
      </c>
      <c r="H721">
        <v>1.92</v>
      </c>
      <c r="I721">
        <v>0</v>
      </c>
      <c r="J721" s="1">
        <v>45928.060569837966</v>
      </c>
      <c r="K721" t="s">
        <v>516</v>
      </c>
      <c r="L721">
        <f t="shared" si="11"/>
        <v>720</v>
      </c>
      <c r="M721">
        <f>COUNTIF($A$2:A721,A721)</f>
        <v>14</v>
      </c>
    </row>
    <row r="722" spans="1:13" x14ac:dyDescent="0.3">
      <c r="A722">
        <v>12925</v>
      </c>
      <c r="B722" t="s">
        <v>515</v>
      </c>
      <c r="C722" t="s">
        <v>526</v>
      </c>
      <c r="D722" t="s">
        <v>527</v>
      </c>
      <c r="E722">
        <v>13</v>
      </c>
      <c r="F722">
        <v>73.97</v>
      </c>
      <c r="G722">
        <v>24.38</v>
      </c>
      <c r="H722">
        <v>1.37</v>
      </c>
      <c r="I722">
        <v>0.28000000000000003</v>
      </c>
      <c r="J722" s="1">
        <v>45928.060592662034</v>
      </c>
      <c r="K722" t="s">
        <v>516</v>
      </c>
      <c r="L722">
        <f t="shared" si="11"/>
        <v>721</v>
      </c>
      <c r="M722">
        <f>COUNTIF($A$2:A722,A722)</f>
        <v>15</v>
      </c>
    </row>
    <row r="723" spans="1:13" x14ac:dyDescent="0.3">
      <c r="A723">
        <v>12925</v>
      </c>
      <c r="B723" t="s">
        <v>515</v>
      </c>
      <c r="C723" t="s">
        <v>298</v>
      </c>
      <c r="D723" t="s">
        <v>299</v>
      </c>
      <c r="E723">
        <v>7</v>
      </c>
      <c r="F723">
        <v>96.99</v>
      </c>
      <c r="G723">
        <v>1.64</v>
      </c>
      <c r="H723">
        <v>1.37</v>
      </c>
      <c r="I723">
        <v>0</v>
      </c>
      <c r="J723" s="1">
        <v>45928.060640439813</v>
      </c>
      <c r="K723" t="s">
        <v>516</v>
      </c>
      <c r="L723">
        <f t="shared" si="11"/>
        <v>722</v>
      </c>
      <c r="M723">
        <f>COUNTIF($A$2:A723,A723)</f>
        <v>16</v>
      </c>
    </row>
    <row r="724" spans="1:13" x14ac:dyDescent="0.3">
      <c r="A724">
        <v>12925</v>
      </c>
      <c r="B724" t="s">
        <v>515</v>
      </c>
      <c r="C724" t="s">
        <v>336</v>
      </c>
      <c r="D724" t="s">
        <v>337</v>
      </c>
      <c r="F724">
        <v>93.42</v>
      </c>
      <c r="G724">
        <v>4.93</v>
      </c>
      <c r="H724">
        <v>1.64</v>
      </c>
      <c r="I724">
        <v>0</v>
      </c>
      <c r="J724" s="1">
        <v>45928.060681273149</v>
      </c>
      <c r="K724" t="s">
        <v>516</v>
      </c>
      <c r="L724">
        <f t="shared" si="11"/>
        <v>723</v>
      </c>
      <c r="M724">
        <f>COUNTIF($A$2:A724,A724)</f>
        <v>17</v>
      </c>
    </row>
    <row r="725" spans="1:13" x14ac:dyDescent="0.3">
      <c r="A725">
        <v>12925</v>
      </c>
      <c r="B725" t="s">
        <v>515</v>
      </c>
      <c r="C725" t="s">
        <v>340</v>
      </c>
      <c r="D725" t="s">
        <v>341</v>
      </c>
      <c r="E725">
        <v>10</v>
      </c>
      <c r="F725">
        <v>92.05</v>
      </c>
      <c r="G725">
        <v>6.03</v>
      </c>
      <c r="H725">
        <v>1.92</v>
      </c>
      <c r="I725">
        <v>0</v>
      </c>
      <c r="J725" s="1">
        <v>45928.060723831019</v>
      </c>
      <c r="K725" t="s">
        <v>516</v>
      </c>
      <c r="L725">
        <f t="shared" si="11"/>
        <v>724</v>
      </c>
      <c r="M725">
        <f>COUNTIF($A$2:A725,A725)</f>
        <v>18</v>
      </c>
    </row>
    <row r="726" spans="1:13" x14ac:dyDescent="0.3">
      <c r="A726">
        <v>12925</v>
      </c>
      <c r="B726" t="s">
        <v>515</v>
      </c>
      <c r="C726" t="s">
        <v>300</v>
      </c>
      <c r="D726" t="s">
        <v>301</v>
      </c>
      <c r="E726">
        <v>11</v>
      </c>
      <c r="F726">
        <v>85.48</v>
      </c>
      <c r="G726">
        <v>12.05</v>
      </c>
      <c r="H726">
        <v>2.4700000000000002</v>
      </c>
      <c r="I726">
        <v>0</v>
      </c>
      <c r="J726" s="1">
        <v>45928.060767916664</v>
      </c>
      <c r="K726" t="s">
        <v>516</v>
      </c>
      <c r="L726">
        <f t="shared" si="11"/>
        <v>725</v>
      </c>
      <c r="M726">
        <f>COUNTIF($A$2:A726,A726)</f>
        <v>19</v>
      </c>
    </row>
    <row r="727" spans="1:13" x14ac:dyDescent="0.3">
      <c r="A727">
        <v>12925</v>
      </c>
      <c r="B727" t="s">
        <v>515</v>
      </c>
      <c r="C727" t="s">
        <v>342</v>
      </c>
      <c r="D727" t="s">
        <v>343</v>
      </c>
      <c r="E727">
        <v>22</v>
      </c>
      <c r="F727">
        <v>50.96</v>
      </c>
      <c r="G727">
        <v>44.38</v>
      </c>
      <c r="H727">
        <v>4.66</v>
      </c>
      <c r="I727">
        <v>0</v>
      </c>
      <c r="J727" s="1">
        <v>45928.060809918985</v>
      </c>
      <c r="K727" t="s">
        <v>516</v>
      </c>
      <c r="L727">
        <f t="shared" si="11"/>
        <v>726</v>
      </c>
      <c r="M727">
        <f>COUNTIF($A$2:A727,A727)</f>
        <v>20</v>
      </c>
    </row>
    <row r="728" spans="1:13" x14ac:dyDescent="0.3">
      <c r="A728">
        <v>12925</v>
      </c>
      <c r="B728" t="s">
        <v>515</v>
      </c>
      <c r="C728" t="s">
        <v>344</v>
      </c>
      <c r="D728" t="s">
        <v>345</v>
      </c>
      <c r="E728">
        <v>13</v>
      </c>
      <c r="F728">
        <v>81.64</v>
      </c>
      <c r="G728">
        <v>14.79</v>
      </c>
      <c r="H728">
        <v>3.56</v>
      </c>
      <c r="I728">
        <v>0.01</v>
      </c>
      <c r="J728" s="1">
        <v>45928.060831331015</v>
      </c>
      <c r="K728" t="s">
        <v>516</v>
      </c>
      <c r="L728">
        <f t="shared" si="11"/>
        <v>727</v>
      </c>
      <c r="M728">
        <f>COUNTIF($A$2:A728,A728)</f>
        <v>21</v>
      </c>
    </row>
    <row r="729" spans="1:13" x14ac:dyDescent="0.3">
      <c r="A729">
        <v>12925</v>
      </c>
      <c r="B729" t="s">
        <v>515</v>
      </c>
      <c r="C729" t="s">
        <v>346</v>
      </c>
      <c r="D729" t="s">
        <v>347</v>
      </c>
      <c r="F729">
        <v>1.64</v>
      </c>
      <c r="G729">
        <v>0.55000000000000004</v>
      </c>
      <c r="H729">
        <v>0</v>
      </c>
      <c r="I729">
        <v>97.81</v>
      </c>
      <c r="J729" s="1">
        <v>45928.060865763888</v>
      </c>
      <c r="K729" t="s">
        <v>516</v>
      </c>
      <c r="L729">
        <f t="shared" si="11"/>
        <v>728</v>
      </c>
      <c r="M729">
        <f>COUNTIF($A$2:A729,A729)</f>
        <v>22</v>
      </c>
    </row>
    <row r="730" spans="1:13" x14ac:dyDescent="0.3">
      <c r="A730">
        <v>12925</v>
      </c>
      <c r="B730" t="s">
        <v>515</v>
      </c>
      <c r="C730" t="s">
        <v>348</v>
      </c>
      <c r="D730" t="s">
        <v>349</v>
      </c>
      <c r="E730">
        <v>17</v>
      </c>
      <c r="F730">
        <v>70.41</v>
      </c>
      <c r="G730">
        <v>25.48</v>
      </c>
      <c r="H730">
        <v>4.1100000000000003</v>
      </c>
      <c r="I730">
        <v>0</v>
      </c>
      <c r="J730" s="1">
        <v>45928.06090960648</v>
      </c>
      <c r="K730" t="s">
        <v>516</v>
      </c>
      <c r="L730">
        <f t="shared" si="11"/>
        <v>729</v>
      </c>
      <c r="M730">
        <f>COUNTIF($A$2:A730,A730)</f>
        <v>23</v>
      </c>
    </row>
    <row r="731" spans="1:13" x14ac:dyDescent="0.3">
      <c r="A731">
        <v>12925</v>
      </c>
      <c r="B731" t="s">
        <v>515</v>
      </c>
      <c r="C731" t="s">
        <v>350</v>
      </c>
      <c r="D731" t="s">
        <v>351</v>
      </c>
      <c r="E731">
        <v>18</v>
      </c>
      <c r="F731">
        <v>68.489999999999995</v>
      </c>
      <c r="G731">
        <v>27.4</v>
      </c>
      <c r="H731">
        <v>4.1100000000000003</v>
      </c>
      <c r="I731">
        <v>0</v>
      </c>
      <c r="J731" s="1">
        <v>45928.060954780092</v>
      </c>
      <c r="K731" t="s">
        <v>516</v>
      </c>
      <c r="L731">
        <f t="shared" si="11"/>
        <v>730</v>
      </c>
      <c r="M731">
        <f>COUNTIF($A$2:A731,A731)</f>
        <v>24</v>
      </c>
    </row>
    <row r="732" spans="1:13" x14ac:dyDescent="0.3">
      <c r="A732">
        <v>12925</v>
      </c>
      <c r="B732" t="s">
        <v>515</v>
      </c>
      <c r="C732" t="s">
        <v>352</v>
      </c>
      <c r="D732" t="s">
        <v>353</v>
      </c>
      <c r="E732">
        <v>19</v>
      </c>
      <c r="F732">
        <v>55.89</v>
      </c>
      <c r="G732">
        <v>41.37</v>
      </c>
      <c r="H732">
        <v>2.74</v>
      </c>
      <c r="I732">
        <v>0</v>
      </c>
      <c r="J732" s="1">
        <v>45928.060998252316</v>
      </c>
      <c r="K732" t="s">
        <v>516</v>
      </c>
      <c r="L732">
        <f t="shared" si="11"/>
        <v>731</v>
      </c>
      <c r="M732">
        <f>COUNTIF($A$2:A732,A732)</f>
        <v>25</v>
      </c>
    </row>
    <row r="733" spans="1:13" x14ac:dyDescent="0.3">
      <c r="A733">
        <v>12925</v>
      </c>
      <c r="B733" t="s">
        <v>515</v>
      </c>
      <c r="C733" t="s">
        <v>279</v>
      </c>
      <c r="D733" t="s">
        <v>280</v>
      </c>
      <c r="E733">
        <v>10</v>
      </c>
      <c r="F733">
        <v>90.96</v>
      </c>
      <c r="G733">
        <v>7.67</v>
      </c>
      <c r="H733">
        <v>1.37</v>
      </c>
      <c r="I733">
        <v>0</v>
      </c>
      <c r="J733" s="1">
        <v>45928.061039988424</v>
      </c>
      <c r="K733" t="s">
        <v>516</v>
      </c>
      <c r="L733">
        <f t="shared" si="11"/>
        <v>732</v>
      </c>
      <c r="M733">
        <f>COUNTIF($A$2:A733,A733)</f>
        <v>26</v>
      </c>
    </row>
    <row r="734" spans="1:13" x14ac:dyDescent="0.3">
      <c r="A734">
        <v>12925</v>
      </c>
      <c r="B734" t="s">
        <v>515</v>
      </c>
      <c r="C734" t="s">
        <v>281</v>
      </c>
      <c r="D734" t="s">
        <v>282</v>
      </c>
      <c r="F734">
        <v>85.48</v>
      </c>
      <c r="G734">
        <v>11.78</v>
      </c>
      <c r="H734">
        <v>2.74</v>
      </c>
      <c r="I734">
        <v>0</v>
      </c>
      <c r="J734" s="1">
        <v>45928.061073124998</v>
      </c>
      <c r="K734" t="s">
        <v>516</v>
      </c>
      <c r="L734">
        <f t="shared" si="11"/>
        <v>733</v>
      </c>
      <c r="M734">
        <f>COUNTIF($A$2:A734,A734)</f>
        <v>27</v>
      </c>
    </row>
    <row r="735" spans="1:13" x14ac:dyDescent="0.3">
      <c r="A735">
        <v>12925</v>
      </c>
      <c r="B735" t="s">
        <v>515</v>
      </c>
      <c r="C735" t="s">
        <v>108</v>
      </c>
      <c r="D735" t="s">
        <v>109</v>
      </c>
      <c r="E735">
        <v>17</v>
      </c>
      <c r="F735">
        <v>64.38</v>
      </c>
      <c r="G735">
        <v>32.880000000000003</v>
      </c>
      <c r="H735">
        <v>2.74</v>
      </c>
      <c r="I735">
        <v>0</v>
      </c>
      <c r="J735" s="1">
        <v>45928.061115891207</v>
      </c>
      <c r="K735" t="s">
        <v>516</v>
      </c>
      <c r="L735">
        <f t="shared" si="11"/>
        <v>734</v>
      </c>
      <c r="M735">
        <f>COUNTIF($A$2:A735,A735)</f>
        <v>28</v>
      </c>
    </row>
    <row r="736" spans="1:13" x14ac:dyDescent="0.3">
      <c r="A736">
        <v>12925</v>
      </c>
      <c r="B736" t="s">
        <v>515</v>
      </c>
      <c r="C736" t="s">
        <v>110</v>
      </c>
      <c r="D736" t="s">
        <v>111</v>
      </c>
      <c r="E736">
        <v>13</v>
      </c>
      <c r="F736">
        <v>80</v>
      </c>
      <c r="G736">
        <v>16.989999999999998</v>
      </c>
      <c r="H736">
        <v>3.01</v>
      </c>
      <c r="I736">
        <v>0</v>
      </c>
      <c r="J736" s="1">
        <v>45928.061156226853</v>
      </c>
      <c r="K736" t="s">
        <v>516</v>
      </c>
      <c r="L736">
        <f t="shared" si="11"/>
        <v>735</v>
      </c>
      <c r="M736">
        <f>COUNTIF($A$2:A736,A736)</f>
        <v>29</v>
      </c>
    </row>
    <row r="737" spans="1:13" x14ac:dyDescent="0.3">
      <c r="A737">
        <v>12925</v>
      </c>
      <c r="B737" t="s">
        <v>515</v>
      </c>
      <c r="C737" t="s">
        <v>528</v>
      </c>
      <c r="D737" t="s">
        <v>529</v>
      </c>
      <c r="F737">
        <v>67.12</v>
      </c>
      <c r="G737">
        <v>29.86</v>
      </c>
      <c r="H737">
        <v>3.01</v>
      </c>
      <c r="I737">
        <v>0</v>
      </c>
      <c r="J737" s="1">
        <v>45928.061189201391</v>
      </c>
      <c r="K737" t="s">
        <v>516</v>
      </c>
      <c r="L737">
        <f t="shared" si="11"/>
        <v>736</v>
      </c>
      <c r="M737">
        <f>COUNTIF($A$2:A737,A737)</f>
        <v>30</v>
      </c>
    </row>
    <row r="738" spans="1:13" x14ac:dyDescent="0.3">
      <c r="A738">
        <v>12925</v>
      </c>
      <c r="B738" t="s">
        <v>515</v>
      </c>
      <c r="C738" t="s">
        <v>530</v>
      </c>
      <c r="D738" t="s">
        <v>531</v>
      </c>
      <c r="E738">
        <v>21</v>
      </c>
      <c r="F738">
        <v>53.97</v>
      </c>
      <c r="G738">
        <v>43.01</v>
      </c>
      <c r="H738">
        <v>3.01</v>
      </c>
      <c r="I738">
        <v>0.01</v>
      </c>
      <c r="J738" s="1">
        <v>45928.061207511571</v>
      </c>
      <c r="K738" t="s">
        <v>516</v>
      </c>
      <c r="L738">
        <f t="shared" si="11"/>
        <v>737</v>
      </c>
      <c r="M738">
        <f>COUNTIF($A$2:A738,A738)</f>
        <v>31</v>
      </c>
    </row>
    <row r="739" spans="1:13" x14ac:dyDescent="0.3">
      <c r="A739">
        <v>12925</v>
      </c>
      <c r="B739" t="s">
        <v>515</v>
      </c>
      <c r="C739" t="s">
        <v>532</v>
      </c>
      <c r="D739" t="s">
        <v>533</v>
      </c>
      <c r="E739">
        <v>35</v>
      </c>
      <c r="F739">
        <v>2.19</v>
      </c>
      <c r="G739">
        <v>6.03</v>
      </c>
      <c r="H739">
        <v>0.55000000000000004</v>
      </c>
      <c r="I739">
        <v>91.23</v>
      </c>
      <c r="J739" s="1">
        <v>45928.061228240738</v>
      </c>
      <c r="K739" t="s">
        <v>516</v>
      </c>
      <c r="L739">
        <f t="shared" si="11"/>
        <v>738</v>
      </c>
      <c r="M739">
        <f>COUNTIF($A$2:A739,A739)</f>
        <v>32</v>
      </c>
    </row>
    <row r="740" spans="1:13" x14ac:dyDescent="0.3">
      <c r="A740">
        <v>12925</v>
      </c>
      <c r="B740" t="s">
        <v>515</v>
      </c>
      <c r="C740" t="s">
        <v>534</v>
      </c>
      <c r="D740" t="s">
        <v>535</v>
      </c>
      <c r="E740">
        <v>27</v>
      </c>
      <c r="F740">
        <v>39.450000000000003</v>
      </c>
      <c r="G740">
        <v>55.34</v>
      </c>
      <c r="H740">
        <v>5.21</v>
      </c>
      <c r="I740">
        <v>0</v>
      </c>
      <c r="J740" s="1">
        <v>45928.061271018516</v>
      </c>
      <c r="K740" t="s">
        <v>516</v>
      </c>
      <c r="L740">
        <f t="shared" si="11"/>
        <v>739</v>
      </c>
      <c r="M740">
        <f>COUNTIF($A$2:A740,A740)</f>
        <v>33</v>
      </c>
    </row>
    <row r="741" spans="1:13" x14ac:dyDescent="0.3">
      <c r="A741">
        <v>12925</v>
      </c>
      <c r="B741" t="s">
        <v>515</v>
      </c>
      <c r="C741" t="s">
        <v>536</v>
      </c>
      <c r="D741" t="s">
        <v>537</v>
      </c>
      <c r="E741">
        <v>33</v>
      </c>
      <c r="F741">
        <v>24.66</v>
      </c>
      <c r="G741">
        <v>67.400000000000006</v>
      </c>
      <c r="H741">
        <v>7.95</v>
      </c>
      <c r="I741">
        <v>0</v>
      </c>
      <c r="J741" s="1">
        <v>45928.06131344907</v>
      </c>
      <c r="K741" t="s">
        <v>516</v>
      </c>
      <c r="L741">
        <f t="shared" si="11"/>
        <v>740</v>
      </c>
      <c r="M741">
        <f>COUNTIF($A$2:A741,A741)</f>
        <v>34</v>
      </c>
    </row>
    <row r="742" spans="1:13" x14ac:dyDescent="0.3">
      <c r="A742">
        <v>12925</v>
      </c>
      <c r="B742" t="s">
        <v>515</v>
      </c>
      <c r="C742" t="s">
        <v>538</v>
      </c>
      <c r="D742" t="s">
        <v>539</v>
      </c>
      <c r="E742">
        <v>38</v>
      </c>
      <c r="F742">
        <v>10.96</v>
      </c>
      <c r="G742">
        <v>79.45</v>
      </c>
      <c r="H742">
        <v>9.59</v>
      </c>
      <c r="I742">
        <v>0</v>
      </c>
      <c r="J742" s="1">
        <v>45928.06135408565</v>
      </c>
      <c r="K742" t="s">
        <v>516</v>
      </c>
      <c r="L742">
        <f t="shared" si="11"/>
        <v>741</v>
      </c>
      <c r="M742">
        <f>COUNTIF($A$2:A742,A742)</f>
        <v>35</v>
      </c>
    </row>
    <row r="743" spans="1:13" x14ac:dyDescent="0.3">
      <c r="A743">
        <v>12925</v>
      </c>
      <c r="B743" t="s">
        <v>515</v>
      </c>
      <c r="C743" t="s">
        <v>368</v>
      </c>
      <c r="D743" t="s">
        <v>369</v>
      </c>
      <c r="E743">
        <v>13</v>
      </c>
      <c r="F743">
        <v>83.56</v>
      </c>
      <c r="G743">
        <v>13.15</v>
      </c>
      <c r="H743">
        <v>3.29</v>
      </c>
      <c r="I743">
        <v>0</v>
      </c>
      <c r="J743" s="1">
        <v>45928.061399293983</v>
      </c>
      <c r="K743" t="s">
        <v>516</v>
      </c>
      <c r="L743">
        <f t="shared" si="11"/>
        <v>742</v>
      </c>
      <c r="M743">
        <f>COUNTIF($A$2:A743,A743)</f>
        <v>36</v>
      </c>
    </row>
    <row r="744" spans="1:13" x14ac:dyDescent="0.3">
      <c r="A744">
        <v>12925</v>
      </c>
      <c r="B744" t="s">
        <v>515</v>
      </c>
      <c r="C744" t="s">
        <v>540</v>
      </c>
      <c r="D744" t="s">
        <v>541</v>
      </c>
      <c r="E744">
        <v>15</v>
      </c>
      <c r="F744">
        <v>75.069999999999993</v>
      </c>
      <c r="G744">
        <v>21.37</v>
      </c>
      <c r="H744">
        <v>3.56</v>
      </c>
      <c r="I744">
        <v>0</v>
      </c>
      <c r="J744" s="1">
        <v>45928.061442430553</v>
      </c>
      <c r="K744" t="s">
        <v>516</v>
      </c>
      <c r="L744">
        <f t="shared" si="11"/>
        <v>743</v>
      </c>
      <c r="M744">
        <f>COUNTIF($A$2:A744,A744)</f>
        <v>37</v>
      </c>
    </row>
    <row r="745" spans="1:13" x14ac:dyDescent="0.3">
      <c r="A745">
        <v>12925</v>
      </c>
      <c r="B745" t="s">
        <v>515</v>
      </c>
      <c r="C745" t="s">
        <v>542</v>
      </c>
      <c r="D745" t="s">
        <v>543</v>
      </c>
      <c r="E745">
        <v>22</v>
      </c>
      <c r="F745">
        <v>49.59</v>
      </c>
      <c r="G745">
        <v>46.3</v>
      </c>
      <c r="H745">
        <v>4.1100000000000003</v>
      </c>
      <c r="I745">
        <v>0</v>
      </c>
      <c r="J745" s="1">
        <v>45928.06148355324</v>
      </c>
      <c r="K745" t="s">
        <v>516</v>
      </c>
      <c r="L745">
        <f t="shared" si="11"/>
        <v>744</v>
      </c>
      <c r="M745">
        <f>COUNTIF($A$2:A745,A745)</f>
        <v>38</v>
      </c>
    </row>
    <row r="746" spans="1:13" x14ac:dyDescent="0.3">
      <c r="A746">
        <v>12925</v>
      </c>
      <c r="B746" t="s">
        <v>515</v>
      </c>
      <c r="C746" t="s">
        <v>370</v>
      </c>
      <c r="D746" t="s">
        <v>371</v>
      </c>
      <c r="E746">
        <v>14</v>
      </c>
      <c r="F746">
        <v>84.66</v>
      </c>
      <c r="G746">
        <v>11.23</v>
      </c>
      <c r="H746">
        <v>4.1100000000000003</v>
      </c>
      <c r="I746">
        <v>0</v>
      </c>
      <c r="J746" s="1">
        <v>45928.06152653935</v>
      </c>
      <c r="K746" t="s">
        <v>516</v>
      </c>
      <c r="L746">
        <f t="shared" si="11"/>
        <v>745</v>
      </c>
      <c r="M746">
        <f>COUNTIF($A$2:A746,A746)</f>
        <v>39</v>
      </c>
    </row>
    <row r="747" spans="1:13" x14ac:dyDescent="0.3">
      <c r="A747">
        <v>12925</v>
      </c>
      <c r="B747" t="s">
        <v>515</v>
      </c>
      <c r="C747" t="s">
        <v>544</v>
      </c>
      <c r="D747" t="s">
        <v>545</v>
      </c>
      <c r="E747">
        <v>19</v>
      </c>
      <c r="F747">
        <v>71.23</v>
      </c>
      <c r="G747">
        <v>21.92</v>
      </c>
      <c r="H747">
        <v>6.85</v>
      </c>
      <c r="I747">
        <v>0</v>
      </c>
      <c r="J747" s="1">
        <v>45928.061572430553</v>
      </c>
      <c r="K747" t="s">
        <v>516</v>
      </c>
      <c r="L747">
        <f t="shared" si="11"/>
        <v>746</v>
      </c>
      <c r="M747">
        <f>COUNTIF($A$2:A747,A747)</f>
        <v>40</v>
      </c>
    </row>
    <row r="748" spans="1:13" x14ac:dyDescent="0.3">
      <c r="A748">
        <v>12925</v>
      </c>
      <c r="B748" t="s">
        <v>515</v>
      </c>
      <c r="C748" t="s">
        <v>546</v>
      </c>
      <c r="D748" t="s">
        <v>547</v>
      </c>
      <c r="E748">
        <v>20</v>
      </c>
      <c r="F748">
        <v>65.209999999999994</v>
      </c>
      <c r="G748">
        <v>27.95</v>
      </c>
      <c r="H748">
        <v>6.85</v>
      </c>
      <c r="I748">
        <v>0</v>
      </c>
      <c r="J748" s="1">
        <v>45928.061618692132</v>
      </c>
      <c r="K748" t="s">
        <v>516</v>
      </c>
      <c r="L748">
        <f t="shared" si="11"/>
        <v>747</v>
      </c>
      <c r="M748">
        <f>COUNTIF($A$2:A748,A748)</f>
        <v>41</v>
      </c>
    </row>
    <row r="749" spans="1:13" x14ac:dyDescent="0.3">
      <c r="A749">
        <v>12925</v>
      </c>
      <c r="B749" t="s">
        <v>515</v>
      </c>
      <c r="C749" t="s">
        <v>372</v>
      </c>
      <c r="D749" t="s">
        <v>373</v>
      </c>
      <c r="E749">
        <v>19</v>
      </c>
      <c r="F749">
        <v>68.489999999999995</v>
      </c>
      <c r="G749">
        <v>25.21</v>
      </c>
      <c r="H749">
        <v>6.3</v>
      </c>
      <c r="I749">
        <v>0</v>
      </c>
      <c r="J749" s="1">
        <v>45928.061662685184</v>
      </c>
      <c r="K749" t="s">
        <v>516</v>
      </c>
      <c r="L749">
        <f t="shared" si="11"/>
        <v>748</v>
      </c>
      <c r="M749">
        <f>COUNTIF($A$2:A749,A749)</f>
        <v>42</v>
      </c>
    </row>
    <row r="750" spans="1:13" x14ac:dyDescent="0.3">
      <c r="A750">
        <v>12925</v>
      </c>
      <c r="B750" t="s">
        <v>515</v>
      </c>
      <c r="C750" t="s">
        <v>374</v>
      </c>
      <c r="D750" t="s">
        <v>374</v>
      </c>
      <c r="E750">
        <v>19</v>
      </c>
      <c r="F750">
        <v>70.680000000000007</v>
      </c>
      <c r="G750">
        <v>21.64</v>
      </c>
      <c r="H750">
        <v>7.67</v>
      </c>
      <c r="I750">
        <v>0.01</v>
      </c>
      <c r="J750" s="1">
        <v>45928.061681805557</v>
      </c>
      <c r="K750" t="s">
        <v>516</v>
      </c>
      <c r="L750">
        <f t="shared" si="11"/>
        <v>749</v>
      </c>
      <c r="M750">
        <f>COUNTIF($A$2:A750,A750)</f>
        <v>43</v>
      </c>
    </row>
    <row r="751" spans="1:13" x14ac:dyDescent="0.3">
      <c r="A751">
        <v>12925</v>
      </c>
      <c r="B751" t="s">
        <v>515</v>
      </c>
      <c r="C751" t="s">
        <v>375</v>
      </c>
      <c r="D751" t="s">
        <v>376</v>
      </c>
      <c r="E751">
        <v>16</v>
      </c>
      <c r="F751">
        <v>78.900000000000006</v>
      </c>
      <c r="G751">
        <v>13.42</v>
      </c>
      <c r="H751">
        <v>7.67</v>
      </c>
      <c r="I751">
        <v>0.01</v>
      </c>
      <c r="J751" s="1">
        <v>45928.061699861108</v>
      </c>
      <c r="K751" t="s">
        <v>516</v>
      </c>
      <c r="L751">
        <f t="shared" si="11"/>
        <v>750</v>
      </c>
      <c r="M751">
        <f>COUNTIF($A$2:A751,A751)</f>
        <v>44</v>
      </c>
    </row>
    <row r="752" spans="1:13" x14ac:dyDescent="0.3">
      <c r="A752">
        <v>12926</v>
      </c>
      <c r="B752" t="s">
        <v>515</v>
      </c>
      <c r="C752" t="s">
        <v>375</v>
      </c>
      <c r="D752" t="s">
        <v>376</v>
      </c>
      <c r="E752">
        <v>9</v>
      </c>
      <c r="F752">
        <v>94.79</v>
      </c>
      <c r="G752">
        <v>3.29</v>
      </c>
      <c r="H752">
        <v>1.92</v>
      </c>
      <c r="I752">
        <v>0</v>
      </c>
      <c r="J752" s="1">
        <v>45928.061863541669</v>
      </c>
      <c r="K752" t="s">
        <v>548</v>
      </c>
      <c r="L752">
        <f t="shared" si="11"/>
        <v>751</v>
      </c>
      <c r="M752">
        <f>COUNTIF($A$2:A752,A752)</f>
        <v>1</v>
      </c>
    </row>
    <row r="753" spans="1:13" x14ac:dyDescent="0.3">
      <c r="A753">
        <v>12926</v>
      </c>
      <c r="B753" t="s">
        <v>515</v>
      </c>
      <c r="C753" t="s">
        <v>374</v>
      </c>
      <c r="D753" t="s">
        <v>374</v>
      </c>
      <c r="E753">
        <v>22</v>
      </c>
      <c r="F753">
        <v>51.78</v>
      </c>
      <c r="G753">
        <v>46.3</v>
      </c>
      <c r="H753">
        <v>1.92</v>
      </c>
      <c r="I753">
        <v>0</v>
      </c>
      <c r="J753" s="1">
        <v>45928.061909849537</v>
      </c>
      <c r="K753" t="s">
        <v>548</v>
      </c>
      <c r="L753">
        <f t="shared" si="11"/>
        <v>752</v>
      </c>
      <c r="M753">
        <f>COUNTIF($A$2:A753,A753)</f>
        <v>2</v>
      </c>
    </row>
    <row r="754" spans="1:13" x14ac:dyDescent="0.3">
      <c r="A754">
        <v>12926</v>
      </c>
      <c r="B754" t="s">
        <v>515</v>
      </c>
      <c r="C754" t="s">
        <v>372</v>
      </c>
      <c r="D754" t="s">
        <v>373</v>
      </c>
      <c r="E754">
        <v>17</v>
      </c>
      <c r="F754">
        <v>71.23</v>
      </c>
      <c r="G754">
        <v>26.03</v>
      </c>
      <c r="H754">
        <v>2.74</v>
      </c>
      <c r="I754">
        <v>0</v>
      </c>
      <c r="J754" s="1">
        <v>45928.061954201388</v>
      </c>
      <c r="K754" t="s">
        <v>548</v>
      </c>
      <c r="L754">
        <f t="shared" si="11"/>
        <v>753</v>
      </c>
      <c r="M754">
        <f>COUNTIF($A$2:A754,A754)</f>
        <v>3</v>
      </c>
    </row>
    <row r="755" spans="1:13" x14ac:dyDescent="0.3">
      <c r="A755">
        <v>12926</v>
      </c>
      <c r="B755" t="s">
        <v>515</v>
      </c>
      <c r="C755" t="s">
        <v>546</v>
      </c>
      <c r="D755" t="s">
        <v>547</v>
      </c>
      <c r="E755">
        <v>20</v>
      </c>
      <c r="F755">
        <v>60.27</v>
      </c>
      <c r="G755">
        <v>36.71</v>
      </c>
      <c r="H755">
        <v>3.01</v>
      </c>
      <c r="I755">
        <v>0.01</v>
      </c>
      <c r="J755" s="1">
        <v>45928.061974594908</v>
      </c>
      <c r="K755" t="s">
        <v>548</v>
      </c>
      <c r="L755">
        <f t="shared" si="11"/>
        <v>754</v>
      </c>
      <c r="M755">
        <f>COUNTIF($A$2:A755,A755)</f>
        <v>4</v>
      </c>
    </row>
    <row r="756" spans="1:13" x14ac:dyDescent="0.3">
      <c r="A756">
        <v>12926</v>
      </c>
      <c r="B756" t="s">
        <v>515</v>
      </c>
      <c r="C756" t="s">
        <v>544</v>
      </c>
      <c r="D756" t="s">
        <v>545</v>
      </c>
      <c r="F756">
        <v>46.85</v>
      </c>
      <c r="G756">
        <v>49.86</v>
      </c>
      <c r="H756">
        <v>3.29</v>
      </c>
      <c r="I756">
        <v>0</v>
      </c>
      <c r="J756" s="1">
        <v>45928.062003831015</v>
      </c>
      <c r="K756" t="s">
        <v>548</v>
      </c>
      <c r="L756">
        <f t="shared" si="11"/>
        <v>755</v>
      </c>
      <c r="M756">
        <f>COUNTIF($A$2:A756,A756)</f>
        <v>5</v>
      </c>
    </row>
    <row r="757" spans="1:13" x14ac:dyDescent="0.3">
      <c r="A757">
        <v>12926</v>
      </c>
      <c r="B757" t="s">
        <v>515</v>
      </c>
      <c r="C757" t="s">
        <v>370</v>
      </c>
      <c r="D757" t="s">
        <v>371</v>
      </c>
      <c r="E757">
        <v>22</v>
      </c>
      <c r="F757">
        <v>55.89</v>
      </c>
      <c r="G757">
        <v>39.729999999999997</v>
      </c>
      <c r="H757">
        <v>4.38</v>
      </c>
      <c r="I757">
        <v>0</v>
      </c>
      <c r="J757" s="1">
        <v>45928.062050902779</v>
      </c>
      <c r="K757" t="s">
        <v>548</v>
      </c>
      <c r="L757">
        <f t="shared" si="11"/>
        <v>756</v>
      </c>
      <c r="M757">
        <f>COUNTIF($A$2:A757,A757)</f>
        <v>6</v>
      </c>
    </row>
    <row r="758" spans="1:13" x14ac:dyDescent="0.3">
      <c r="A758">
        <v>12926</v>
      </c>
      <c r="B758" t="s">
        <v>515</v>
      </c>
      <c r="C758" t="s">
        <v>542</v>
      </c>
      <c r="D758" t="s">
        <v>543</v>
      </c>
      <c r="E758">
        <v>12</v>
      </c>
      <c r="F758">
        <v>91.78</v>
      </c>
      <c r="G758">
        <v>5.75</v>
      </c>
      <c r="H758">
        <v>2.4700000000000002</v>
      </c>
      <c r="I758">
        <v>0</v>
      </c>
      <c r="J758" s="1">
        <v>45928.062096620371</v>
      </c>
      <c r="K758" t="s">
        <v>548</v>
      </c>
      <c r="L758">
        <f t="shared" si="11"/>
        <v>757</v>
      </c>
      <c r="M758">
        <f>COUNTIF($A$2:A758,A758)</f>
        <v>7</v>
      </c>
    </row>
    <row r="759" spans="1:13" x14ac:dyDescent="0.3">
      <c r="A759">
        <v>12926</v>
      </c>
      <c r="B759" t="s">
        <v>515</v>
      </c>
      <c r="C759" t="s">
        <v>540</v>
      </c>
      <c r="D759" t="s">
        <v>541</v>
      </c>
      <c r="E759">
        <v>11</v>
      </c>
      <c r="F759">
        <v>94.79</v>
      </c>
      <c r="G759">
        <v>2.19</v>
      </c>
      <c r="H759">
        <v>3.01</v>
      </c>
      <c r="I759">
        <v>0.01</v>
      </c>
      <c r="J759" s="1">
        <v>45928.062113587963</v>
      </c>
      <c r="K759" t="s">
        <v>548</v>
      </c>
      <c r="L759">
        <f t="shared" si="11"/>
        <v>758</v>
      </c>
      <c r="M759">
        <f>COUNTIF($A$2:A759,A759)</f>
        <v>8</v>
      </c>
    </row>
    <row r="760" spans="1:13" x14ac:dyDescent="0.3">
      <c r="A760">
        <v>12926</v>
      </c>
      <c r="B760" t="s">
        <v>515</v>
      </c>
      <c r="C760" t="s">
        <v>368</v>
      </c>
      <c r="D760" t="s">
        <v>369</v>
      </c>
      <c r="E760">
        <v>11</v>
      </c>
      <c r="F760">
        <v>92.33</v>
      </c>
      <c r="G760">
        <v>4.38</v>
      </c>
      <c r="H760">
        <v>3.29</v>
      </c>
      <c r="I760">
        <v>0</v>
      </c>
      <c r="J760" s="1">
        <v>45928.062154722225</v>
      </c>
      <c r="K760" t="s">
        <v>548</v>
      </c>
      <c r="L760">
        <f t="shared" si="11"/>
        <v>759</v>
      </c>
      <c r="M760">
        <f>COUNTIF($A$2:A760,A760)</f>
        <v>9</v>
      </c>
    </row>
    <row r="761" spans="1:13" x14ac:dyDescent="0.3">
      <c r="A761">
        <v>12926</v>
      </c>
      <c r="B761" t="s">
        <v>515</v>
      </c>
      <c r="C761" t="s">
        <v>538</v>
      </c>
      <c r="D761" t="s">
        <v>539</v>
      </c>
      <c r="E761">
        <v>20</v>
      </c>
      <c r="F761">
        <v>71.78</v>
      </c>
      <c r="G761">
        <v>24.38</v>
      </c>
      <c r="H761">
        <v>3.84</v>
      </c>
      <c r="I761">
        <v>0</v>
      </c>
      <c r="J761" s="1">
        <v>45928.062175601852</v>
      </c>
      <c r="K761" t="s">
        <v>548</v>
      </c>
      <c r="L761">
        <f t="shared" si="11"/>
        <v>760</v>
      </c>
      <c r="M761">
        <f>COUNTIF($A$2:A761,A761)</f>
        <v>10</v>
      </c>
    </row>
    <row r="762" spans="1:13" x14ac:dyDescent="0.3">
      <c r="A762">
        <v>12926</v>
      </c>
      <c r="B762" t="s">
        <v>515</v>
      </c>
      <c r="C762" t="s">
        <v>536</v>
      </c>
      <c r="D762" t="s">
        <v>537</v>
      </c>
      <c r="E762">
        <v>22</v>
      </c>
      <c r="F762">
        <v>60.82</v>
      </c>
      <c r="G762">
        <v>35.340000000000003</v>
      </c>
      <c r="H762">
        <v>3.56</v>
      </c>
      <c r="I762">
        <v>0.28000000000000003</v>
      </c>
      <c r="J762" s="1">
        <v>45928.062197025465</v>
      </c>
      <c r="K762" t="s">
        <v>548</v>
      </c>
      <c r="L762">
        <f t="shared" si="11"/>
        <v>761</v>
      </c>
      <c r="M762">
        <f>COUNTIF($A$2:A762,A762)</f>
        <v>11</v>
      </c>
    </row>
    <row r="763" spans="1:13" x14ac:dyDescent="0.3">
      <c r="A763">
        <v>12926</v>
      </c>
      <c r="B763" t="s">
        <v>515</v>
      </c>
      <c r="C763" t="s">
        <v>534</v>
      </c>
      <c r="D763" t="s">
        <v>535</v>
      </c>
      <c r="E763">
        <v>25</v>
      </c>
      <c r="F763">
        <v>50.41</v>
      </c>
      <c r="G763">
        <v>45.48</v>
      </c>
      <c r="H763">
        <v>4.1100000000000003</v>
      </c>
      <c r="I763">
        <v>0</v>
      </c>
      <c r="J763" s="1">
        <v>45928.062239780091</v>
      </c>
      <c r="K763" t="s">
        <v>548</v>
      </c>
      <c r="L763">
        <f t="shared" si="11"/>
        <v>762</v>
      </c>
      <c r="M763">
        <f>COUNTIF($A$2:A763,A763)</f>
        <v>12</v>
      </c>
    </row>
    <row r="764" spans="1:13" x14ac:dyDescent="0.3">
      <c r="A764">
        <v>12926</v>
      </c>
      <c r="B764" t="s">
        <v>515</v>
      </c>
      <c r="C764" t="s">
        <v>532</v>
      </c>
      <c r="D764" t="s">
        <v>533</v>
      </c>
      <c r="E764">
        <v>19</v>
      </c>
      <c r="F764">
        <v>4.1100000000000003</v>
      </c>
      <c r="G764">
        <v>4.38</v>
      </c>
      <c r="H764">
        <v>0.27</v>
      </c>
      <c r="I764">
        <v>91.24</v>
      </c>
      <c r="J764" s="1">
        <v>45928.062256145837</v>
      </c>
      <c r="K764" t="s">
        <v>548</v>
      </c>
      <c r="L764">
        <f t="shared" si="11"/>
        <v>763</v>
      </c>
      <c r="M764">
        <f>COUNTIF($A$2:A764,A764)</f>
        <v>13</v>
      </c>
    </row>
    <row r="765" spans="1:13" x14ac:dyDescent="0.3">
      <c r="A765">
        <v>12926</v>
      </c>
      <c r="B765" t="s">
        <v>515</v>
      </c>
      <c r="C765" t="s">
        <v>530</v>
      </c>
      <c r="D765" t="s">
        <v>531</v>
      </c>
      <c r="E765">
        <v>28</v>
      </c>
      <c r="F765">
        <v>41.92</v>
      </c>
      <c r="G765">
        <v>53.42</v>
      </c>
      <c r="H765">
        <v>4.66</v>
      </c>
      <c r="I765">
        <v>0</v>
      </c>
      <c r="J765" s="1">
        <v>45928.062299837962</v>
      </c>
      <c r="K765" t="s">
        <v>548</v>
      </c>
      <c r="L765">
        <f t="shared" si="11"/>
        <v>764</v>
      </c>
      <c r="M765">
        <f>COUNTIF($A$2:A765,A765)</f>
        <v>14</v>
      </c>
    </row>
    <row r="766" spans="1:13" x14ac:dyDescent="0.3">
      <c r="A766">
        <v>12926</v>
      </c>
      <c r="B766" t="s">
        <v>515</v>
      </c>
      <c r="C766" t="s">
        <v>528</v>
      </c>
      <c r="D766" t="s">
        <v>529</v>
      </c>
      <c r="E766">
        <v>34</v>
      </c>
      <c r="F766">
        <v>23.01</v>
      </c>
      <c r="G766">
        <v>70.959999999999994</v>
      </c>
      <c r="H766">
        <v>6.03</v>
      </c>
      <c r="I766">
        <v>0</v>
      </c>
      <c r="J766" s="1">
        <v>45928.062342581019</v>
      </c>
      <c r="K766" t="s">
        <v>548</v>
      </c>
      <c r="L766">
        <f t="shared" si="11"/>
        <v>765</v>
      </c>
      <c r="M766">
        <f>COUNTIF($A$2:A766,A766)</f>
        <v>15</v>
      </c>
    </row>
    <row r="767" spans="1:13" x14ac:dyDescent="0.3">
      <c r="A767">
        <v>12926</v>
      </c>
      <c r="B767" t="s">
        <v>515</v>
      </c>
      <c r="C767" t="s">
        <v>110</v>
      </c>
      <c r="D767" t="s">
        <v>111</v>
      </c>
      <c r="E767">
        <v>21</v>
      </c>
      <c r="F767">
        <v>66.58</v>
      </c>
      <c r="G767">
        <v>28.49</v>
      </c>
      <c r="H767">
        <v>4.93</v>
      </c>
      <c r="I767">
        <v>0</v>
      </c>
      <c r="J767" s="1">
        <v>45928.062384780096</v>
      </c>
      <c r="K767" t="s">
        <v>548</v>
      </c>
      <c r="L767">
        <f t="shared" si="11"/>
        <v>766</v>
      </c>
      <c r="M767">
        <f>COUNTIF($A$2:A767,A767)</f>
        <v>16</v>
      </c>
    </row>
    <row r="768" spans="1:13" x14ac:dyDescent="0.3">
      <c r="A768">
        <v>12926</v>
      </c>
      <c r="B768" t="s">
        <v>515</v>
      </c>
      <c r="C768" t="s">
        <v>281</v>
      </c>
      <c r="D768" t="s">
        <v>282</v>
      </c>
      <c r="E768">
        <v>48</v>
      </c>
      <c r="F768">
        <v>6.85</v>
      </c>
      <c r="G768">
        <v>84.38</v>
      </c>
      <c r="H768">
        <v>8.77</v>
      </c>
      <c r="I768">
        <v>0</v>
      </c>
      <c r="J768" s="1">
        <v>45928.062427974539</v>
      </c>
      <c r="K768" t="s">
        <v>548</v>
      </c>
      <c r="L768">
        <f t="shared" si="11"/>
        <v>767</v>
      </c>
      <c r="M768">
        <f>COUNTIF($A$2:A768,A768)</f>
        <v>17</v>
      </c>
    </row>
    <row r="769" spans="1:13" x14ac:dyDescent="0.3">
      <c r="A769">
        <v>12926</v>
      </c>
      <c r="B769" t="s">
        <v>515</v>
      </c>
      <c r="C769" t="s">
        <v>279</v>
      </c>
      <c r="D769" t="s">
        <v>280</v>
      </c>
      <c r="E769">
        <v>18</v>
      </c>
      <c r="F769">
        <v>84.11</v>
      </c>
      <c r="G769">
        <v>10.68</v>
      </c>
      <c r="H769">
        <v>5.21</v>
      </c>
      <c r="I769">
        <v>0</v>
      </c>
      <c r="J769" s="1">
        <v>45928.062471215278</v>
      </c>
      <c r="K769" t="s">
        <v>548</v>
      </c>
      <c r="L769">
        <f t="shared" si="11"/>
        <v>768</v>
      </c>
      <c r="M769">
        <f>COUNTIF($A$2:A769,A769)</f>
        <v>18</v>
      </c>
    </row>
    <row r="770" spans="1:13" x14ac:dyDescent="0.3">
      <c r="A770">
        <v>12926</v>
      </c>
      <c r="B770" t="s">
        <v>515</v>
      </c>
      <c r="C770" t="s">
        <v>352</v>
      </c>
      <c r="D770" t="s">
        <v>353</v>
      </c>
      <c r="F770">
        <v>79.45</v>
      </c>
      <c r="G770">
        <v>15.07</v>
      </c>
      <c r="H770">
        <v>5.48</v>
      </c>
      <c r="I770">
        <v>0</v>
      </c>
      <c r="J770" s="1">
        <v>45928.062504606482</v>
      </c>
      <c r="K770" t="s">
        <v>548</v>
      </c>
      <c r="L770">
        <f t="shared" ref="L770:L833" si="12">ROW()-1</f>
        <v>769</v>
      </c>
      <c r="M770">
        <f>COUNTIF($A$2:A770,A770)</f>
        <v>19</v>
      </c>
    </row>
    <row r="771" spans="1:13" x14ac:dyDescent="0.3">
      <c r="A771">
        <v>12926</v>
      </c>
      <c r="B771" t="s">
        <v>515</v>
      </c>
      <c r="C771" t="s">
        <v>350</v>
      </c>
      <c r="D771" t="s">
        <v>351</v>
      </c>
      <c r="E771">
        <v>18</v>
      </c>
      <c r="F771">
        <v>83.29</v>
      </c>
      <c r="G771">
        <v>11.23</v>
      </c>
      <c r="H771">
        <v>5.48</v>
      </c>
      <c r="I771">
        <v>0</v>
      </c>
      <c r="J771" s="1">
        <v>45928.062555462966</v>
      </c>
      <c r="K771" t="s">
        <v>548</v>
      </c>
      <c r="L771">
        <f t="shared" si="12"/>
        <v>770</v>
      </c>
      <c r="M771">
        <f>COUNTIF($A$2:A771,A771)</f>
        <v>20</v>
      </c>
    </row>
    <row r="772" spans="1:13" x14ac:dyDescent="0.3">
      <c r="A772">
        <v>12926</v>
      </c>
      <c r="B772" t="s">
        <v>515</v>
      </c>
      <c r="C772" t="s">
        <v>348</v>
      </c>
      <c r="D772" t="s">
        <v>349</v>
      </c>
      <c r="F772">
        <v>78.63</v>
      </c>
      <c r="G772">
        <v>15.34</v>
      </c>
      <c r="H772">
        <v>6.03</v>
      </c>
      <c r="I772">
        <v>0</v>
      </c>
      <c r="J772" s="1">
        <v>45928.062587129629</v>
      </c>
      <c r="K772" t="s">
        <v>548</v>
      </c>
      <c r="L772">
        <f t="shared" si="12"/>
        <v>771</v>
      </c>
      <c r="M772">
        <f>COUNTIF($A$2:A772,A772)</f>
        <v>21</v>
      </c>
    </row>
    <row r="773" spans="1:13" x14ac:dyDescent="0.3">
      <c r="A773">
        <v>12926</v>
      </c>
      <c r="B773" t="s">
        <v>515</v>
      </c>
      <c r="C773" t="s">
        <v>346</v>
      </c>
      <c r="D773" t="s">
        <v>347</v>
      </c>
      <c r="E773">
        <v>14</v>
      </c>
      <c r="F773">
        <v>1.64</v>
      </c>
      <c r="G773">
        <v>0.55000000000000004</v>
      </c>
      <c r="H773">
        <v>0</v>
      </c>
      <c r="I773">
        <v>97.81</v>
      </c>
      <c r="J773" s="1">
        <v>45928.062606898151</v>
      </c>
      <c r="K773" t="s">
        <v>548</v>
      </c>
      <c r="L773">
        <f t="shared" si="12"/>
        <v>772</v>
      </c>
      <c r="M773">
        <f>COUNTIF($A$2:A773,A773)</f>
        <v>22</v>
      </c>
    </row>
    <row r="774" spans="1:13" x14ac:dyDescent="0.3">
      <c r="A774">
        <v>12926</v>
      </c>
      <c r="B774" t="s">
        <v>515</v>
      </c>
      <c r="C774" t="s">
        <v>344</v>
      </c>
      <c r="D774" t="s">
        <v>345</v>
      </c>
      <c r="E774">
        <v>22</v>
      </c>
      <c r="F774">
        <v>72.05</v>
      </c>
      <c r="G774">
        <v>21.64</v>
      </c>
      <c r="H774">
        <v>6.3</v>
      </c>
      <c r="I774">
        <v>0.01</v>
      </c>
      <c r="J774" s="1">
        <v>45928.062625335646</v>
      </c>
      <c r="K774" t="s">
        <v>548</v>
      </c>
      <c r="L774">
        <f t="shared" si="12"/>
        <v>773</v>
      </c>
      <c r="M774">
        <f>COUNTIF($A$2:A774,A774)</f>
        <v>23</v>
      </c>
    </row>
    <row r="775" spans="1:13" x14ac:dyDescent="0.3">
      <c r="A775">
        <v>12926</v>
      </c>
      <c r="B775" t="s">
        <v>515</v>
      </c>
      <c r="C775" t="s">
        <v>342</v>
      </c>
      <c r="D775" t="s">
        <v>343</v>
      </c>
      <c r="E775">
        <v>24</v>
      </c>
      <c r="F775">
        <v>61.64</v>
      </c>
      <c r="G775">
        <v>31.51</v>
      </c>
      <c r="H775">
        <v>6.85</v>
      </c>
      <c r="I775">
        <v>0</v>
      </c>
      <c r="J775" s="1">
        <v>45928.062670810184</v>
      </c>
      <c r="K775" t="s">
        <v>548</v>
      </c>
      <c r="L775">
        <f t="shared" si="12"/>
        <v>774</v>
      </c>
      <c r="M775">
        <f>COUNTIF($A$2:A775,A775)</f>
        <v>24</v>
      </c>
    </row>
    <row r="776" spans="1:13" x14ac:dyDescent="0.3">
      <c r="A776">
        <v>12926</v>
      </c>
      <c r="B776" t="s">
        <v>515</v>
      </c>
      <c r="C776" t="s">
        <v>300</v>
      </c>
      <c r="D776" t="s">
        <v>301</v>
      </c>
      <c r="E776">
        <v>29</v>
      </c>
      <c r="F776">
        <v>53.7</v>
      </c>
      <c r="G776">
        <v>36.71</v>
      </c>
      <c r="H776">
        <v>9.59</v>
      </c>
      <c r="I776">
        <v>0</v>
      </c>
      <c r="J776" s="1">
        <v>45928.062714282409</v>
      </c>
      <c r="K776" t="s">
        <v>548</v>
      </c>
      <c r="L776">
        <f t="shared" si="12"/>
        <v>775</v>
      </c>
      <c r="M776">
        <f>COUNTIF($A$2:A776,A776)</f>
        <v>25</v>
      </c>
    </row>
    <row r="777" spans="1:13" x14ac:dyDescent="0.3">
      <c r="A777">
        <v>12926</v>
      </c>
      <c r="B777" t="s">
        <v>515</v>
      </c>
      <c r="C777" t="s">
        <v>340</v>
      </c>
      <c r="D777" t="s">
        <v>341</v>
      </c>
      <c r="E777">
        <v>29</v>
      </c>
      <c r="F777">
        <v>51.51</v>
      </c>
      <c r="G777">
        <v>39.450000000000003</v>
      </c>
      <c r="H777">
        <v>9.0399999999999991</v>
      </c>
      <c r="I777">
        <v>0</v>
      </c>
      <c r="J777" s="1">
        <v>45928.0627327662</v>
      </c>
      <c r="K777" t="s">
        <v>548</v>
      </c>
      <c r="L777">
        <f t="shared" si="12"/>
        <v>776</v>
      </c>
      <c r="M777">
        <f>COUNTIF($A$2:A777,A777)</f>
        <v>26</v>
      </c>
    </row>
    <row r="778" spans="1:13" x14ac:dyDescent="0.3">
      <c r="A778">
        <v>12926</v>
      </c>
      <c r="B778" t="s">
        <v>515</v>
      </c>
      <c r="C778" t="s">
        <v>336</v>
      </c>
      <c r="D778" t="s">
        <v>337</v>
      </c>
      <c r="E778">
        <v>26</v>
      </c>
      <c r="F778">
        <v>56.71</v>
      </c>
      <c r="G778">
        <v>36.159999999999997</v>
      </c>
      <c r="H778">
        <v>7.12</v>
      </c>
      <c r="I778">
        <v>0.01</v>
      </c>
      <c r="J778" s="1">
        <v>45928.062748495373</v>
      </c>
      <c r="K778" t="s">
        <v>548</v>
      </c>
      <c r="L778">
        <f t="shared" si="12"/>
        <v>777</v>
      </c>
      <c r="M778">
        <f>COUNTIF($A$2:A778,A778)</f>
        <v>27</v>
      </c>
    </row>
    <row r="779" spans="1:13" x14ac:dyDescent="0.3">
      <c r="A779">
        <v>12926</v>
      </c>
      <c r="B779" t="s">
        <v>515</v>
      </c>
      <c r="C779" t="s">
        <v>298</v>
      </c>
      <c r="D779" t="s">
        <v>299</v>
      </c>
      <c r="E779">
        <v>13</v>
      </c>
      <c r="F779">
        <v>93.7</v>
      </c>
      <c r="G779">
        <v>2.74</v>
      </c>
      <c r="H779">
        <v>3.56</v>
      </c>
      <c r="I779">
        <v>0</v>
      </c>
      <c r="J779" s="1">
        <v>45928.062794375001</v>
      </c>
      <c r="K779" t="s">
        <v>548</v>
      </c>
      <c r="L779">
        <f t="shared" si="12"/>
        <v>778</v>
      </c>
      <c r="M779">
        <f>COUNTIF($A$2:A779,A779)</f>
        <v>28</v>
      </c>
    </row>
    <row r="780" spans="1:13" x14ac:dyDescent="0.3">
      <c r="A780">
        <v>12926</v>
      </c>
      <c r="B780" t="s">
        <v>515</v>
      </c>
      <c r="C780" t="s">
        <v>526</v>
      </c>
      <c r="D780" t="s">
        <v>527</v>
      </c>
      <c r="E780">
        <v>17</v>
      </c>
      <c r="F780">
        <v>89.04</v>
      </c>
      <c r="G780">
        <v>7.4</v>
      </c>
      <c r="H780">
        <v>3.56</v>
      </c>
      <c r="I780">
        <v>0</v>
      </c>
      <c r="J780" s="1">
        <v>45928.062836840276</v>
      </c>
      <c r="K780" t="s">
        <v>548</v>
      </c>
      <c r="L780">
        <f t="shared" si="12"/>
        <v>779</v>
      </c>
      <c r="M780">
        <f>COUNTIF($A$2:A780,A780)</f>
        <v>29</v>
      </c>
    </row>
    <row r="781" spans="1:13" x14ac:dyDescent="0.3">
      <c r="A781">
        <v>12926</v>
      </c>
      <c r="B781" t="s">
        <v>515</v>
      </c>
      <c r="C781" t="s">
        <v>296</v>
      </c>
      <c r="D781" t="s">
        <v>297</v>
      </c>
      <c r="E781">
        <v>15</v>
      </c>
      <c r="F781">
        <v>88.77</v>
      </c>
      <c r="G781">
        <v>7.4</v>
      </c>
      <c r="H781">
        <v>3.84</v>
      </c>
      <c r="I781">
        <v>0</v>
      </c>
      <c r="J781" s="1">
        <v>45928.06288179398</v>
      </c>
      <c r="K781" t="s">
        <v>548</v>
      </c>
      <c r="L781">
        <f t="shared" si="12"/>
        <v>780</v>
      </c>
      <c r="M781">
        <f>COUNTIF($A$2:A781,A781)</f>
        <v>30</v>
      </c>
    </row>
    <row r="782" spans="1:13" x14ac:dyDescent="0.3">
      <c r="A782">
        <v>12926</v>
      </c>
      <c r="B782" t="s">
        <v>515</v>
      </c>
      <c r="C782" t="s">
        <v>334</v>
      </c>
      <c r="D782" t="s">
        <v>335</v>
      </c>
      <c r="E782">
        <v>18</v>
      </c>
      <c r="F782">
        <v>83.84</v>
      </c>
      <c r="G782">
        <v>12.05</v>
      </c>
      <c r="H782">
        <v>4.1100000000000003</v>
      </c>
      <c r="I782">
        <v>0</v>
      </c>
      <c r="J782" s="1">
        <v>45928.062923738427</v>
      </c>
      <c r="K782" t="s">
        <v>548</v>
      </c>
      <c r="L782">
        <f t="shared" si="12"/>
        <v>781</v>
      </c>
      <c r="M782">
        <f>COUNTIF($A$2:A782,A782)</f>
        <v>31</v>
      </c>
    </row>
    <row r="783" spans="1:13" x14ac:dyDescent="0.3">
      <c r="A783">
        <v>12926</v>
      </c>
      <c r="B783" t="s">
        <v>515</v>
      </c>
      <c r="C783" t="s">
        <v>332</v>
      </c>
      <c r="D783" t="s">
        <v>333</v>
      </c>
      <c r="E783">
        <v>18</v>
      </c>
      <c r="F783">
        <v>81.37</v>
      </c>
      <c r="G783">
        <v>14.52</v>
      </c>
      <c r="H783">
        <v>4.1100000000000003</v>
      </c>
      <c r="I783">
        <v>0</v>
      </c>
      <c r="J783" s="1">
        <v>45928.062964872683</v>
      </c>
      <c r="K783" t="s">
        <v>548</v>
      </c>
      <c r="L783">
        <f t="shared" si="12"/>
        <v>782</v>
      </c>
      <c r="M783">
        <f>COUNTIF($A$2:A783,A783)</f>
        <v>32</v>
      </c>
    </row>
    <row r="784" spans="1:13" x14ac:dyDescent="0.3">
      <c r="A784">
        <v>12926</v>
      </c>
      <c r="B784" t="s">
        <v>515</v>
      </c>
      <c r="C784" t="s">
        <v>330</v>
      </c>
      <c r="D784" t="s">
        <v>331</v>
      </c>
      <c r="E784">
        <v>14</v>
      </c>
      <c r="F784">
        <v>93.42</v>
      </c>
      <c r="G784">
        <v>3.29</v>
      </c>
      <c r="H784">
        <v>3.29</v>
      </c>
      <c r="I784">
        <v>0</v>
      </c>
      <c r="J784" s="1">
        <v>45928.063009351848</v>
      </c>
      <c r="K784" t="s">
        <v>548</v>
      </c>
      <c r="L784">
        <f t="shared" si="12"/>
        <v>783</v>
      </c>
      <c r="M784">
        <f>COUNTIF($A$2:A784,A784)</f>
        <v>33</v>
      </c>
    </row>
    <row r="785" spans="1:13" x14ac:dyDescent="0.3">
      <c r="A785">
        <v>12926</v>
      </c>
      <c r="B785" t="s">
        <v>515</v>
      </c>
      <c r="C785" t="s">
        <v>294</v>
      </c>
      <c r="D785" t="s">
        <v>295</v>
      </c>
      <c r="F785">
        <v>87.67</v>
      </c>
      <c r="G785">
        <v>8.77</v>
      </c>
      <c r="H785">
        <v>3.56</v>
      </c>
      <c r="I785">
        <v>0</v>
      </c>
      <c r="J785" s="1">
        <v>45928.06303834491</v>
      </c>
      <c r="K785" t="s">
        <v>548</v>
      </c>
      <c r="L785">
        <f t="shared" si="12"/>
        <v>784</v>
      </c>
      <c r="M785">
        <f>COUNTIF($A$2:A785,A785)</f>
        <v>34</v>
      </c>
    </row>
    <row r="786" spans="1:13" x14ac:dyDescent="0.3">
      <c r="A786">
        <v>12926</v>
      </c>
      <c r="B786" t="s">
        <v>515</v>
      </c>
      <c r="C786" t="s">
        <v>524</v>
      </c>
      <c r="D786" t="s">
        <v>525</v>
      </c>
      <c r="E786">
        <v>18</v>
      </c>
      <c r="F786">
        <v>82.19</v>
      </c>
      <c r="G786">
        <v>14.25</v>
      </c>
      <c r="H786">
        <v>3.56</v>
      </c>
      <c r="I786">
        <v>0</v>
      </c>
      <c r="J786" s="1">
        <v>45928.063084340276</v>
      </c>
      <c r="K786" t="s">
        <v>548</v>
      </c>
      <c r="L786">
        <f t="shared" si="12"/>
        <v>785</v>
      </c>
      <c r="M786">
        <f>COUNTIF($A$2:A786,A786)</f>
        <v>35</v>
      </c>
    </row>
    <row r="787" spans="1:13" x14ac:dyDescent="0.3">
      <c r="A787">
        <v>12926</v>
      </c>
      <c r="B787" t="s">
        <v>515</v>
      </c>
      <c r="C787" t="s">
        <v>292</v>
      </c>
      <c r="D787" t="s">
        <v>293</v>
      </c>
      <c r="E787">
        <v>15</v>
      </c>
      <c r="F787">
        <v>86.58</v>
      </c>
      <c r="G787">
        <v>9.32</v>
      </c>
      <c r="H787">
        <v>4.1100000000000003</v>
      </c>
      <c r="I787">
        <v>0</v>
      </c>
      <c r="J787" s="1">
        <v>45928.063126932873</v>
      </c>
      <c r="K787" t="s">
        <v>548</v>
      </c>
      <c r="L787">
        <f t="shared" si="12"/>
        <v>786</v>
      </c>
      <c r="M787">
        <f>COUNTIF($A$2:A787,A787)</f>
        <v>36</v>
      </c>
    </row>
    <row r="788" spans="1:13" x14ac:dyDescent="0.3">
      <c r="A788">
        <v>12926</v>
      </c>
      <c r="B788" t="s">
        <v>515</v>
      </c>
      <c r="C788" t="s">
        <v>522</v>
      </c>
      <c r="D788" t="s">
        <v>523</v>
      </c>
      <c r="E788">
        <v>17</v>
      </c>
      <c r="F788">
        <v>81.64</v>
      </c>
      <c r="G788">
        <v>13.7</v>
      </c>
      <c r="H788">
        <v>4.66</v>
      </c>
      <c r="I788">
        <v>0</v>
      </c>
      <c r="J788" s="1">
        <v>45928.063148414352</v>
      </c>
      <c r="K788" t="s">
        <v>548</v>
      </c>
      <c r="L788">
        <f t="shared" si="12"/>
        <v>787</v>
      </c>
      <c r="M788">
        <f>COUNTIF($A$2:A788,A788)</f>
        <v>37</v>
      </c>
    </row>
    <row r="789" spans="1:13" x14ac:dyDescent="0.3">
      <c r="A789">
        <v>12926</v>
      </c>
      <c r="B789" t="s">
        <v>515</v>
      </c>
      <c r="C789" t="s">
        <v>520</v>
      </c>
      <c r="D789" t="s">
        <v>521</v>
      </c>
      <c r="E789">
        <v>25</v>
      </c>
      <c r="F789">
        <v>49.59</v>
      </c>
      <c r="G789">
        <v>44.66</v>
      </c>
      <c r="H789">
        <v>5.75</v>
      </c>
      <c r="I789">
        <v>0</v>
      </c>
      <c r="J789" s="1">
        <v>45928.063168356479</v>
      </c>
      <c r="K789" t="s">
        <v>548</v>
      </c>
      <c r="L789">
        <f t="shared" si="12"/>
        <v>788</v>
      </c>
      <c r="M789">
        <f>COUNTIF($A$2:A789,A789)</f>
        <v>38</v>
      </c>
    </row>
    <row r="790" spans="1:13" x14ac:dyDescent="0.3">
      <c r="A790">
        <v>12926</v>
      </c>
      <c r="B790" t="s">
        <v>515</v>
      </c>
      <c r="C790" t="s">
        <v>519</v>
      </c>
      <c r="D790" t="s">
        <v>519</v>
      </c>
      <c r="E790">
        <v>24</v>
      </c>
      <c r="F790">
        <v>58.36</v>
      </c>
      <c r="G790">
        <v>34.520000000000003</v>
      </c>
      <c r="H790">
        <v>7.12</v>
      </c>
      <c r="I790">
        <v>0</v>
      </c>
      <c r="J790" s="1">
        <v>45928.06321177083</v>
      </c>
      <c r="K790" t="s">
        <v>548</v>
      </c>
      <c r="L790">
        <f t="shared" si="12"/>
        <v>789</v>
      </c>
      <c r="M790">
        <f>COUNTIF($A$2:A790,A790)</f>
        <v>39</v>
      </c>
    </row>
    <row r="791" spans="1:13" x14ac:dyDescent="0.3">
      <c r="A791">
        <v>12926</v>
      </c>
      <c r="B791" t="s">
        <v>515</v>
      </c>
      <c r="C791" t="s">
        <v>517</v>
      </c>
      <c r="D791" t="s">
        <v>518</v>
      </c>
      <c r="E791">
        <v>28</v>
      </c>
      <c r="F791">
        <v>47.95</v>
      </c>
      <c r="G791">
        <v>43.84</v>
      </c>
      <c r="H791">
        <v>8.2200000000000006</v>
      </c>
      <c r="I791">
        <v>0</v>
      </c>
      <c r="J791" s="1">
        <v>45928.063253298613</v>
      </c>
      <c r="K791" t="s">
        <v>548</v>
      </c>
      <c r="L791">
        <f t="shared" si="12"/>
        <v>790</v>
      </c>
      <c r="M791">
        <f>COUNTIF($A$2:A791,A791)</f>
        <v>40</v>
      </c>
    </row>
    <row r="792" spans="1:13" x14ac:dyDescent="0.3">
      <c r="A792">
        <v>12926</v>
      </c>
      <c r="B792" t="s">
        <v>515</v>
      </c>
      <c r="C792" t="s">
        <v>290</v>
      </c>
      <c r="D792" t="s">
        <v>291</v>
      </c>
      <c r="E792">
        <v>29</v>
      </c>
      <c r="F792">
        <v>40.549999999999997</v>
      </c>
      <c r="G792">
        <v>51.23</v>
      </c>
      <c r="H792">
        <v>8.2200000000000006</v>
      </c>
      <c r="I792">
        <v>0</v>
      </c>
      <c r="J792" s="1">
        <v>45928.063295856482</v>
      </c>
      <c r="K792" t="s">
        <v>548</v>
      </c>
      <c r="L792">
        <f t="shared" si="12"/>
        <v>791</v>
      </c>
      <c r="M792">
        <f>COUNTIF($A$2:A792,A792)</f>
        <v>41</v>
      </c>
    </row>
    <row r="793" spans="1:13" x14ac:dyDescent="0.3">
      <c r="A793">
        <v>12926</v>
      </c>
      <c r="B793" t="s">
        <v>515</v>
      </c>
      <c r="C793" t="s">
        <v>327</v>
      </c>
      <c r="D793" t="s">
        <v>328</v>
      </c>
      <c r="E793">
        <v>5</v>
      </c>
      <c r="F793">
        <v>20.55</v>
      </c>
      <c r="G793">
        <v>0.55000000000000004</v>
      </c>
      <c r="H793">
        <v>1.1000000000000001</v>
      </c>
      <c r="I793">
        <v>77.8</v>
      </c>
      <c r="J793" s="1">
        <v>45928.063315324071</v>
      </c>
      <c r="K793" t="s">
        <v>548</v>
      </c>
      <c r="L793">
        <f t="shared" si="12"/>
        <v>792</v>
      </c>
      <c r="M793">
        <f>COUNTIF($A$2:A793,A793)</f>
        <v>42</v>
      </c>
    </row>
    <row r="794" spans="1:13" x14ac:dyDescent="0.3">
      <c r="A794">
        <v>12926</v>
      </c>
      <c r="B794" t="s">
        <v>515</v>
      </c>
      <c r="C794" t="s">
        <v>287</v>
      </c>
      <c r="D794" t="s">
        <v>288</v>
      </c>
      <c r="E794">
        <v>16</v>
      </c>
      <c r="F794">
        <v>63.56</v>
      </c>
      <c r="G794">
        <v>7.12</v>
      </c>
      <c r="H794">
        <v>6.03</v>
      </c>
      <c r="I794">
        <v>23.29</v>
      </c>
      <c r="J794" s="1">
        <v>45928.063332129626</v>
      </c>
      <c r="K794" t="s">
        <v>548</v>
      </c>
      <c r="L794">
        <f t="shared" si="12"/>
        <v>793</v>
      </c>
      <c r="M794">
        <f>COUNTIF($A$2:A794,A794)</f>
        <v>43</v>
      </c>
    </row>
    <row r="795" spans="1:13" x14ac:dyDescent="0.3">
      <c r="A795">
        <v>12137</v>
      </c>
      <c r="B795" t="s">
        <v>549</v>
      </c>
      <c r="C795" t="s">
        <v>379</v>
      </c>
      <c r="D795" t="s">
        <v>380</v>
      </c>
      <c r="E795">
        <v>12</v>
      </c>
      <c r="F795">
        <v>96.16</v>
      </c>
      <c r="G795">
        <v>0.82</v>
      </c>
      <c r="H795">
        <v>3.01</v>
      </c>
      <c r="I795">
        <v>0.01</v>
      </c>
      <c r="J795" s="1">
        <v>45928.063440196762</v>
      </c>
      <c r="K795" t="s">
        <v>550</v>
      </c>
      <c r="L795">
        <f t="shared" si="12"/>
        <v>794</v>
      </c>
      <c r="M795">
        <f>COUNTIF($A$2:A795,A795)</f>
        <v>1</v>
      </c>
    </row>
    <row r="796" spans="1:13" x14ac:dyDescent="0.3">
      <c r="A796">
        <v>12137</v>
      </c>
      <c r="B796" t="s">
        <v>549</v>
      </c>
      <c r="C796" t="s">
        <v>382</v>
      </c>
      <c r="D796" t="s">
        <v>383</v>
      </c>
      <c r="E796">
        <v>17</v>
      </c>
      <c r="F796">
        <v>94.52</v>
      </c>
      <c r="G796">
        <v>2.4700000000000002</v>
      </c>
      <c r="H796">
        <v>3.01</v>
      </c>
      <c r="I796">
        <v>0</v>
      </c>
      <c r="J796" s="1">
        <v>45928.06348394676</v>
      </c>
      <c r="K796" t="s">
        <v>550</v>
      </c>
      <c r="L796">
        <f t="shared" si="12"/>
        <v>795</v>
      </c>
      <c r="M796">
        <f>COUNTIF($A$2:A796,A796)</f>
        <v>2</v>
      </c>
    </row>
    <row r="797" spans="1:13" x14ac:dyDescent="0.3">
      <c r="A797">
        <v>12137</v>
      </c>
      <c r="B797" t="s">
        <v>549</v>
      </c>
      <c r="C797" t="s">
        <v>386</v>
      </c>
      <c r="D797" t="s">
        <v>387</v>
      </c>
      <c r="E797">
        <v>29</v>
      </c>
      <c r="F797">
        <v>22.19</v>
      </c>
      <c r="G797">
        <v>73.97</v>
      </c>
      <c r="H797">
        <v>3.56</v>
      </c>
      <c r="I797">
        <v>0.28000000000000003</v>
      </c>
      <c r="J797" s="1">
        <v>45928.063502083336</v>
      </c>
      <c r="K797" t="s">
        <v>550</v>
      </c>
      <c r="L797">
        <f t="shared" si="12"/>
        <v>796</v>
      </c>
      <c r="M797">
        <f>COUNTIF($A$2:A797,A797)</f>
        <v>3</v>
      </c>
    </row>
    <row r="798" spans="1:13" x14ac:dyDescent="0.3">
      <c r="A798">
        <v>12137</v>
      </c>
      <c r="B798" t="s">
        <v>549</v>
      </c>
      <c r="C798" t="s">
        <v>388</v>
      </c>
      <c r="D798" t="s">
        <v>389</v>
      </c>
      <c r="E798">
        <v>27</v>
      </c>
      <c r="F798">
        <v>39.729999999999997</v>
      </c>
      <c r="G798">
        <v>55.89</v>
      </c>
      <c r="H798">
        <v>3.84</v>
      </c>
      <c r="I798">
        <v>0.54</v>
      </c>
      <c r="J798" s="1">
        <v>45928.063519432872</v>
      </c>
      <c r="K798" t="s">
        <v>550</v>
      </c>
      <c r="L798">
        <f t="shared" si="12"/>
        <v>797</v>
      </c>
      <c r="M798">
        <f>COUNTIF($A$2:A798,A798)</f>
        <v>4</v>
      </c>
    </row>
    <row r="799" spans="1:13" x14ac:dyDescent="0.3">
      <c r="A799">
        <v>12137</v>
      </c>
      <c r="B799" t="s">
        <v>549</v>
      </c>
      <c r="C799" t="s">
        <v>392</v>
      </c>
      <c r="D799" t="s">
        <v>393</v>
      </c>
      <c r="F799">
        <v>26.3</v>
      </c>
      <c r="G799">
        <v>67.67</v>
      </c>
      <c r="H799">
        <v>5.48</v>
      </c>
      <c r="I799">
        <v>0.55000000000000004</v>
      </c>
      <c r="J799" s="1">
        <v>45928.063549965278</v>
      </c>
      <c r="K799" t="s">
        <v>550</v>
      </c>
      <c r="L799">
        <f t="shared" si="12"/>
        <v>798</v>
      </c>
      <c r="M799">
        <f>COUNTIF($A$2:A799,A799)</f>
        <v>5</v>
      </c>
    </row>
    <row r="800" spans="1:13" x14ac:dyDescent="0.3">
      <c r="A800">
        <v>12137</v>
      </c>
      <c r="B800" t="s">
        <v>549</v>
      </c>
      <c r="C800" t="s">
        <v>394</v>
      </c>
      <c r="D800" t="s">
        <v>395</v>
      </c>
      <c r="E800">
        <v>33</v>
      </c>
      <c r="F800">
        <v>28.49</v>
      </c>
      <c r="G800">
        <v>66.03</v>
      </c>
      <c r="H800">
        <v>5.21</v>
      </c>
      <c r="I800">
        <v>0.27</v>
      </c>
      <c r="J800" s="1">
        <v>45928.063571296298</v>
      </c>
      <c r="K800" t="s">
        <v>550</v>
      </c>
      <c r="L800">
        <f t="shared" si="12"/>
        <v>799</v>
      </c>
      <c r="M800">
        <f>COUNTIF($A$2:A800,A800)</f>
        <v>6</v>
      </c>
    </row>
    <row r="801" spans="1:13" x14ac:dyDescent="0.3">
      <c r="A801">
        <v>12137</v>
      </c>
      <c r="B801" t="s">
        <v>549</v>
      </c>
      <c r="C801" t="s">
        <v>551</v>
      </c>
      <c r="D801" t="s">
        <v>552</v>
      </c>
      <c r="E801">
        <v>40</v>
      </c>
      <c r="F801">
        <v>12.6</v>
      </c>
      <c r="G801">
        <v>81.099999999999994</v>
      </c>
      <c r="H801">
        <v>6.03</v>
      </c>
      <c r="I801">
        <v>0.27</v>
      </c>
      <c r="J801" s="1">
        <v>45928.063591307873</v>
      </c>
      <c r="K801" t="s">
        <v>550</v>
      </c>
      <c r="L801">
        <f t="shared" si="12"/>
        <v>800</v>
      </c>
      <c r="M801">
        <f>COUNTIF($A$2:A801,A801)</f>
        <v>7</v>
      </c>
    </row>
    <row r="802" spans="1:13" x14ac:dyDescent="0.3">
      <c r="A802">
        <v>12137</v>
      </c>
      <c r="B802" t="s">
        <v>549</v>
      </c>
      <c r="C802" t="s">
        <v>553</v>
      </c>
      <c r="D802" t="s">
        <v>554</v>
      </c>
      <c r="E802">
        <v>40</v>
      </c>
      <c r="F802">
        <v>16.71</v>
      </c>
      <c r="G802">
        <v>76.44</v>
      </c>
      <c r="H802">
        <v>6.85</v>
      </c>
      <c r="I802">
        <v>0</v>
      </c>
      <c r="J802" s="1">
        <v>45928.06363271991</v>
      </c>
      <c r="K802" t="s">
        <v>550</v>
      </c>
      <c r="L802">
        <f t="shared" si="12"/>
        <v>801</v>
      </c>
      <c r="M802">
        <f>COUNTIF($A$2:A802,A802)</f>
        <v>8</v>
      </c>
    </row>
    <row r="803" spans="1:13" x14ac:dyDescent="0.3">
      <c r="A803">
        <v>12137</v>
      </c>
      <c r="B803" t="s">
        <v>549</v>
      </c>
      <c r="C803" t="s">
        <v>555</v>
      </c>
      <c r="D803" t="s">
        <v>556</v>
      </c>
      <c r="E803">
        <v>35</v>
      </c>
      <c r="F803">
        <v>29.04</v>
      </c>
      <c r="G803">
        <v>64.38</v>
      </c>
      <c r="H803">
        <v>6.58</v>
      </c>
      <c r="I803">
        <v>0</v>
      </c>
      <c r="J803" s="1">
        <v>45928.063675555553</v>
      </c>
      <c r="K803" t="s">
        <v>550</v>
      </c>
      <c r="L803">
        <f t="shared" si="12"/>
        <v>802</v>
      </c>
      <c r="M803">
        <f>COUNTIF($A$2:A803,A803)</f>
        <v>9</v>
      </c>
    </row>
    <row r="804" spans="1:13" x14ac:dyDescent="0.3">
      <c r="A804">
        <v>12137</v>
      </c>
      <c r="B804" t="s">
        <v>549</v>
      </c>
      <c r="C804" t="s">
        <v>557</v>
      </c>
      <c r="D804" t="s">
        <v>558</v>
      </c>
      <c r="E804">
        <v>35</v>
      </c>
      <c r="F804">
        <v>26.3</v>
      </c>
      <c r="G804">
        <v>67.12</v>
      </c>
      <c r="H804">
        <v>6.58</v>
      </c>
      <c r="I804">
        <v>0</v>
      </c>
      <c r="J804" s="1">
        <v>45928.063720150465</v>
      </c>
      <c r="K804" t="s">
        <v>550</v>
      </c>
      <c r="L804">
        <f t="shared" si="12"/>
        <v>803</v>
      </c>
      <c r="M804">
        <f>COUNTIF($A$2:A804,A804)</f>
        <v>10</v>
      </c>
    </row>
    <row r="805" spans="1:13" x14ac:dyDescent="0.3">
      <c r="A805">
        <v>12137</v>
      </c>
      <c r="B805" t="s">
        <v>549</v>
      </c>
      <c r="C805" t="s">
        <v>559</v>
      </c>
      <c r="D805" t="s">
        <v>560</v>
      </c>
      <c r="E805">
        <v>16</v>
      </c>
      <c r="F805">
        <v>89.32</v>
      </c>
      <c r="G805">
        <v>6.85</v>
      </c>
      <c r="H805">
        <v>3.84</v>
      </c>
      <c r="I805">
        <v>0</v>
      </c>
      <c r="J805" s="1">
        <v>45928.063768692133</v>
      </c>
      <c r="K805" t="s">
        <v>550</v>
      </c>
      <c r="L805">
        <f t="shared" si="12"/>
        <v>804</v>
      </c>
      <c r="M805">
        <f>COUNTIF($A$2:A805,A805)</f>
        <v>11</v>
      </c>
    </row>
    <row r="806" spans="1:13" x14ac:dyDescent="0.3">
      <c r="A806">
        <v>12137</v>
      </c>
      <c r="B806" t="s">
        <v>549</v>
      </c>
      <c r="C806" t="s">
        <v>561</v>
      </c>
      <c r="D806" t="s">
        <v>562</v>
      </c>
      <c r="E806">
        <v>20</v>
      </c>
      <c r="F806">
        <v>74.25</v>
      </c>
      <c r="G806">
        <v>21.37</v>
      </c>
      <c r="H806">
        <v>4.38</v>
      </c>
      <c r="I806">
        <v>0</v>
      </c>
      <c r="J806" s="1">
        <v>45928.063818622686</v>
      </c>
      <c r="K806" t="s">
        <v>550</v>
      </c>
      <c r="L806">
        <f t="shared" si="12"/>
        <v>805</v>
      </c>
      <c r="M806">
        <f>COUNTIF($A$2:A806,A806)</f>
        <v>12</v>
      </c>
    </row>
    <row r="807" spans="1:13" x14ac:dyDescent="0.3">
      <c r="A807">
        <v>12137</v>
      </c>
      <c r="B807" t="s">
        <v>549</v>
      </c>
      <c r="C807" t="s">
        <v>563</v>
      </c>
      <c r="D807" t="s">
        <v>564</v>
      </c>
      <c r="E807">
        <v>28</v>
      </c>
      <c r="F807">
        <v>44.93</v>
      </c>
      <c r="G807">
        <v>49.32</v>
      </c>
      <c r="H807">
        <v>5.75</v>
      </c>
      <c r="I807">
        <v>0</v>
      </c>
      <c r="J807" s="1">
        <v>45928.063842256946</v>
      </c>
      <c r="K807" t="s">
        <v>550</v>
      </c>
      <c r="L807">
        <f t="shared" si="12"/>
        <v>806</v>
      </c>
      <c r="M807">
        <f>COUNTIF($A$2:A807,A807)</f>
        <v>13</v>
      </c>
    </row>
    <row r="808" spans="1:13" x14ac:dyDescent="0.3">
      <c r="A808">
        <v>12137</v>
      </c>
      <c r="B808" t="s">
        <v>549</v>
      </c>
      <c r="C808" t="s">
        <v>565</v>
      </c>
      <c r="D808" t="s">
        <v>566</v>
      </c>
      <c r="E808">
        <v>37</v>
      </c>
      <c r="F808">
        <v>12.6</v>
      </c>
      <c r="G808">
        <v>80.27</v>
      </c>
      <c r="H808">
        <v>7.12</v>
      </c>
      <c r="I808">
        <v>0.01</v>
      </c>
      <c r="J808" s="1">
        <v>45928.063865011572</v>
      </c>
      <c r="K808" t="s">
        <v>550</v>
      </c>
      <c r="L808">
        <f t="shared" si="12"/>
        <v>807</v>
      </c>
      <c r="M808">
        <f>COUNTIF($A$2:A808,A808)</f>
        <v>14</v>
      </c>
    </row>
    <row r="809" spans="1:13" x14ac:dyDescent="0.3">
      <c r="A809">
        <v>12137</v>
      </c>
      <c r="B809" t="s">
        <v>549</v>
      </c>
      <c r="C809" t="s">
        <v>98</v>
      </c>
      <c r="D809" t="s">
        <v>99</v>
      </c>
      <c r="E809">
        <v>16</v>
      </c>
      <c r="F809">
        <v>86.03</v>
      </c>
      <c r="G809">
        <v>9.32</v>
      </c>
      <c r="H809">
        <v>4.66</v>
      </c>
      <c r="I809">
        <v>0</v>
      </c>
      <c r="J809" s="1">
        <v>45928.063912442129</v>
      </c>
      <c r="K809" t="s">
        <v>550</v>
      </c>
      <c r="L809">
        <f t="shared" si="12"/>
        <v>808</v>
      </c>
      <c r="M809">
        <f>COUNTIF($A$2:A809,A809)</f>
        <v>15</v>
      </c>
    </row>
    <row r="810" spans="1:13" x14ac:dyDescent="0.3">
      <c r="A810">
        <v>12137</v>
      </c>
      <c r="B810" t="s">
        <v>549</v>
      </c>
      <c r="C810" t="s">
        <v>567</v>
      </c>
      <c r="D810" t="s">
        <v>568</v>
      </c>
      <c r="E810">
        <v>19</v>
      </c>
      <c r="F810">
        <v>78.900000000000006</v>
      </c>
      <c r="G810">
        <v>16.440000000000001</v>
      </c>
      <c r="H810">
        <v>4.66</v>
      </c>
      <c r="I810">
        <v>0</v>
      </c>
      <c r="J810" s="1">
        <v>45928.063957569444</v>
      </c>
      <c r="K810" t="s">
        <v>550</v>
      </c>
      <c r="L810">
        <f t="shared" si="12"/>
        <v>809</v>
      </c>
      <c r="M810">
        <f>COUNTIF($A$2:A810,A810)</f>
        <v>16</v>
      </c>
    </row>
    <row r="811" spans="1:13" x14ac:dyDescent="0.3">
      <c r="A811">
        <v>12137</v>
      </c>
      <c r="B811" t="s">
        <v>549</v>
      </c>
      <c r="C811" t="s">
        <v>316</v>
      </c>
      <c r="D811" t="s">
        <v>317</v>
      </c>
      <c r="E811">
        <v>19</v>
      </c>
      <c r="F811">
        <v>74.25</v>
      </c>
      <c r="G811">
        <v>21.1</v>
      </c>
      <c r="H811">
        <v>4.66</v>
      </c>
      <c r="I811">
        <v>0</v>
      </c>
      <c r="J811" s="1">
        <v>45928.06400445602</v>
      </c>
      <c r="K811" t="s">
        <v>550</v>
      </c>
      <c r="L811">
        <f t="shared" si="12"/>
        <v>810</v>
      </c>
      <c r="M811">
        <f>COUNTIF($A$2:A811,A811)</f>
        <v>17</v>
      </c>
    </row>
    <row r="812" spans="1:13" x14ac:dyDescent="0.3">
      <c r="A812">
        <v>12137</v>
      </c>
      <c r="B812" t="s">
        <v>549</v>
      </c>
      <c r="C812" t="s">
        <v>100</v>
      </c>
      <c r="D812" t="s">
        <v>101</v>
      </c>
      <c r="E812">
        <v>26</v>
      </c>
      <c r="F812">
        <v>53.15</v>
      </c>
      <c r="G812">
        <v>42.19</v>
      </c>
      <c r="H812">
        <v>4.66</v>
      </c>
      <c r="I812">
        <v>0</v>
      </c>
      <c r="J812" s="1">
        <v>45928.064048784719</v>
      </c>
      <c r="K812" t="s">
        <v>550</v>
      </c>
      <c r="L812">
        <f t="shared" si="12"/>
        <v>811</v>
      </c>
      <c r="M812">
        <f>COUNTIF($A$2:A812,A812)</f>
        <v>18</v>
      </c>
    </row>
    <row r="813" spans="1:13" x14ac:dyDescent="0.3">
      <c r="A813">
        <v>12137</v>
      </c>
      <c r="B813" t="s">
        <v>549</v>
      </c>
      <c r="C813" t="s">
        <v>569</v>
      </c>
      <c r="D813" t="s">
        <v>570</v>
      </c>
      <c r="E813">
        <v>37</v>
      </c>
      <c r="F813">
        <v>17.809999999999999</v>
      </c>
      <c r="G813">
        <v>73.7</v>
      </c>
      <c r="H813">
        <v>8.49</v>
      </c>
      <c r="I813">
        <v>0</v>
      </c>
      <c r="J813" s="1">
        <v>45928.064097002316</v>
      </c>
      <c r="K813" t="s">
        <v>550</v>
      </c>
      <c r="L813">
        <f t="shared" si="12"/>
        <v>812</v>
      </c>
      <c r="M813">
        <f>COUNTIF($A$2:A813,A813)</f>
        <v>19</v>
      </c>
    </row>
    <row r="814" spans="1:13" x14ac:dyDescent="0.3">
      <c r="A814">
        <v>12137</v>
      </c>
      <c r="B814" t="s">
        <v>549</v>
      </c>
      <c r="C814" t="s">
        <v>571</v>
      </c>
      <c r="D814" t="s">
        <v>572</v>
      </c>
      <c r="E814">
        <v>42</v>
      </c>
      <c r="F814">
        <v>7.12</v>
      </c>
      <c r="G814">
        <v>83.01</v>
      </c>
      <c r="H814">
        <v>9.86</v>
      </c>
      <c r="I814">
        <v>0.01</v>
      </c>
      <c r="J814" s="1">
        <v>45928.064117048612</v>
      </c>
      <c r="K814" t="s">
        <v>550</v>
      </c>
      <c r="L814">
        <f t="shared" si="12"/>
        <v>813</v>
      </c>
      <c r="M814">
        <f>COUNTIF($A$2:A814,A814)</f>
        <v>20</v>
      </c>
    </row>
    <row r="815" spans="1:13" x14ac:dyDescent="0.3">
      <c r="A815">
        <v>12137</v>
      </c>
      <c r="B815" t="s">
        <v>549</v>
      </c>
      <c r="C815" t="s">
        <v>277</v>
      </c>
      <c r="D815" t="s">
        <v>278</v>
      </c>
      <c r="E815">
        <v>18</v>
      </c>
      <c r="F815">
        <v>80.819999999999993</v>
      </c>
      <c r="G815">
        <v>12.05</v>
      </c>
      <c r="H815">
        <v>7.12</v>
      </c>
      <c r="I815">
        <v>0.01</v>
      </c>
      <c r="J815" s="1">
        <v>45928.064139074071</v>
      </c>
      <c r="K815" t="s">
        <v>550</v>
      </c>
      <c r="L815">
        <f t="shared" si="12"/>
        <v>814</v>
      </c>
      <c r="M815">
        <f>COUNTIF($A$2:A815,A815)</f>
        <v>21</v>
      </c>
    </row>
    <row r="816" spans="1:13" x14ac:dyDescent="0.3">
      <c r="A816">
        <v>12137</v>
      </c>
      <c r="B816" t="s">
        <v>549</v>
      </c>
      <c r="C816" t="s">
        <v>319</v>
      </c>
      <c r="D816" t="s">
        <v>320</v>
      </c>
      <c r="E816">
        <v>28</v>
      </c>
      <c r="F816">
        <v>53.15</v>
      </c>
      <c r="G816">
        <v>38.630000000000003</v>
      </c>
      <c r="H816">
        <v>8.2200000000000006</v>
      </c>
      <c r="I816">
        <v>0</v>
      </c>
      <c r="J816" s="1">
        <v>45928.064184826391</v>
      </c>
      <c r="K816" t="s">
        <v>550</v>
      </c>
      <c r="L816">
        <f t="shared" si="12"/>
        <v>815</v>
      </c>
      <c r="M816">
        <f>COUNTIF($A$2:A816,A816)</f>
        <v>22</v>
      </c>
    </row>
    <row r="817" spans="1:13" x14ac:dyDescent="0.3">
      <c r="A817">
        <v>12137</v>
      </c>
      <c r="B817" t="s">
        <v>549</v>
      </c>
      <c r="C817" t="s">
        <v>573</v>
      </c>
      <c r="D817" t="s">
        <v>574</v>
      </c>
      <c r="E817">
        <v>35</v>
      </c>
      <c r="F817">
        <v>38.08</v>
      </c>
      <c r="G817">
        <v>52.88</v>
      </c>
      <c r="H817">
        <v>9.0399999999999991</v>
      </c>
      <c r="I817">
        <v>0</v>
      </c>
      <c r="J817" s="1">
        <v>45928.064205046299</v>
      </c>
      <c r="K817" t="s">
        <v>550</v>
      </c>
      <c r="L817">
        <f t="shared" si="12"/>
        <v>816</v>
      </c>
      <c r="M817">
        <f>COUNTIF($A$2:A817,A817)</f>
        <v>23</v>
      </c>
    </row>
    <row r="818" spans="1:13" x14ac:dyDescent="0.3">
      <c r="A818">
        <v>12137</v>
      </c>
      <c r="B818" t="s">
        <v>549</v>
      </c>
      <c r="C818" t="s">
        <v>102</v>
      </c>
      <c r="D818" t="s">
        <v>103</v>
      </c>
      <c r="E818">
        <v>30</v>
      </c>
      <c r="F818">
        <v>55.07</v>
      </c>
      <c r="G818">
        <v>36.99</v>
      </c>
      <c r="H818">
        <v>7.95</v>
      </c>
      <c r="I818">
        <v>0</v>
      </c>
      <c r="J818" s="1">
        <v>45928.064251400465</v>
      </c>
      <c r="K818" t="s">
        <v>550</v>
      </c>
      <c r="L818">
        <f t="shared" si="12"/>
        <v>817</v>
      </c>
      <c r="M818">
        <f>COUNTIF($A$2:A818,A818)</f>
        <v>24</v>
      </c>
    </row>
    <row r="819" spans="1:13" x14ac:dyDescent="0.3">
      <c r="A819">
        <v>12137</v>
      </c>
      <c r="B819" t="s">
        <v>549</v>
      </c>
      <c r="C819" t="s">
        <v>575</v>
      </c>
      <c r="D819" t="s">
        <v>576</v>
      </c>
      <c r="E819">
        <v>35</v>
      </c>
      <c r="F819">
        <v>40.270000000000003</v>
      </c>
      <c r="G819">
        <v>49.59</v>
      </c>
      <c r="H819">
        <v>10.14</v>
      </c>
      <c r="I819">
        <v>0</v>
      </c>
      <c r="J819" s="1">
        <v>45928.064299467595</v>
      </c>
      <c r="K819" t="s">
        <v>550</v>
      </c>
      <c r="L819">
        <f t="shared" si="12"/>
        <v>818</v>
      </c>
      <c r="M819">
        <f>COUNTIF($A$2:A819,A819)</f>
        <v>25</v>
      </c>
    </row>
    <row r="820" spans="1:13" x14ac:dyDescent="0.3">
      <c r="A820">
        <v>12137</v>
      </c>
      <c r="B820" t="s">
        <v>549</v>
      </c>
      <c r="C820" t="s">
        <v>577</v>
      </c>
      <c r="D820" t="s">
        <v>578</v>
      </c>
      <c r="F820">
        <v>24.93</v>
      </c>
      <c r="G820">
        <v>63.56</v>
      </c>
      <c r="H820">
        <v>11.51</v>
      </c>
      <c r="I820">
        <v>0</v>
      </c>
      <c r="J820" s="1">
        <v>45928.064342349535</v>
      </c>
      <c r="K820" t="s">
        <v>550</v>
      </c>
      <c r="L820">
        <f t="shared" si="12"/>
        <v>819</v>
      </c>
      <c r="M820">
        <f>COUNTIF($A$2:A820,A820)</f>
        <v>26</v>
      </c>
    </row>
    <row r="821" spans="1:13" x14ac:dyDescent="0.3">
      <c r="A821">
        <v>12137</v>
      </c>
      <c r="B821" t="s">
        <v>549</v>
      </c>
      <c r="C821" t="s">
        <v>104</v>
      </c>
      <c r="D821" t="s">
        <v>105</v>
      </c>
      <c r="E821">
        <v>55</v>
      </c>
      <c r="F821">
        <v>5.75</v>
      </c>
      <c r="G821">
        <v>79.45</v>
      </c>
      <c r="H821">
        <v>14.79</v>
      </c>
      <c r="I821">
        <v>0.01</v>
      </c>
      <c r="J821" s="1">
        <v>45928.064361886572</v>
      </c>
      <c r="K821" t="s">
        <v>550</v>
      </c>
      <c r="L821">
        <f t="shared" si="12"/>
        <v>820</v>
      </c>
      <c r="M821">
        <f>COUNTIF($A$2:A821,A821)</f>
        <v>27</v>
      </c>
    </row>
    <row r="822" spans="1:13" x14ac:dyDescent="0.3">
      <c r="A822">
        <v>12137</v>
      </c>
      <c r="B822" t="s">
        <v>549</v>
      </c>
      <c r="C822" t="s">
        <v>321</v>
      </c>
      <c r="D822" t="s">
        <v>322</v>
      </c>
      <c r="E822">
        <v>56</v>
      </c>
      <c r="F822">
        <v>1.1000000000000001</v>
      </c>
      <c r="G822">
        <v>81.64</v>
      </c>
      <c r="H822">
        <v>17.260000000000002</v>
      </c>
      <c r="I822">
        <v>0</v>
      </c>
      <c r="J822" s="1">
        <v>45928.064406608799</v>
      </c>
      <c r="K822" t="s">
        <v>550</v>
      </c>
      <c r="L822">
        <f t="shared" si="12"/>
        <v>821</v>
      </c>
      <c r="M822">
        <f>COUNTIF($A$2:A822,A822)</f>
        <v>28</v>
      </c>
    </row>
    <row r="823" spans="1:13" x14ac:dyDescent="0.3">
      <c r="A823">
        <v>12137</v>
      </c>
      <c r="B823" t="s">
        <v>549</v>
      </c>
      <c r="C823" t="s">
        <v>323</v>
      </c>
      <c r="D823" t="s">
        <v>324</v>
      </c>
      <c r="E823">
        <v>21</v>
      </c>
      <c r="F823">
        <v>79.45</v>
      </c>
      <c r="G823">
        <v>12.05</v>
      </c>
      <c r="H823">
        <v>8.49</v>
      </c>
      <c r="I823">
        <v>0.01</v>
      </c>
      <c r="J823" s="1">
        <v>45928.064428483798</v>
      </c>
      <c r="K823" t="s">
        <v>550</v>
      </c>
      <c r="L823">
        <f t="shared" si="12"/>
        <v>822</v>
      </c>
      <c r="M823">
        <f>COUNTIF($A$2:A823,A823)</f>
        <v>29</v>
      </c>
    </row>
    <row r="824" spans="1:13" x14ac:dyDescent="0.3">
      <c r="A824">
        <v>12137</v>
      </c>
      <c r="B824" t="s">
        <v>549</v>
      </c>
      <c r="C824" t="s">
        <v>106</v>
      </c>
      <c r="D824" t="s">
        <v>107</v>
      </c>
      <c r="E824">
        <v>26</v>
      </c>
      <c r="F824">
        <v>69.040000000000006</v>
      </c>
      <c r="G824">
        <v>21.64</v>
      </c>
      <c r="H824">
        <v>9.32</v>
      </c>
      <c r="I824">
        <v>0</v>
      </c>
      <c r="J824" s="1">
        <v>45928.064474479164</v>
      </c>
      <c r="K824" t="s">
        <v>550</v>
      </c>
      <c r="L824">
        <f t="shared" si="12"/>
        <v>823</v>
      </c>
      <c r="M824">
        <f>COUNTIF($A$2:A824,A824)</f>
        <v>30</v>
      </c>
    </row>
    <row r="825" spans="1:13" x14ac:dyDescent="0.3">
      <c r="A825">
        <v>12137</v>
      </c>
      <c r="B825" t="s">
        <v>549</v>
      </c>
      <c r="C825" t="s">
        <v>579</v>
      </c>
      <c r="D825" t="s">
        <v>580</v>
      </c>
      <c r="E825">
        <v>28</v>
      </c>
      <c r="F825">
        <v>64.11</v>
      </c>
      <c r="G825">
        <v>26.3</v>
      </c>
      <c r="H825">
        <v>9.59</v>
      </c>
      <c r="I825">
        <v>0</v>
      </c>
      <c r="J825" s="1">
        <v>45928.064497604166</v>
      </c>
      <c r="K825" t="s">
        <v>550</v>
      </c>
      <c r="L825">
        <f t="shared" si="12"/>
        <v>824</v>
      </c>
      <c r="M825">
        <f>COUNTIF($A$2:A825,A825)</f>
        <v>31</v>
      </c>
    </row>
    <row r="826" spans="1:13" x14ac:dyDescent="0.3">
      <c r="A826">
        <v>12137</v>
      </c>
      <c r="B826" t="s">
        <v>549</v>
      </c>
      <c r="C826" t="s">
        <v>279</v>
      </c>
      <c r="D826" t="s">
        <v>280</v>
      </c>
      <c r="E826">
        <v>41</v>
      </c>
      <c r="F826">
        <v>21.37</v>
      </c>
      <c r="G826">
        <v>65.75</v>
      </c>
      <c r="H826">
        <v>12.88</v>
      </c>
      <c r="I826">
        <v>0</v>
      </c>
      <c r="J826" s="1">
        <v>45928.064541817126</v>
      </c>
      <c r="K826" t="s">
        <v>550</v>
      </c>
      <c r="L826">
        <f t="shared" si="12"/>
        <v>825</v>
      </c>
      <c r="M826">
        <f>COUNTIF($A$2:A826,A826)</f>
        <v>32</v>
      </c>
    </row>
    <row r="827" spans="1:13" x14ac:dyDescent="0.3">
      <c r="A827">
        <v>12137</v>
      </c>
      <c r="B827" t="s">
        <v>549</v>
      </c>
      <c r="C827" t="s">
        <v>581</v>
      </c>
      <c r="D827" t="s">
        <v>582</v>
      </c>
      <c r="E827">
        <v>48</v>
      </c>
      <c r="F827">
        <v>4.93</v>
      </c>
      <c r="G827">
        <v>81.099999999999994</v>
      </c>
      <c r="H827">
        <v>13.97</v>
      </c>
      <c r="I827">
        <v>0</v>
      </c>
      <c r="J827" s="1">
        <v>45928.064589895832</v>
      </c>
      <c r="K827" t="s">
        <v>550</v>
      </c>
      <c r="L827">
        <f t="shared" si="12"/>
        <v>826</v>
      </c>
      <c r="M827">
        <f>COUNTIF($A$2:A827,A827)</f>
        <v>33</v>
      </c>
    </row>
    <row r="828" spans="1:13" x14ac:dyDescent="0.3">
      <c r="A828">
        <v>12137</v>
      </c>
      <c r="B828" t="s">
        <v>549</v>
      </c>
      <c r="C828" t="s">
        <v>281</v>
      </c>
      <c r="D828" t="s">
        <v>282</v>
      </c>
      <c r="E828">
        <v>26</v>
      </c>
      <c r="F828">
        <v>75.89</v>
      </c>
      <c r="G828">
        <v>14.52</v>
      </c>
      <c r="H828">
        <v>9.59</v>
      </c>
      <c r="I828">
        <v>0</v>
      </c>
      <c r="J828" s="1">
        <v>45928.064611412039</v>
      </c>
      <c r="K828" t="s">
        <v>550</v>
      </c>
      <c r="L828">
        <f t="shared" si="12"/>
        <v>827</v>
      </c>
      <c r="M828">
        <f>COUNTIF($A$2:A828,A828)</f>
        <v>34</v>
      </c>
    </row>
    <row r="829" spans="1:13" x14ac:dyDescent="0.3">
      <c r="A829">
        <v>12137</v>
      </c>
      <c r="B829" t="s">
        <v>549</v>
      </c>
      <c r="C829" t="s">
        <v>108</v>
      </c>
      <c r="D829" t="s">
        <v>109</v>
      </c>
      <c r="E829">
        <v>36</v>
      </c>
      <c r="F829">
        <v>50.41</v>
      </c>
      <c r="G829">
        <v>38.36</v>
      </c>
      <c r="H829">
        <v>11.23</v>
      </c>
      <c r="I829">
        <v>0</v>
      </c>
      <c r="J829" s="1">
        <v>45928.064658923613</v>
      </c>
      <c r="K829" t="s">
        <v>550</v>
      </c>
      <c r="L829">
        <f t="shared" si="12"/>
        <v>828</v>
      </c>
      <c r="M829">
        <f>COUNTIF($A$2:A829,A829)</f>
        <v>35</v>
      </c>
    </row>
    <row r="830" spans="1:13" x14ac:dyDescent="0.3">
      <c r="A830">
        <v>12137</v>
      </c>
      <c r="B830" t="s">
        <v>549</v>
      </c>
      <c r="C830" t="s">
        <v>110</v>
      </c>
      <c r="D830" t="s">
        <v>111</v>
      </c>
      <c r="E830">
        <v>43</v>
      </c>
      <c r="F830">
        <v>35.07</v>
      </c>
      <c r="G830">
        <v>51.51</v>
      </c>
      <c r="H830">
        <v>13.42</v>
      </c>
      <c r="I830">
        <v>0</v>
      </c>
      <c r="J830" s="1">
        <v>45928.064702766205</v>
      </c>
      <c r="K830" t="s">
        <v>550</v>
      </c>
      <c r="L830">
        <f t="shared" si="12"/>
        <v>829</v>
      </c>
      <c r="M830">
        <f>COUNTIF($A$2:A830,A830)</f>
        <v>36</v>
      </c>
    </row>
    <row r="831" spans="1:13" x14ac:dyDescent="0.3">
      <c r="A831">
        <v>12137</v>
      </c>
      <c r="B831" t="s">
        <v>549</v>
      </c>
      <c r="C831" t="s">
        <v>583</v>
      </c>
      <c r="D831" t="s">
        <v>584</v>
      </c>
      <c r="E831">
        <v>49</v>
      </c>
      <c r="F831">
        <v>21.64</v>
      </c>
      <c r="G831">
        <v>62.19</v>
      </c>
      <c r="H831">
        <v>16.16</v>
      </c>
      <c r="I831">
        <v>0.01</v>
      </c>
      <c r="J831" s="1">
        <v>45928.064722974537</v>
      </c>
      <c r="K831" t="s">
        <v>550</v>
      </c>
      <c r="L831">
        <f t="shared" si="12"/>
        <v>830</v>
      </c>
      <c r="M831">
        <f>COUNTIF($A$2:A831,A831)</f>
        <v>37</v>
      </c>
    </row>
    <row r="832" spans="1:13" x14ac:dyDescent="0.3">
      <c r="A832">
        <v>12137</v>
      </c>
      <c r="B832" t="s">
        <v>549</v>
      </c>
      <c r="C832" t="s">
        <v>585</v>
      </c>
      <c r="D832" t="s">
        <v>586</v>
      </c>
      <c r="E832">
        <v>55</v>
      </c>
      <c r="F832">
        <v>14.52</v>
      </c>
      <c r="G832">
        <v>62.74</v>
      </c>
      <c r="H832">
        <v>22.74</v>
      </c>
      <c r="I832">
        <v>0</v>
      </c>
      <c r="J832" s="1">
        <v>45928.064768067132</v>
      </c>
      <c r="K832" t="s">
        <v>550</v>
      </c>
      <c r="L832">
        <f t="shared" si="12"/>
        <v>831</v>
      </c>
      <c r="M832">
        <f>COUNTIF($A$2:A832,A832)</f>
        <v>38</v>
      </c>
    </row>
    <row r="833" spans="1:13" x14ac:dyDescent="0.3">
      <c r="A833">
        <v>12137</v>
      </c>
      <c r="B833" t="s">
        <v>549</v>
      </c>
      <c r="C833" t="s">
        <v>587</v>
      </c>
      <c r="D833" t="s">
        <v>588</v>
      </c>
      <c r="E833">
        <v>61</v>
      </c>
      <c r="F833">
        <v>4.93</v>
      </c>
      <c r="G833">
        <v>67.95</v>
      </c>
      <c r="H833">
        <v>27.12</v>
      </c>
      <c r="I833">
        <v>0</v>
      </c>
      <c r="J833" s="1">
        <v>45928.064810532407</v>
      </c>
      <c r="K833" t="s">
        <v>550</v>
      </c>
      <c r="L833">
        <f t="shared" si="12"/>
        <v>832</v>
      </c>
      <c r="M833">
        <f>COUNTIF($A$2:A833,A833)</f>
        <v>39</v>
      </c>
    </row>
    <row r="834" spans="1:13" x14ac:dyDescent="0.3">
      <c r="A834">
        <v>12137</v>
      </c>
      <c r="B834" t="s">
        <v>549</v>
      </c>
      <c r="C834" t="s">
        <v>589</v>
      </c>
      <c r="D834" t="s">
        <v>590</v>
      </c>
      <c r="E834">
        <v>64</v>
      </c>
      <c r="F834">
        <v>3.84</v>
      </c>
      <c r="G834">
        <v>66.03</v>
      </c>
      <c r="H834">
        <v>30.14</v>
      </c>
      <c r="I834">
        <v>0</v>
      </c>
      <c r="J834" s="1">
        <v>45928.064856666664</v>
      </c>
      <c r="K834" t="s">
        <v>550</v>
      </c>
      <c r="L834">
        <f t="shared" ref="L834:L897" si="13">ROW()-1</f>
        <v>833</v>
      </c>
      <c r="M834">
        <f>COUNTIF($A$2:A834,A834)</f>
        <v>40</v>
      </c>
    </row>
    <row r="835" spans="1:13" x14ac:dyDescent="0.3">
      <c r="A835">
        <v>12137</v>
      </c>
      <c r="B835" t="s">
        <v>549</v>
      </c>
      <c r="C835" t="s">
        <v>591</v>
      </c>
      <c r="D835" t="s">
        <v>592</v>
      </c>
      <c r="E835">
        <v>64</v>
      </c>
      <c r="F835">
        <v>7.67</v>
      </c>
      <c r="G835">
        <v>62.19</v>
      </c>
      <c r="H835">
        <v>30.14</v>
      </c>
      <c r="I835">
        <v>0</v>
      </c>
      <c r="J835" s="1">
        <v>45928.064879201389</v>
      </c>
      <c r="K835" t="s">
        <v>550</v>
      </c>
      <c r="L835">
        <f t="shared" si="13"/>
        <v>834</v>
      </c>
      <c r="M835">
        <f>COUNTIF($A$2:A835,A835)</f>
        <v>41</v>
      </c>
    </row>
    <row r="836" spans="1:13" x14ac:dyDescent="0.3">
      <c r="A836">
        <v>12137</v>
      </c>
      <c r="B836" t="s">
        <v>549</v>
      </c>
      <c r="C836" t="s">
        <v>593</v>
      </c>
      <c r="D836" t="s">
        <v>594</v>
      </c>
      <c r="E836">
        <v>65</v>
      </c>
      <c r="F836">
        <v>7.12</v>
      </c>
      <c r="G836">
        <v>60.82</v>
      </c>
      <c r="H836">
        <v>32.049999999999997</v>
      </c>
      <c r="I836">
        <v>0.01</v>
      </c>
      <c r="J836" s="1">
        <v>45928.06489760417</v>
      </c>
      <c r="K836" t="s">
        <v>550</v>
      </c>
      <c r="L836">
        <f t="shared" si="13"/>
        <v>835</v>
      </c>
      <c r="M836">
        <f>COUNTIF($A$2:A836,A836)</f>
        <v>42</v>
      </c>
    </row>
    <row r="837" spans="1:13" x14ac:dyDescent="0.3">
      <c r="A837">
        <v>12137</v>
      </c>
      <c r="B837" t="s">
        <v>549</v>
      </c>
      <c r="C837" t="s">
        <v>595</v>
      </c>
      <c r="D837" t="s">
        <v>596</v>
      </c>
      <c r="F837">
        <v>7.12</v>
      </c>
      <c r="G837">
        <v>59.73</v>
      </c>
      <c r="H837">
        <v>33.15</v>
      </c>
      <c r="I837">
        <v>0</v>
      </c>
      <c r="J837" s="1">
        <v>45928.064931053239</v>
      </c>
      <c r="K837" t="s">
        <v>550</v>
      </c>
      <c r="L837">
        <f t="shared" si="13"/>
        <v>836</v>
      </c>
      <c r="M837">
        <f>COUNTIF($A$2:A837,A837)</f>
        <v>43</v>
      </c>
    </row>
    <row r="838" spans="1:13" x14ac:dyDescent="0.3">
      <c r="A838">
        <v>12137</v>
      </c>
      <c r="B838" t="s">
        <v>549</v>
      </c>
      <c r="C838" t="s">
        <v>597</v>
      </c>
      <c r="D838" t="s">
        <v>598</v>
      </c>
      <c r="E838">
        <v>62</v>
      </c>
      <c r="F838">
        <v>13.42</v>
      </c>
      <c r="G838">
        <v>55.07</v>
      </c>
      <c r="H838">
        <v>31.51</v>
      </c>
      <c r="I838">
        <v>0</v>
      </c>
      <c r="J838" s="1">
        <v>45928.064977395836</v>
      </c>
      <c r="K838" t="s">
        <v>550</v>
      </c>
      <c r="L838">
        <f t="shared" si="13"/>
        <v>837</v>
      </c>
      <c r="M838">
        <f>COUNTIF($A$2:A838,A838)</f>
        <v>44</v>
      </c>
    </row>
    <row r="839" spans="1:13" x14ac:dyDescent="0.3">
      <c r="A839">
        <v>12137</v>
      </c>
      <c r="B839" t="s">
        <v>549</v>
      </c>
      <c r="C839" t="s">
        <v>599</v>
      </c>
      <c r="D839" t="s">
        <v>600</v>
      </c>
      <c r="E839">
        <v>64</v>
      </c>
      <c r="F839">
        <v>10.41</v>
      </c>
      <c r="G839">
        <v>56.16</v>
      </c>
      <c r="H839">
        <v>33.42</v>
      </c>
      <c r="I839">
        <v>0.01</v>
      </c>
      <c r="J839" s="1">
        <v>45928.064996967594</v>
      </c>
      <c r="K839" t="s">
        <v>550</v>
      </c>
      <c r="L839">
        <f t="shared" si="13"/>
        <v>838</v>
      </c>
      <c r="M839">
        <f>COUNTIF($A$2:A839,A839)</f>
        <v>45</v>
      </c>
    </row>
    <row r="840" spans="1:13" x14ac:dyDescent="0.3">
      <c r="A840">
        <v>12137</v>
      </c>
      <c r="B840" t="s">
        <v>549</v>
      </c>
      <c r="C840" t="s">
        <v>601</v>
      </c>
      <c r="D840" t="s">
        <v>602</v>
      </c>
      <c r="F840">
        <v>10.14</v>
      </c>
      <c r="G840">
        <v>55.34</v>
      </c>
      <c r="H840">
        <v>34.520000000000003</v>
      </c>
      <c r="I840">
        <v>0</v>
      </c>
      <c r="J840" s="1">
        <v>45928.065028599536</v>
      </c>
      <c r="K840" t="s">
        <v>550</v>
      </c>
      <c r="L840">
        <f t="shared" si="13"/>
        <v>839</v>
      </c>
      <c r="M840">
        <f>COUNTIF($A$2:A840,A840)</f>
        <v>46</v>
      </c>
    </row>
    <row r="841" spans="1:13" x14ac:dyDescent="0.3">
      <c r="A841">
        <v>12137</v>
      </c>
      <c r="B841" t="s">
        <v>549</v>
      </c>
      <c r="C841" t="s">
        <v>603</v>
      </c>
      <c r="D841" t="s">
        <v>604</v>
      </c>
      <c r="E841">
        <v>68</v>
      </c>
      <c r="F841">
        <v>7.95</v>
      </c>
      <c r="G841">
        <v>55.62</v>
      </c>
      <c r="H841">
        <v>36.44</v>
      </c>
      <c r="I841">
        <v>0</v>
      </c>
      <c r="J841" s="1">
        <v>45928.065073530095</v>
      </c>
      <c r="K841" t="s">
        <v>550</v>
      </c>
      <c r="L841">
        <f t="shared" si="13"/>
        <v>840</v>
      </c>
      <c r="M841">
        <f>COUNTIF($A$2:A841,A841)</f>
        <v>47</v>
      </c>
    </row>
    <row r="842" spans="1:13" x14ac:dyDescent="0.3">
      <c r="A842">
        <v>12137</v>
      </c>
      <c r="B842" t="s">
        <v>549</v>
      </c>
      <c r="C842" t="s">
        <v>605</v>
      </c>
      <c r="D842" t="s">
        <v>605</v>
      </c>
      <c r="E842">
        <v>70</v>
      </c>
      <c r="F842">
        <v>6.58</v>
      </c>
      <c r="G842">
        <v>55.07</v>
      </c>
      <c r="H842">
        <v>38.36</v>
      </c>
      <c r="I842">
        <v>0</v>
      </c>
      <c r="J842" s="1">
        <v>45928.065119039355</v>
      </c>
      <c r="K842" t="s">
        <v>550</v>
      </c>
      <c r="L842">
        <f t="shared" si="13"/>
        <v>841</v>
      </c>
      <c r="M842">
        <f>COUNTIF($A$2:A842,A842)</f>
        <v>48</v>
      </c>
    </row>
    <row r="843" spans="1:13" x14ac:dyDescent="0.3">
      <c r="A843">
        <v>12137</v>
      </c>
      <c r="B843" t="s">
        <v>549</v>
      </c>
      <c r="C843" t="s">
        <v>606</v>
      </c>
      <c r="D843" t="s">
        <v>607</v>
      </c>
      <c r="E843">
        <v>49</v>
      </c>
      <c r="F843">
        <v>40.549999999999997</v>
      </c>
      <c r="G843">
        <v>39.450000000000003</v>
      </c>
      <c r="H843">
        <v>20</v>
      </c>
      <c r="I843">
        <v>0</v>
      </c>
      <c r="J843" s="1">
        <v>45928.065137708334</v>
      </c>
      <c r="K843" t="s">
        <v>550</v>
      </c>
      <c r="L843">
        <f t="shared" si="13"/>
        <v>842</v>
      </c>
      <c r="M843">
        <f>COUNTIF($A$2:A843,A843)</f>
        <v>49</v>
      </c>
    </row>
    <row r="844" spans="1:13" x14ac:dyDescent="0.3">
      <c r="A844">
        <v>12137</v>
      </c>
      <c r="B844" t="s">
        <v>549</v>
      </c>
      <c r="C844" t="s">
        <v>608</v>
      </c>
      <c r="D844" t="s">
        <v>609</v>
      </c>
      <c r="E844">
        <v>57</v>
      </c>
      <c r="F844">
        <v>30.14</v>
      </c>
      <c r="G844">
        <v>45.21</v>
      </c>
      <c r="H844">
        <v>24.66</v>
      </c>
      <c r="I844">
        <v>0</v>
      </c>
      <c r="J844" s="1">
        <v>45928.065183333332</v>
      </c>
      <c r="K844" t="s">
        <v>550</v>
      </c>
      <c r="L844">
        <f t="shared" si="13"/>
        <v>843</v>
      </c>
      <c r="M844">
        <f>COUNTIF($A$2:A844,A844)</f>
        <v>50</v>
      </c>
    </row>
    <row r="845" spans="1:13" x14ac:dyDescent="0.3">
      <c r="A845">
        <v>12137</v>
      </c>
      <c r="B845" t="s">
        <v>549</v>
      </c>
      <c r="C845" t="s">
        <v>610</v>
      </c>
      <c r="D845" t="s">
        <v>611</v>
      </c>
      <c r="F845">
        <v>27.67</v>
      </c>
      <c r="G845">
        <v>45.75</v>
      </c>
      <c r="H845">
        <v>26.58</v>
      </c>
      <c r="I845">
        <v>0</v>
      </c>
      <c r="J845" s="1">
        <v>45928.065215902781</v>
      </c>
      <c r="K845" t="s">
        <v>550</v>
      </c>
      <c r="L845">
        <f t="shared" si="13"/>
        <v>844</v>
      </c>
      <c r="M845">
        <f>COUNTIF($A$2:A845,A845)</f>
        <v>51</v>
      </c>
    </row>
    <row r="846" spans="1:13" x14ac:dyDescent="0.3">
      <c r="A846">
        <v>12137</v>
      </c>
      <c r="B846" t="s">
        <v>549</v>
      </c>
      <c r="C846" t="s">
        <v>612</v>
      </c>
      <c r="D846" t="s">
        <v>613</v>
      </c>
      <c r="F846">
        <v>25.75</v>
      </c>
      <c r="G846">
        <v>43.56</v>
      </c>
      <c r="H846">
        <v>30.68</v>
      </c>
      <c r="I846">
        <v>0</v>
      </c>
      <c r="J846" s="1">
        <v>45928.065247557868</v>
      </c>
      <c r="K846" t="s">
        <v>550</v>
      </c>
      <c r="L846">
        <f t="shared" si="13"/>
        <v>845</v>
      </c>
      <c r="M846">
        <f>COUNTIF($A$2:A846,A846)</f>
        <v>52</v>
      </c>
    </row>
    <row r="847" spans="1:13" x14ac:dyDescent="0.3">
      <c r="A847">
        <v>12137</v>
      </c>
      <c r="B847" t="s">
        <v>549</v>
      </c>
      <c r="C847" t="s">
        <v>614</v>
      </c>
      <c r="D847" t="s">
        <v>615</v>
      </c>
      <c r="E847">
        <v>66</v>
      </c>
      <c r="F847">
        <v>25.21</v>
      </c>
      <c r="G847">
        <v>40.270000000000003</v>
      </c>
      <c r="H847">
        <v>34.520000000000003</v>
      </c>
      <c r="I847">
        <v>0</v>
      </c>
      <c r="J847" s="1">
        <v>45928.065289849539</v>
      </c>
      <c r="K847" t="s">
        <v>550</v>
      </c>
      <c r="L847">
        <f t="shared" si="13"/>
        <v>846</v>
      </c>
      <c r="M847">
        <f>COUNTIF($A$2:A847,A847)</f>
        <v>53</v>
      </c>
    </row>
    <row r="848" spans="1:13" x14ac:dyDescent="0.3">
      <c r="A848">
        <v>12137</v>
      </c>
      <c r="B848" t="s">
        <v>549</v>
      </c>
      <c r="C848" t="s">
        <v>616</v>
      </c>
      <c r="D848" t="s">
        <v>617</v>
      </c>
      <c r="E848">
        <v>39</v>
      </c>
      <c r="F848">
        <v>53.42</v>
      </c>
      <c r="G848">
        <v>31.23</v>
      </c>
      <c r="H848">
        <v>15.34</v>
      </c>
      <c r="I848">
        <v>0.01</v>
      </c>
      <c r="J848" s="1">
        <v>45928.065307291668</v>
      </c>
      <c r="K848" t="s">
        <v>550</v>
      </c>
      <c r="L848">
        <f t="shared" si="13"/>
        <v>847</v>
      </c>
      <c r="M848">
        <f>COUNTIF($A$2:A848,A848)</f>
        <v>54</v>
      </c>
    </row>
    <row r="849" spans="1:13" x14ac:dyDescent="0.3">
      <c r="A849">
        <v>12138</v>
      </c>
      <c r="B849" t="s">
        <v>549</v>
      </c>
      <c r="C849" t="s">
        <v>616</v>
      </c>
      <c r="D849" t="s">
        <v>617</v>
      </c>
      <c r="F849">
        <v>98.08</v>
      </c>
      <c r="G849">
        <v>1.64</v>
      </c>
      <c r="H849">
        <v>0.27</v>
      </c>
      <c r="I849">
        <v>0</v>
      </c>
      <c r="J849" s="1">
        <v>45928.065516736111</v>
      </c>
      <c r="K849" t="s">
        <v>618</v>
      </c>
      <c r="L849">
        <f t="shared" si="13"/>
        <v>848</v>
      </c>
      <c r="M849">
        <f>COUNTIF($A$2:A849,A849)</f>
        <v>1</v>
      </c>
    </row>
    <row r="850" spans="1:13" x14ac:dyDescent="0.3">
      <c r="A850">
        <v>12138</v>
      </c>
      <c r="B850" t="s">
        <v>549</v>
      </c>
      <c r="C850" t="s">
        <v>614</v>
      </c>
      <c r="D850" t="s">
        <v>615</v>
      </c>
      <c r="E850">
        <v>12</v>
      </c>
      <c r="F850">
        <v>93.15</v>
      </c>
      <c r="G850">
        <v>6.58</v>
      </c>
      <c r="H850">
        <v>0.27</v>
      </c>
      <c r="I850">
        <v>0</v>
      </c>
      <c r="J850" s="1">
        <v>45928.065561423609</v>
      </c>
      <c r="K850" t="s">
        <v>618</v>
      </c>
      <c r="L850">
        <f t="shared" si="13"/>
        <v>849</v>
      </c>
      <c r="M850">
        <f>COUNTIF($A$2:A850,A850)</f>
        <v>2</v>
      </c>
    </row>
    <row r="851" spans="1:13" x14ac:dyDescent="0.3">
      <c r="A851">
        <v>12138</v>
      </c>
      <c r="B851" t="s">
        <v>549</v>
      </c>
      <c r="C851" t="s">
        <v>612</v>
      </c>
      <c r="D851" t="s">
        <v>613</v>
      </c>
      <c r="E851">
        <v>16</v>
      </c>
      <c r="F851">
        <v>69.040000000000006</v>
      </c>
      <c r="G851">
        <v>30.41</v>
      </c>
      <c r="H851">
        <v>0.55000000000000004</v>
      </c>
      <c r="I851">
        <v>0</v>
      </c>
      <c r="J851" s="1">
        <v>45928.065604131945</v>
      </c>
      <c r="K851" t="s">
        <v>618</v>
      </c>
      <c r="L851">
        <f t="shared" si="13"/>
        <v>850</v>
      </c>
      <c r="M851">
        <f>COUNTIF($A$2:A851,A851)</f>
        <v>3</v>
      </c>
    </row>
    <row r="852" spans="1:13" x14ac:dyDescent="0.3">
      <c r="A852">
        <v>12138</v>
      </c>
      <c r="B852" t="s">
        <v>549</v>
      </c>
      <c r="C852" t="s">
        <v>610</v>
      </c>
      <c r="D852" t="s">
        <v>611</v>
      </c>
      <c r="E852">
        <v>14</v>
      </c>
      <c r="F852">
        <v>86.03</v>
      </c>
      <c r="G852">
        <v>13.15</v>
      </c>
      <c r="H852">
        <v>0.82</v>
      </c>
      <c r="I852">
        <v>0</v>
      </c>
      <c r="J852" s="1">
        <v>45928.065644513888</v>
      </c>
      <c r="K852" t="s">
        <v>618</v>
      </c>
      <c r="L852">
        <f t="shared" si="13"/>
        <v>851</v>
      </c>
      <c r="M852">
        <f>COUNTIF($A$2:A852,A852)</f>
        <v>4</v>
      </c>
    </row>
    <row r="853" spans="1:13" x14ac:dyDescent="0.3">
      <c r="A853">
        <v>12138</v>
      </c>
      <c r="B853" t="s">
        <v>549</v>
      </c>
      <c r="C853" t="s">
        <v>608</v>
      </c>
      <c r="D853" t="s">
        <v>609</v>
      </c>
      <c r="E853">
        <v>13</v>
      </c>
      <c r="F853">
        <v>86.3</v>
      </c>
      <c r="G853">
        <v>12.6</v>
      </c>
      <c r="H853">
        <v>1.1000000000000001</v>
      </c>
      <c r="I853">
        <v>0</v>
      </c>
      <c r="J853" s="1">
        <v>45928.065687569448</v>
      </c>
      <c r="K853" t="s">
        <v>618</v>
      </c>
      <c r="L853">
        <f t="shared" si="13"/>
        <v>852</v>
      </c>
      <c r="M853">
        <f>COUNTIF($A$2:A853,A853)</f>
        <v>5</v>
      </c>
    </row>
    <row r="854" spans="1:13" x14ac:dyDescent="0.3">
      <c r="A854">
        <v>12138</v>
      </c>
      <c r="B854" t="s">
        <v>549</v>
      </c>
      <c r="C854" t="s">
        <v>606</v>
      </c>
      <c r="D854" t="s">
        <v>607</v>
      </c>
      <c r="E854">
        <v>6</v>
      </c>
      <c r="F854">
        <v>96.71</v>
      </c>
      <c r="G854">
        <v>2.74</v>
      </c>
      <c r="H854">
        <v>0.55000000000000004</v>
      </c>
      <c r="I854">
        <v>0</v>
      </c>
      <c r="J854" s="1">
        <v>45928.065730856484</v>
      </c>
      <c r="K854" t="s">
        <v>618</v>
      </c>
      <c r="L854">
        <f t="shared" si="13"/>
        <v>853</v>
      </c>
      <c r="M854">
        <f>COUNTIF($A$2:A854,A854)</f>
        <v>6</v>
      </c>
    </row>
    <row r="855" spans="1:13" x14ac:dyDescent="0.3">
      <c r="A855">
        <v>12138</v>
      </c>
      <c r="B855" t="s">
        <v>549</v>
      </c>
      <c r="C855" t="s">
        <v>605</v>
      </c>
      <c r="D855" t="s">
        <v>605</v>
      </c>
      <c r="E855">
        <v>13</v>
      </c>
      <c r="F855">
        <v>90.96</v>
      </c>
      <c r="G855">
        <v>8.2200000000000006</v>
      </c>
      <c r="H855">
        <v>0.82</v>
      </c>
      <c r="I855">
        <v>0</v>
      </c>
      <c r="J855" s="1">
        <v>45928.065773935188</v>
      </c>
      <c r="K855" t="s">
        <v>618</v>
      </c>
      <c r="L855">
        <f t="shared" si="13"/>
        <v>854</v>
      </c>
      <c r="M855">
        <f>COUNTIF($A$2:A855,A855)</f>
        <v>7</v>
      </c>
    </row>
    <row r="856" spans="1:13" x14ac:dyDescent="0.3">
      <c r="A856">
        <v>12138</v>
      </c>
      <c r="B856" t="s">
        <v>549</v>
      </c>
      <c r="C856" t="s">
        <v>603</v>
      </c>
      <c r="D856" t="s">
        <v>604</v>
      </c>
      <c r="E856">
        <v>15</v>
      </c>
      <c r="F856">
        <v>86.58</v>
      </c>
      <c r="G856">
        <v>12.6</v>
      </c>
      <c r="H856">
        <v>0.82</v>
      </c>
      <c r="I856">
        <v>0</v>
      </c>
      <c r="J856" s="1">
        <v>45928.065819027775</v>
      </c>
      <c r="K856" t="s">
        <v>618</v>
      </c>
      <c r="L856">
        <f t="shared" si="13"/>
        <v>855</v>
      </c>
      <c r="M856">
        <f>COUNTIF($A$2:A856,A856)</f>
        <v>8</v>
      </c>
    </row>
    <row r="857" spans="1:13" x14ac:dyDescent="0.3">
      <c r="A857">
        <v>12138</v>
      </c>
      <c r="B857" t="s">
        <v>549</v>
      </c>
      <c r="C857" t="s">
        <v>601</v>
      </c>
      <c r="D857" t="s">
        <v>602</v>
      </c>
      <c r="E857">
        <v>16</v>
      </c>
      <c r="F857">
        <v>84.93</v>
      </c>
      <c r="G857">
        <v>13.42</v>
      </c>
      <c r="H857">
        <v>1.64</v>
      </c>
      <c r="I857">
        <v>0.01</v>
      </c>
      <c r="J857" s="1">
        <v>45928.065837858798</v>
      </c>
      <c r="K857" t="s">
        <v>618</v>
      </c>
      <c r="L857">
        <f t="shared" si="13"/>
        <v>856</v>
      </c>
      <c r="M857">
        <f>COUNTIF($A$2:A857,A857)</f>
        <v>9</v>
      </c>
    </row>
    <row r="858" spans="1:13" x14ac:dyDescent="0.3">
      <c r="A858">
        <v>12138</v>
      </c>
      <c r="B858" t="s">
        <v>549</v>
      </c>
      <c r="C858" t="s">
        <v>599</v>
      </c>
      <c r="D858" t="s">
        <v>600</v>
      </c>
      <c r="E858">
        <v>18</v>
      </c>
      <c r="F858">
        <v>79.45</v>
      </c>
      <c r="G858">
        <v>18.899999999999999</v>
      </c>
      <c r="H858">
        <v>1.64</v>
      </c>
      <c r="I858">
        <v>0.01</v>
      </c>
      <c r="J858" s="1">
        <v>45928.065854907407</v>
      </c>
      <c r="K858" t="s">
        <v>618</v>
      </c>
      <c r="L858">
        <f t="shared" si="13"/>
        <v>857</v>
      </c>
      <c r="M858">
        <f>COUNTIF($A$2:A858,A858)</f>
        <v>10</v>
      </c>
    </row>
    <row r="859" spans="1:13" x14ac:dyDescent="0.3">
      <c r="A859">
        <v>12138</v>
      </c>
      <c r="B859" t="s">
        <v>549</v>
      </c>
      <c r="C859" t="s">
        <v>597</v>
      </c>
      <c r="D859" t="s">
        <v>598</v>
      </c>
      <c r="E859">
        <v>15</v>
      </c>
      <c r="F859">
        <v>85.75</v>
      </c>
      <c r="G859">
        <v>12.33</v>
      </c>
      <c r="H859">
        <v>1.92</v>
      </c>
      <c r="I859">
        <v>0</v>
      </c>
      <c r="J859" s="1">
        <v>45928.065872488427</v>
      </c>
      <c r="K859" t="s">
        <v>618</v>
      </c>
      <c r="L859">
        <f t="shared" si="13"/>
        <v>858</v>
      </c>
      <c r="M859">
        <f>COUNTIF($A$2:A859,A859)</f>
        <v>11</v>
      </c>
    </row>
    <row r="860" spans="1:13" x14ac:dyDescent="0.3">
      <c r="A860">
        <v>12138</v>
      </c>
      <c r="B860" t="s">
        <v>549</v>
      </c>
      <c r="C860" t="s">
        <v>595</v>
      </c>
      <c r="D860" t="s">
        <v>596</v>
      </c>
      <c r="E860">
        <v>15</v>
      </c>
      <c r="F860">
        <v>84.66</v>
      </c>
      <c r="G860">
        <v>12.88</v>
      </c>
      <c r="H860">
        <v>2.4700000000000002</v>
      </c>
      <c r="I860">
        <v>0</v>
      </c>
      <c r="J860" s="1">
        <v>45928.065916446758</v>
      </c>
      <c r="K860" t="s">
        <v>618</v>
      </c>
      <c r="L860">
        <f t="shared" si="13"/>
        <v>859</v>
      </c>
      <c r="M860">
        <f>COUNTIF($A$2:A860,A860)</f>
        <v>12</v>
      </c>
    </row>
    <row r="861" spans="1:13" x14ac:dyDescent="0.3">
      <c r="A861">
        <v>12138</v>
      </c>
      <c r="B861" t="s">
        <v>549</v>
      </c>
      <c r="C861" t="s">
        <v>593</v>
      </c>
      <c r="D861" t="s">
        <v>594</v>
      </c>
      <c r="E861">
        <v>21</v>
      </c>
      <c r="F861">
        <v>57.81</v>
      </c>
      <c r="G861">
        <v>38.9</v>
      </c>
      <c r="H861">
        <v>3.29</v>
      </c>
      <c r="I861">
        <v>0</v>
      </c>
      <c r="J861" s="1">
        <v>45928.065958368054</v>
      </c>
      <c r="K861" t="s">
        <v>618</v>
      </c>
      <c r="L861">
        <f t="shared" si="13"/>
        <v>860</v>
      </c>
      <c r="M861">
        <f>COUNTIF($A$2:A861,A861)</f>
        <v>13</v>
      </c>
    </row>
    <row r="862" spans="1:13" x14ac:dyDescent="0.3">
      <c r="A862">
        <v>12138</v>
      </c>
      <c r="B862" t="s">
        <v>549</v>
      </c>
      <c r="C862" t="s">
        <v>591</v>
      </c>
      <c r="D862" t="s">
        <v>592</v>
      </c>
      <c r="F862">
        <v>73.150000000000006</v>
      </c>
      <c r="G862">
        <v>23.01</v>
      </c>
      <c r="H862">
        <v>3.84</v>
      </c>
      <c r="I862">
        <v>0</v>
      </c>
      <c r="J862" s="1">
        <v>45928.065992372685</v>
      </c>
      <c r="K862" t="s">
        <v>618</v>
      </c>
      <c r="L862">
        <f t="shared" si="13"/>
        <v>861</v>
      </c>
      <c r="M862">
        <f>COUNTIF($A$2:A862,A862)</f>
        <v>14</v>
      </c>
    </row>
    <row r="863" spans="1:13" x14ac:dyDescent="0.3">
      <c r="A863">
        <v>12138</v>
      </c>
      <c r="B863" t="s">
        <v>549</v>
      </c>
      <c r="C863" t="s">
        <v>589</v>
      </c>
      <c r="D863" t="s">
        <v>590</v>
      </c>
      <c r="E863">
        <v>15</v>
      </c>
      <c r="F863">
        <v>75.34</v>
      </c>
      <c r="G863">
        <v>20.27</v>
      </c>
      <c r="H863">
        <v>4.38</v>
      </c>
      <c r="I863">
        <v>0.01</v>
      </c>
      <c r="J863" s="1">
        <v>45928.066009652779</v>
      </c>
      <c r="K863" t="s">
        <v>618</v>
      </c>
      <c r="L863">
        <f t="shared" si="13"/>
        <v>862</v>
      </c>
      <c r="M863">
        <f>COUNTIF($A$2:A863,A863)</f>
        <v>15</v>
      </c>
    </row>
    <row r="864" spans="1:13" x14ac:dyDescent="0.3">
      <c r="A864">
        <v>12138</v>
      </c>
      <c r="B864" t="s">
        <v>549</v>
      </c>
      <c r="C864" t="s">
        <v>587</v>
      </c>
      <c r="D864" t="s">
        <v>588</v>
      </c>
      <c r="E864">
        <v>18</v>
      </c>
      <c r="F864">
        <v>67.400000000000006</v>
      </c>
      <c r="G864">
        <v>27.4</v>
      </c>
      <c r="H864">
        <v>5.21</v>
      </c>
      <c r="I864">
        <v>0</v>
      </c>
      <c r="J864" s="1">
        <v>45928.066053171293</v>
      </c>
      <c r="K864" t="s">
        <v>618</v>
      </c>
      <c r="L864">
        <f t="shared" si="13"/>
        <v>863</v>
      </c>
      <c r="M864">
        <f>COUNTIF($A$2:A864,A864)</f>
        <v>16</v>
      </c>
    </row>
    <row r="865" spans="1:13" x14ac:dyDescent="0.3">
      <c r="A865">
        <v>12138</v>
      </c>
      <c r="B865" t="s">
        <v>549</v>
      </c>
      <c r="C865" t="s">
        <v>585</v>
      </c>
      <c r="D865" t="s">
        <v>586</v>
      </c>
      <c r="E865">
        <v>14</v>
      </c>
      <c r="F865">
        <v>81.92</v>
      </c>
      <c r="G865">
        <v>13.97</v>
      </c>
      <c r="H865">
        <v>4.1100000000000003</v>
      </c>
      <c r="I865">
        <v>0</v>
      </c>
      <c r="J865" s="1">
        <v>45928.066094571761</v>
      </c>
      <c r="K865" t="s">
        <v>618</v>
      </c>
      <c r="L865">
        <f t="shared" si="13"/>
        <v>864</v>
      </c>
      <c r="M865">
        <f>COUNTIF($A$2:A865,A865)</f>
        <v>17</v>
      </c>
    </row>
    <row r="866" spans="1:13" x14ac:dyDescent="0.3">
      <c r="A866">
        <v>12138</v>
      </c>
      <c r="B866" t="s">
        <v>549</v>
      </c>
      <c r="C866" t="s">
        <v>583</v>
      </c>
      <c r="D866" t="s">
        <v>584</v>
      </c>
      <c r="E866">
        <v>17</v>
      </c>
      <c r="F866">
        <v>76.44</v>
      </c>
      <c r="G866">
        <v>18.36</v>
      </c>
      <c r="H866">
        <v>5.21</v>
      </c>
      <c r="I866">
        <v>0</v>
      </c>
      <c r="J866" s="1">
        <v>45928.066138090275</v>
      </c>
      <c r="K866" t="s">
        <v>618</v>
      </c>
      <c r="L866">
        <f t="shared" si="13"/>
        <v>865</v>
      </c>
      <c r="M866">
        <f>COUNTIF($A$2:A866,A866)</f>
        <v>18</v>
      </c>
    </row>
    <row r="867" spans="1:13" x14ac:dyDescent="0.3">
      <c r="A867">
        <v>12138</v>
      </c>
      <c r="B867" t="s">
        <v>549</v>
      </c>
      <c r="C867" t="s">
        <v>110</v>
      </c>
      <c r="D867" t="s">
        <v>111</v>
      </c>
      <c r="E867">
        <v>15</v>
      </c>
      <c r="F867">
        <v>81.64</v>
      </c>
      <c r="G867">
        <v>12.88</v>
      </c>
      <c r="H867">
        <v>5.48</v>
      </c>
      <c r="I867">
        <v>0</v>
      </c>
      <c r="J867" s="1">
        <v>45928.06617878472</v>
      </c>
      <c r="K867" t="s">
        <v>618</v>
      </c>
      <c r="L867">
        <f t="shared" si="13"/>
        <v>866</v>
      </c>
      <c r="M867">
        <f>COUNTIF($A$2:A867,A867)</f>
        <v>19</v>
      </c>
    </row>
    <row r="868" spans="1:13" x14ac:dyDescent="0.3">
      <c r="A868">
        <v>12138</v>
      </c>
      <c r="B868" t="s">
        <v>549</v>
      </c>
      <c r="C868" t="s">
        <v>281</v>
      </c>
      <c r="D868" t="s">
        <v>282</v>
      </c>
      <c r="E868">
        <v>25</v>
      </c>
      <c r="F868">
        <v>64.38</v>
      </c>
      <c r="G868">
        <v>22.19</v>
      </c>
      <c r="H868">
        <v>13.42</v>
      </c>
      <c r="I868">
        <v>0.01</v>
      </c>
      <c r="J868" s="1">
        <v>45928.066198912034</v>
      </c>
      <c r="K868" t="s">
        <v>618</v>
      </c>
      <c r="L868">
        <f t="shared" si="13"/>
        <v>867</v>
      </c>
      <c r="M868">
        <f>COUNTIF($A$2:A868,A868)</f>
        <v>20</v>
      </c>
    </row>
    <row r="869" spans="1:13" x14ac:dyDescent="0.3">
      <c r="A869">
        <v>12138</v>
      </c>
      <c r="B869" t="s">
        <v>549</v>
      </c>
      <c r="C869" t="s">
        <v>581</v>
      </c>
      <c r="D869" t="s">
        <v>582</v>
      </c>
      <c r="E869">
        <v>29</v>
      </c>
      <c r="F869">
        <v>63.56</v>
      </c>
      <c r="G869">
        <v>20</v>
      </c>
      <c r="H869">
        <v>16.440000000000001</v>
      </c>
      <c r="I869">
        <v>0</v>
      </c>
      <c r="J869" s="1">
        <v>45928.066243969908</v>
      </c>
      <c r="K869" t="s">
        <v>618</v>
      </c>
      <c r="L869">
        <f t="shared" si="13"/>
        <v>868</v>
      </c>
      <c r="M869">
        <f>COUNTIF($A$2:A869,A869)</f>
        <v>21</v>
      </c>
    </row>
    <row r="870" spans="1:13" x14ac:dyDescent="0.3">
      <c r="A870">
        <v>12138</v>
      </c>
      <c r="B870" t="s">
        <v>549</v>
      </c>
      <c r="C870" t="s">
        <v>279</v>
      </c>
      <c r="D870" t="s">
        <v>280</v>
      </c>
      <c r="E870">
        <v>42</v>
      </c>
      <c r="F870">
        <v>14.52</v>
      </c>
      <c r="G870">
        <v>67.400000000000006</v>
      </c>
      <c r="H870">
        <v>18.079999999999998</v>
      </c>
      <c r="I870">
        <v>0</v>
      </c>
      <c r="J870" s="1">
        <v>45928.066261689812</v>
      </c>
      <c r="K870" t="s">
        <v>618</v>
      </c>
      <c r="L870">
        <f t="shared" si="13"/>
        <v>869</v>
      </c>
      <c r="M870">
        <f>COUNTIF($A$2:A870,A870)</f>
        <v>22</v>
      </c>
    </row>
    <row r="871" spans="1:13" x14ac:dyDescent="0.3">
      <c r="A871">
        <v>12138</v>
      </c>
      <c r="B871" t="s">
        <v>549</v>
      </c>
      <c r="C871" t="s">
        <v>579</v>
      </c>
      <c r="D871" t="s">
        <v>580</v>
      </c>
      <c r="E871">
        <v>54</v>
      </c>
      <c r="F871">
        <v>0.55000000000000004</v>
      </c>
      <c r="G871">
        <v>78.08</v>
      </c>
      <c r="H871">
        <v>21.37</v>
      </c>
      <c r="I871">
        <v>0</v>
      </c>
      <c r="J871" s="1">
        <v>45928.066305787041</v>
      </c>
      <c r="K871" t="s">
        <v>618</v>
      </c>
      <c r="L871">
        <f t="shared" si="13"/>
        <v>870</v>
      </c>
      <c r="M871">
        <f>COUNTIF($A$2:A871,A871)</f>
        <v>23</v>
      </c>
    </row>
    <row r="872" spans="1:13" x14ac:dyDescent="0.3">
      <c r="A872">
        <v>12138</v>
      </c>
      <c r="B872" t="s">
        <v>549</v>
      </c>
      <c r="C872" t="s">
        <v>106</v>
      </c>
      <c r="D872" t="s">
        <v>107</v>
      </c>
      <c r="E872">
        <v>48</v>
      </c>
      <c r="F872">
        <v>1.64</v>
      </c>
      <c r="G872">
        <v>80</v>
      </c>
      <c r="H872">
        <v>18.36</v>
      </c>
      <c r="I872">
        <v>0</v>
      </c>
      <c r="J872" s="1">
        <v>45928.066326111111</v>
      </c>
      <c r="K872" t="s">
        <v>618</v>
      </c>
      <c r="L872">
        <f t="shared" si="13"/>
        <v>871</v>
      </c>
      <c r="M872">
        <f>COUNTIF($A$2:A872,A872)</f>
        <v>24</v>
      </c>
    </row>
    <row r="873" spans="1:13" x14ac:dyDescent="0.3">
      <c r="A873">
        <v>12138</v>
      </c>
      <c r="B873" t="s">
        <v>549</v>
      </c>
      <c r="C873" t="s">
        <v>323</v>
      </c>
      <c r="D873" t="s">
        <v>324</v>
      </c>
      <c r="E873">
        <v>27</v>
      </c>
      <c r="F873">
        <v>56.71</v>
      </c>
      <c r="G873">
        <v>33.700000000000003</v>
      </c>
      <c r="H873">
        <v>9.59</v>
      </c>
      <c r="I873">
        <v>0</v>
      </c>
      <c r="J873" s="1">
        <v>45928.066366701387</v>
      </c>
      <c r="K873" t="s">
        <v>618</v>
      </c>
      <c r="L873">
        <f t="shared" si="13"/>
        <v>872</v>
      </c>
      <c r="M873">
        <f>COUNTIF($A$2:A873,A873)</f>
        <v>25</v>
      </c>
    </row>
    <row r="874" spans="1:13" x14ac:dyDescent="0.3">
      <c r="A874">
        <v>12138</v>
      </c>
      <c r="B874" t="s">
        <v>549</v>
      </c>
      <c r="C874" t="s">
        <v>321</v>
      </c>
      <c r="D874" t="s">
        <v>322</v>
      </c>
      <c r="E874">
        <v>23</v>
      </c>
      <c r="F874">
        <v>69.040000000000006</v>
      </c>
      <c r="G874">
        <v>20.82</v>
      </c>
      <c r="H874">
        <v>10.14</v>
      </c>
      <c r="I874">
        <v>0</v>
      </c>
      <c r="J874" s="1">
        <v>45928.066409594911</v>
      </c>
      <c r="K874" t="s">
        <v>618</v>
      </c>
      <c r="L874">
        <f t="shared" si="13"/>
        <v>873</v>
      </c>
      <c r="M874">
        <f>COUNTIF($A$2:A874,A874)</f>
        <v>26</v>
      </c>
    </row>
    <row r="875" spans="1:13" x14ac:dyDescent="0.3">
      <c r="A875">
        <v>12138</v>
      </c>
      <c r="B875" t="s">
        <v>549</v>
      </c>
      <c r="C875" t="s">
        <v>104</v>
      </c>
      <c r="D875" t="s">
        <v>105</v>
      </c>
      <c r="F875">
        <v>52.05</v>
      </c>
      <c r="G875">
        <v>36.44</v>
      </c>
      <c r="H875">
        <v>11.51</v>
      </c>
      <c r="I875">
        <v>0</v>
      </c>
      <c r="J875" s="1">
        <v>45928.06643900463</v>
      </c>
      <c r="K875" t="s">
        <v>618</v>
      </c>
      <c r="L875">
        <f t="shared" si="13"/>
        <v>874</v>
      </c>
      <c r="M875">
        <f>COUNTIF($A$2:A875,A875)</f>
        <v>27</v>
      </c>
    </row>
    <row r="876" spans="1:13" x14ac:dyDescent="0.3">
      <c r="A876">
        <v>12138</v>
      </c>
      <c r="B876" t="s">
        <v>549</v>
      </c>
      <c r="C876" t="s">
        <v>577</v>
      </c>
      <c r="D876" t="s">
        <v>578</v>
      </c>
      <c r="E876">
        <v>37</v>
      </c>
      <c r="F876">
        <v>38.630000000000003</v>
      </c>
      <c r="G876">
        <v>47.95</v>
      </c>
      <c r="H876">
        <v>13.15</v>
      </c>
      <c r="I876">
        <v>0.27</v>
      </c>
      <c r="J876" s="1">
        <v>45928.066458576388</v>
      </c>
      <c r="K876" t="s">
        <v>618</v>
      </c>
      <c r="L876">
        <f t="shared" si="13"/>
        <v>875</v>
      </c>
      <c r="M876">
        <f>COUNTIF($A$2:A876,A876)</f>
        <v>28</v>
      </c>
    </row>
    <row r="877" spans="1:13" x14ac:dyDescent="0.3">
      <c r="A877">
        <v>12138</v>
      </c>
      <c r="B877" t="s">
        <v>549</v>
      </c>
      <c r="C877" t="s">
        <v>575</v>
      </c>
      <c r="D877" t="s">
        <v>576</v>
      </c>
      <c r="E877">
        <v>48</v>
      </c>
      <c r="F877">
        <v>6.85</v>
      </c>
      <c r="G877">
        <v>75.89</v>
      </c>
      <c r="H877">
        <v>16.989999999999998</v>
      </c>
      <c r="I877">
        <v>0.27</v>
      </c>
      <c r="J877" s="1">
        <v>45928.066476550928</v>
      </c>
      <c r="K877" t="s">
        <v>618</v>
      </c>
      <c r="L877">
        <f t="shared" si="13"/>
        <v>876</v>
      </c>
      <c r="M877">
        <f>COUNTIF($A$2:A877,A877)</f>
        <v>29</v>
      </c>
    </row>
    <row r="878" spans="1:13" x14ac:dyDescent="0.3">
      <c r="A878">
        <v>12138</v>
      </c>
      <c r="B878" t="s">
        <v>549</v>
      </c>
      <c r="C878" t="s">
        <v>102</v>
      </c>
      <c r="D878" t="s">
        <v>103</v>
      </c>
      <c r="E878">
        <v>27</v>
      </c>
      <c r="F878">
        <v>63.56</v>
      </c>
      <c r="G878">
        <v>25.21</v>
      </c>
      <c r="H878">
        <v>10.96</v>
      </c>
      <c r="I878">
        <v>0.27</v>
      </c>
      <c r="J878" s="1">
        <v>45928.066493240738</v>
      </c>
      <c r="K878" t="s">
        <v>618</v>
      </c>
      <c r="L878">
        <f t="shared" si="13"/>
        <v>877</v>
      </c>
      <c r="M878">
        <f>COUNTIF($A$2:A878,A878)</f>
        <v>30</v>
      </c>
    </row>
    <row r="879" spans="1:13" x14ac:dyDescent="0.3">
      <c r="A879">
        <v>12138</v>
      </c>
      <c r="B879" t="s">
        <v>549</v>
      </c>
      <c r="C879" t="s">
        <v>573</v>
      </c>
      <c r="D879" t="s">
        <v>574</v>
      </c>
      <c r="E879">
        <v>33</v>
      </c>
      <c r="F879">
        <v>48.77</v>
      </c>
      <c r="G879">
        <v>38.36</v>
      </c>
      <c r="H879">
        <v>12.6</v>
      </c>
      <c r="I879">
        <v>0.27</v>
      </c>
      <c r="J879" s="1">
        <v>45928.066511759258</v>
      </c>
      <c r="K879" t="s">
        <v>618</v>
      </c>
      <c r="L879">
        <f t="shared" si="13"/>
        <v>878</v>
      </c>
      <c r="M879">
        <f>COUNTIF($A$2:A879,A879)</f>
        <v>31</v>
      </c>
    </row>
    <row r="880" spans="1:13" x14ac:dyDescent="0.3">
      <c r="A880">
        <v>12138</v>
      </c>
      <c r="B880" t="s">
        <v>549</v>
      </c>
      <c r="C880" t="s">
        <v>319</v>
      </c>
      <c r="D880" t="s">
        <v>320</v>
      </c>
      <c r="E880">
        <v>43</v>
      </c>
      <c r="F880">
        <v>22.47</v>
      </c>
      <c r="G880">
        <v>61.37</v>
      </c>
      <c r="H880">
        <v>15.89</v>
      </c>
      <c r="I880">
        <v>0.27</v>
      </c>
      <c r="J880" s="1">
        <v>45928.066533020836</v>
      </c>
      <c r="K880" t="s">
        <v>618</v>
      </c>
      <c r="L880">
        <f t="shared" si="13"/>
        <v>879</v>
      </c>
      <c r="M880">
        <f>COUNTIF($A$2:A880,A880)</f>
        <v>32</v>
      </c>
    </row>
    <row r="881" spans="1:13" x14ac:dyDescent="0.3">
      <c r="A881">
        <v>12138</v>
      </c>
      <c r="B881" t="s">
        <v>549</v>
      </c>
      <c r="C881" t="s">
        <v>277</v>
      </c>
      <c r="D881" t="s">
        <v>278</v>
      </c>
      <c r="E881">
        <v>34</v>
      </c>
      <c r="F881">
        <v>63.01</v>
      </c>
      <c r="G881">
        <v>21.64</v>
      </c>
      <c r="H881">
        <v>15.34</v>
      </c>
      <c r="I881">
        <v>0.01</v>
      </c>
      <c r="J881" s="1">
        <v>45928.066552962962</v>
      </c>
      <c r="K881" t="s">
        <v>618</v>
      </c>
      <c r="L881">
        <f t="shared" si="13"/>
        <v>880</v>
      </c>
      <c r="M881">
        <f>COUNTIF($A$2:A881,A881)</f>
        <v>33</v>
      </c>
    </row>
    <row r="882" spans="1:13" x14ac:dyDescent="0.3">
      <c r="A882">
        <v>12138</v>
      </c>
      <c r="B882" t="s">
        <v>549</v>
      </c>
      <c r="C882" t="s">
        <v>571</v>
      </c>
      <c r="D882" t="s">
        <v>572</v>
      </c>
      <c r="E882">
        <v>43</v>
      </c>
      <c r="F882">
        <v>35.89</v>
      </c>
      <c r="G882">
        <v>45.75</v>
      </c>
      <c r="H882">
        <v>18.36</v>
      </c>
      <c r="I882">
        <v>0</v>
      </c>
      <c r="J882" s="1">
        <v>45928.066568321759</v>
      </c>
      <c r="K882" t="s">
        <v>618</v>
      </c>
      <c r="L882">
        <f t="shared" si="13"/>
        <v>881</v>
      </c>
      <c r="M882">
        <f>COUNTIF($A$2:A882,A882)</f>
        <v>34</v>
      </c>
    </row>
    <row r="883" spans="1:13" x14ac:dyDescent="0.3">
      <c r="A883">
        <v>12138</v>
      </c>
      <c r="B883" t="s">
        <v>549</v>
      </c>
      <c r="C883" t="s">
        <v>569</v>
      </c>
      <c r="D883" t="s">
        <v>570</v>
      </c>
      <c r="E883">
        <v>51</v>
      </c>
      <c r="F883">
        <v>14.79</v>
      </c>
      <c r="G883">
        <v>64.38</v>
      </c>
      <c r="H883">
        <v>20.82</v>
      </c>
      <c r="I883">
        <v>0.01</v>
      </c>
      <c r="J883" s="1">
        <v>45928.06658604167</v>
      </c>
      <c r="K883" t="s">
        <v>618</v>
      </c>
      <c r="L883">
        <f t="shared" si="13"/>
        <v>882</v>
      </c>
      <c r="M883">
        <f>COUNTIF($A$2:A883,A883)</f>
        <v>35</v>
      </c>
    </row>
    <row r="884" spans="1:13" x14ac:dyDescent="0.3">
      <c r="A884">
        <v>12138</v>
      </c>
      <c r="B884" t="s">
        <v>549</v>
      </c>
      <c r="C884" t="s">
        <v>100</v>
      </c>
      <c r="D884" t="s">
        <v>101</v>
      </c>
      <c r="F884">
        <v>38.36</v>
      </c>
      <c r="G884">
        <v>41.64</v>
      </c>
      <c r="H884">
        <v>20</v>
      </c>
      <c r="I884">
        <v>0</v>
      </c>
      <c r="J884" s="1">
        <v>45928.066622233797</v>
      </c>
      <c r="K884" t="s">
        <v>618</v>
      </c>
      <c r="L884">
        <f t="shared" si="13"/>
        <v>883</v>
      </c>
      <c r="M884">
        <f>COUNTIF($A$2:A884,A884)</f>
        <v>36</v>
      </c>
    </row>
    <row r="885" spans="1:13" x14ac:dyDescent="0.3">
      <c r="A885">
        <v>12138</v>
      </c>
      <c r="B885" t="s">
        <v>549</v>
      </c>
      <c r="C885" t="s">
        <v>316</v>
      </c>
      <c r="D885" t="s">
        <v>317</v>
      </c>
      <c r="E885">
        <v>46</v>
      </c>
      <c r="F885">
        <v>37.26</v>
      </c>
      <c r="G885">
        <v>40</v>
      </c>
      <c r="H885">
        <v>22.74</v>
      </c>
      <c r="I885">
        <v>0</v>
      </c>
      <c r="J885" s="1">
        <v>45928.066664675927</v>
      </c>
      <c r="K885" t="s">
        <v>618</v>
      </c>
      <c r="L885">
        <f t="shared" si="13"/>
        <v>884</v>
      </c>
      <c r="M885">
        <f>COUNTIF($A$2:A885,A885)</f>
        <v>37</v>
      </c>
    </row>
    <row r="886" spans="1:13" x14ac:dyDescent="0.3">
      <c r="A886">
        <v>12138</v>
      </c>
      <c r="B886" t="s">
        <v>549</v>
      </c>
      <c r="C886" t="s">
        <v>567</v>
      </c>
      <c r="D886" t="s">
        <v>568</v>
      </c>
      <c r="E886">
        <v>49</v>
      </c>
      <c r="F886">
        <v>32.880000000000003</v>
      </c>
      <c r="G886">
        <v>42.19</v>
      </c>
      <c r="H886">
        <v>24.93</v>
      </c>
      <c r="I886">
        <v>0</v>
      </c>
      <c r="J886" s="1">
        <v>45928.06670909722</v>
      </c>
      <c r="K886" t="s">
        <v>618</v>
      </c>
      <c r="L886">
        <f t="shared" si="13"/>
        <v>885</v>
      </c>
      <c r="M886">
        <f>COUNTIF($A$2:A886,A886)</f>
        <v>38</v>
      </c>
    </row>
    <row r="887" spans="1:13" x14ac:dyDescent="0.3">
      <c r="A887">
        <v>12138</v>
      </c>
      <c r="B887" t="s">
        <v>549</v>
      </c>
      <c r="C887" t="s">
        <v>98</v>
      </c>
      <c r="D887" t="s">
        <v>99</v>
      </c>
      <c r="E887">
        <v>50</v>
      </c>
      <c r="F887">
        <v>29.86</v>
      </c>
      <c r="G887">
        <v>46.3</v>
      </c>
      <c r="H887">
        <v>23.84</v>
      </c>
      <c r="I887">
        <v>0</v>
      </c>
      <c r="J887" s="1">
        <v>45928.066753923609</v>
      </c>
      <c r="K887" t="s">
        <v>618</v>
      </c>
      <c r="L887">
        <f t="shared" si="13"/>
        <v>886</v>
      </c>
      <c r="M887">
        <f>COUNTIF($A$2:A887,A887)</f>
        <v>39</v>
      </c>
    </row>
    <row r="888" spans="1:13" x14ac:dyDescent="0.3">
      <c r="A888">
        <v>12138</v>
      </c>
      <c r="B888" t="s">
        <v>549</v>
      </c>
      <c r="C888" t="s">
        <v>565</v>
      </c>
      <c r="D888" t="s">
        <v>566</v>
      </c>
      <c r="E888">
        <v>61</v>
      </c>
      <c r="F888">
        <v>5.21</v>
      </c>
      <c r="G888">
        <v>67.400000000000006</v>
      </c>
      <c r="H888">
        <v>27.4</v>
      </c>
      <c r="I888">
        <v>0</v>
      </c>
      <c r="J888" s="1">
        <v>45928.06679759259</v>
      </c>
      <c r="K888" t="s">
        <v>618</v>
      </c>
      <c r="L888">
        <f t="shared" si="13"/>
        <v>887</v>
      </c>
      <c r="M888">
        <f>COUNTIF($A$2:A888,A888)</f>
        <v>40</v>
      </c>
    </row>
    <row r="889" spans="1:13" x14ac:dyDescent="0.3">
      <c r="A889">
        <v>12138</v>
      </c>
      <c r="B889" t="s">
        <v>549</v>
      </c>
      <c r="C889" t="s">
        <v>563</v>
      </c>
      <c r="D889" t="s">
        <v>564</v>
      </c>
      <c r="E889">
        <v>70</v>
      </c>
      <c r="F889">
        <v>1.1000000000000001</v>
      </c>
      <c r="G889">
        <v>66.849999999999994</v>
      </c>
      <c r="H889">
        <v>32.049999999999997</v>
      </c>
      <c r="I889">
        <v>0</v>
      </c>
      <c r="J889" s="1">
        <v>45928.066843125001</v>
      </c>
      <c r="K889" t="s">
        <v>618</v>
      </c>
      <c r="L889">
        <f t="shared" si="13"/>
        <v>888</v>
      </c>
      <c r="M889">
        <f>COUNTIF($A$2:A889,A889)</f>
        <v>41</v>
      </c>
    </row>
    <row r="890" spans="1:13" x14ac:dyDescent="0.3">
      <c r="A890">
        <v>12138</v>
      </c>
      <c r="B890" t="s">
        <v>549</v>
      </c>
      <c r="C890" t="s">
        <v>561</v>
      </c>
      <c r="D890" t="s">
        <v>562</v>
      </c>
      <c r="E890">
        <v>75</v>
      </c>
      <c r="F890">
        <v>0</v>
      </c>
      <c r="G890">
        <v>63.29</v>
      </c>
      <c r="H890">
        <v>36.71</v>
      </c>
      <c r="I890">
        <v>0</v>
      </c>
      <c r="J890" s="1">
        <v>45928.066864074077</v>
      </c>
      <c r="K890" t="s">
        <v>618</v>
      </c>
      <c r="L890">
        <f t="shared" si="13"/>
        <v>889</v>
      </c>
      <c r="M890">
        <f>COUNTIF($A$2:A890,A890)</f>
        <v>42</v>
      </c>
    </row>
    <row r="891" spans="1:13" x14ac:dyDescent="0.3">
      <c r="A891">
        <v>12138</v>
      </c>
      <c r="B891" t="s">
        <v>549</v>
      </c>
      <c r="C891" t="s">
        <v>559</v>
      </c>
      <c r="D891" t="s">
        <v>560</v>
      </c>
      <c r="E891">
        <v>39</v>
      </c>
      <c r="F891">
        <v>61.37</v>
      </c>
      <c r="G891">
        <v>17.53</v>
      </c>
      <c r="H891">
        <v>21.1</v>
      </c>
      <c r="I891">
        <v>0</v>
      </c>
      <c r="J891" s="1">
        <v>45928.066881562503</v>
      </c>
      <c r="K891" t="s">
        <v>618</v>
      </c>
      <c r="L891">
        <f t="shared" si="13"/>
        <v>890</v>
      </c>
      <c r="M891">
        <f>COUNTIF($A$2:A891,A891)</f>
        <v>43</v>
      </c>
    </row>
    <row r="892" spans="1:13" x14ac:dyDescent="0.3">
      <c r="A892">
        <v>12138</v>
      </c>
      <c r="B892" t="s">
        <v>549</v>
      </c>
      <c r="C892" t="s">
        <v>557</v>
      </c>
      <c r="D892" t="s">
        <v>558</v>
      </c>
      <c r="F892">
        <v>56.44</v>
      </c>
      <c r="G892">
        <v>21.92</v>
      </c>
      <c r="H892">
        <v>21.64</v>
      </c>
      <c r="I892">
        <v>0</v>
      </c>
      <c r="J892" s="1">
        <v>45928.066915532407</v>
      </c>
      <c r="K892" t="s">
        <v>618</v>
      </c>
      <c r="L892">
        <f t="shared" si="13"/>
        <v>891</v>
      </c>
      <c r="M892">
        <f>COUNTIF($A$2:A892,A892)</f>
        <v>44</v>
      </c>
    </row>
    <row r="893" spans="1:13" x14ac:dyDescent="0.3">
      <c r="A893">
        <v>12138</v>
      </c>
      <c r="B893" t="s">
        <v>549</v>
      </c>
      <c r="C893" t="s">
        <v>555</v>
      </c>
      <c r="D893" t="s">
        <v>556</v>
      </c>
      <c r="E893">
        <v>52</v>
      </c>
      <c r="F893">
        <v>28.49</v>
      </c>
      <c r="G893">
        <v>49.32</v>
      </c>
      <c r="H893">
        <v>22.19</v>
      </c>
      <c r="I893">
        <v>0</v>
      </c>
      <c r="J893" s="1">
        <v>45928.066957256946</v>
      </c>
      <c r="K893" t="s">
        <v>618</v>
      </c>
      <c r="L893">
        <f t="shared" si="13"/>
        <v>892</v>
      </c>
      <c r="M893">
        <f>COUNTIF($A$2:A893,A893)</f>
        <v>45</v>
      </c>
    </row>
    <row r="894" spans="1:13" x14ac:dyDescent="0.3">
      <c r="A894">
        <v>12138</v>
      </c>
      <c r="B894" t="s">
        <v>549</v>
      </c>
      <c r="C894" t="s">
        <v>553</v>
      </c>
      <c r="D894" t="s">
        <v>554</v>
      </c>
      <c r="E894">
        <v>49</v>
      </c>
      <c r="F894">
        <v>35.619999999999997</v>
      </c>
      <c r="G894">
        <v>43.29</v>
      </c>
      <c r="H894">
        <v>21.1</v>
      </c>
      <c r="I894">
        <v>0</v>
      </c>
      <c r="J894" s="1">
        <v>45928.067001863426</v>
      </c>
      <c r="K894" t="s">
        <v>618</v>
      </c>
      <c r="L894">
        <f t="shared" si="13"/>
        <v>893</v>
      </c>
      <c r="M894">
        <f>COUNTIF($A$2:A894,A894)</f>
        <v>46</v>
      </c>
    </row>
    <row r="895" spans="1:13" x14ac:dyDescent="0.3">
      <c r="A895">
        <v>12138</v>
      </c>
      <c r="B895" t="s">
        <v>549</v>
      </c>
      <c r="C895" t="s">
        <v>551</v>
      </c>
      <c r="D895" t="s">
        <v>552</v>
      </c>
      <c r="E895">
        <v>57</v>
      </c>
      <c r="F895">
        <v>20</v>
      </c>
      <c r="G895">
        <v>55.89</v>
      </c>
      <c r="H895">
        <v>24.11</v>
      </c>
      <c r="I895">
        <v>0</v>
      </c>
      <c r="J895" s="1">
        <v>45928.067025300923</v>
      </c>
      <c r="K895" t="s">
        <v>618</v>
      </c>
      <c r="L895">
        <f t="shared" si="13"/>
        <v>894</v>
      </c>
      <c r="M895">
        <f>COUNTIF($A$2:A895,A895)</f>
        <v>47</v>
      </c>
    </row>
    <row r="896" spans="1:13" x14ac:dyDescent="0.3">
      <c r="A896">
        <v>12138</v>
      </c>
      <c r="B896" t="s">
        <v>549</v>
      </c>
      <c r="C896" t="s">
        <v>394</v>
      </c>
      <c r="D896" t="s">
        <v>395</v>
      </c>
      <c r="E896">
        <v>65</v>
      </c>
      <c r="F896">
        <v>8.77</v>
      </c>
      <c r="G896">
        <v>64.66</v>
      </c>
      <c r="H896">
        <v>26.58</v>
      </c>
      <c r="I896">
        <v>0</v>
      </c>
      <c r="J896" s="1">
        <v>45928.067072187499</v>
      </c>
      <c r="K896" t="s">
        <v>618</v>
      </c>
      <c r="L896">
        <f t="shared" si="13"/>
        <v>895</v>
      </c>
      <c r="M896">
        <f>COUNTIF($A$2:A896,A896)</f>
        <v>48</v>
      </c>
    </row>
    <row r="897" spans="1:13" x14ac:dyDescent="0.3">
      <c r="A897">
        <v>12138</v>
      </c>
      <c r="B897" t="s">
        <v>549</v>
      </c>
      <c r="C897" t="s">
        <v>392</v>
      </c>
      <c r="D897" t="s">
        <v>393</v>
      </c>
      <c r="E897">
        <v>62</v>
      </c>
      <c r="F897">
        <v>10.41</v>
      </c>
      <c r="G897">
        <v>63.56</v>
      </c>
      <c r="H897">
        <v>26.03</v>
      </c>
      <c r="I897">
        <v>0</v>
      </c>
      <c r="J897" s="1">
        <v>45928.067093773148</v>
      </c>
      <c r="K897" t="s">
        <v>618</v>
      </c>
      <c r="L897">
        <f t="shared" si="13"/>
        <v>896</v>
      </c>
      <c r="M897">
        <f>COUNTIF($A$2:A897,A897)</f>
        <v>49</v>
      </c>
    </row>
    <row r="898" spans="1:13" x14ac:dyDescent="0.3">
      <c r="A898">
        <v>12138</v>
      </c>
      <c r="B898" t="s">
        <v>549</v>
      </c>
      <c r="C898" t="s">
        <v>386</v>
      </c>
      <c r="D898" t="s">
        <v>387</v>
      </c>
      <c r="E898">
        <v>47</v>
      </c>
      <c r="F898">
        <v>41.92</v>
      </c>
      <c r="G898">
        <v>37.53</v>
      </c>
      <c r="H898">
        <v>20.55</v>
      </c>
      <c r="I898">
        <v>0</v>
      </c>
      <c r="J898" s="1">
        <v>45928.06713614583</v>
      </c>
      <c r="K898" t="s">
        <v>618</v>
      </c>
      <c r="L898">
        <f t="shared" ref="L898:L961" si="14">ROW()-1</f>
        <v>897</v>
      </c>
      <c r="M898">
        <f>COUNTIF($A$2:A898,A898)</f>
        <v>50</v>
      </c>
    </row>
    <row r="899" spans="1:13" x14ac:dyDescent="0.3">
      <c r="A899">
        <v>12138</v>
      </c>
      <c r="B899" t="s">
        <v>549</v>
      </c>
      <c r="C899" t="s">
        <v>382</v>
      </c>
      <c r="D899" t="s">
        <v>383</v>
      </c>
      <c r="E899">
        <v>51</v>
      </c>
      <c r="F899">
        <v>29.86</v>
      </c>
      <c r="G899">
        <v>48.77</v>
      </c>
      <c r="H899">
        <v>21.37</v>
      </c>
      <c r="I899">
        <v>0</v>
      </c>
      <c r="J899" s="1">
        <v>45928.067180358797</v>
      </c>
      <c r="K899" t="s">
        <v>618</v>
      </c>
      <c r="L899">
        <f t="shared" si="14"/>
        <v>898</v>
      </c>
      <c r="M899">
        <f>COUNTIF($A$2:A899,A899)</f>
        <v>51</v>
      </c>
    </row>
    <row r="900" spans="1:13" x14ac:dyDescent="0.3">
      <c r="A900">
        <v>12138</v>
      </c>
      <c r="B900" t="s">
        <v>549</v>
      </c>
      <c r="C900" t="s">
        <v>379</v>
      </c>
      <c r="D900" t="s">
        <v>380</v>
      </c>
      <c r="E900">
        <v>36</v>
      </c>
      <c r="F900">
        <v>61.37</v>
      </c>
      <c r="G900">
        <v>17.809999999999999</v>
      </c>
      <c r="H900">
        <v>19.73</v>
      </c>
      <c r="I900">
        <v>1.0900000000000001</v>
      </c>
      <c r="J900" s="1">
        <v>45928.067200590274</v>
      </c>
      <c r="K900" t="s">
        <v>618</v>
      </c>
      <c r="L900">
        <f t="shared" si="14"/>
        <v>899</v>
      </c>
      <c r="M900">
        <f>COUNTIF($A$2:A900,A900)</f>
        <v>52</v>
      </c>
    </row>
    <row r="901" spans="1:13" x14ac:dyDescent="0.3">
      <c r="A901">
        <v>12509</v>
      </c>
      <c r="B901" t="s">
        <v>619</v>
      </c>
      <c r="C901" t="s">
        <v>187</v>
      </c>
      <c r="D901" t="s">
        <v>188</v>
      </c>
      <c r="E901">
        <v>6</v>
      </c>
      <c r="F901">
        <v>91.67</v>
      </c>
      <c r="G901">
        <v>8.33</v>
      </c>
      <c r="H901">
        <v>0</v>
      </c>
      <c r="I901">
        <v>0</v>
      </c>
      <c r="J901" s="1">
        <v>45928.067546909719</v>
      </c>
      <c r="K901" t="s">
        <v>620</v>
      </c>
      <c r="L901">
        <f t="shared" si="14"/>
        <v>900</v>
      </c>
      <c r="M901">
        <f>COUNTIF($A$2:A901,A901)</f>
        <v>1</v>
      </c>
    </row>
    <row r="902" spans="1:13" x14ac:dyDescent="0.3">
      <c r="A902">
        <v>12509</v>
      </c>
      <c r="B902" t="s">
        <v>619</v>
      </c>
      <c r="C902" t="s">
        <v>190</v>
      </c>
      <c r="D902" t="s">
        <v>191</v>
      </c>
      <c r="E902">
        <v>23</v>
      </c>
      <c r="F902">
        <v>33.33</v>
      </c>
      <c r="G902">
        <v>58.33</v>
      </c>
      <c r="H902">
        <v>8.33</v>
      </c>
      <c r="I902">
        <v>0.01</v>
      </c>
      <c r="J902" s="1">
        <v>45928.067564050929</v>
      </c>
      <c r="K902" t="s">
        <v>620</v>
      </c>
      <c r="L902">
        <f t="shared" si="14"/>
        <v>901</v>
      </c>
      <c r="M902">
        <f>COUNTIF($A$2:A902,A902)</f>
        <v>2</v>
      </c>
    </row>
    <row r="903" spans="1:13" x14ac:dyDescent="0.3">
      <c r="A903">
        <v>12509</v>
      </c>
      <c r="B903" t="s">
        <v>619</v>
      </c>
      <c r="C903" t="s">
        <v>192</v>
      </c>
      <c r="D903" t="s">
        <v>193</v>
      </c>
      <c r="E903">
        <v>23</v>
      </c>
      <c r="F903">
        <v>41.67</v>
      </c>
      <c r="G903">
        <v>50</v>
      </c>
      <c r="H903">
        <v>8.33</v>
      </c>
      <c r="I903">
        <v>0</v>
      </c>
      <c r="J903" s="1">
        <v>45928.067604780095</v>
      </c>
      <c r="K903" t="s">
        <v>620</v>
      </c>
      <c r="L903">
        <f t="shared" si="14"/>
        <v>902</v>
      </c>
      <c r="M903">
        <f>COUNTIF($A$2:A903,A903)</f>
        <v>3</v>
      </c>
    </row>
    <row r="904" spans="1:13" x14ac:dyDescent="0.3">
      <c r="A904">
        <v>12509</v>
      </c>
      <c r="B904" t="s">
        <v>619</v>
      </c>
      <c r="C904" t="s">
        <v>21</v>
      </c>
      <c r="D904" t="s">
        <v>22</v>
      </c>
      <c r="E904">
        <v>15</v>
      </c>
      <c r="F904">
        <v>66.67</v>
      </c>
      <c r="G904">
        <v>25</v>
      </c>
      <c r="H904">
        <v>8.33</v>
      </c>
      <c r="I904">
        <v>0</v>
      </c>
      <c r="J904" s="1">
        <v>45928.067649328703</v>
      </c>
      <c r="K904" t="s">
        <v>620</v>
      </c>
      <c r="L904">
        <f t="shared" si="14"/>
        <v>903</v>
      </c>
      <c r="M904">
        <f>COUNTIF($A$2:A904,A904)</f>
        <v>4</v>
      </c>
    </row>
    <row r="905" spans="1:13" x14ac:dyDescent="0.3">
      <c r="A905">
        <v>12509</v>
      </c>
      <c r="B905" t="s">
        <v>619</v>
      </c>
      <c r="C905" t="s">
        <v>19</v>
      </c>
      <c r="D905" t="s">
        <v>20</v>
      </c>
      <c r="E905">
        <v>11</v>
      </c>
      <c r="F905">
        <v>83.33</v>
      </c>
      <c r="G905">
        <v>16.670000000000002</v>
      </c>
      <c r="H905">
        <v>0</v>
      </c>
      <c r="I905">
        <v>0</v>
      </c>
      <c r="J905" s="1">
        <v>45928.067673136575</v>
      </c>
      <c r="K905" t="s">
        <v>620</v>
      </c>
      <c r="L905">
        <f t="shared" si="14"/>
        <v>904</v>
      </c>
      <c r="M905">
        <f>COUNTIF($A$2:A905,A905)</f>
        <v>5</v>
      </c>
    </row>
    <row r="906" spans="1:13" x14ac:dyDescent="0.3">
      <c r="A906">
        <v>12509</v>
      </c>
      <c r="B906" t="s">
        <v>619</v>
      </c>
      <c r="C906" t="s">
        <v>17</v>
      </c>
      <c r="D906" t="s">
        <v>18</v>
      </c>
      <c r="F906">
        <v>25</v>
      </c>
      <c r="G906">
        <v>66.67</v>
      </c>
      <c r="H906">
        <v>8.33</v>
      </c>
      <c r="I906">
        <v>0</v>
      </c>
      <c r="J906" s="1">
        <v>45928.067703738423</v>
      </c>
      <c r="K906" t="s">
        <v>620</v>
      </c>
      <c r="L906">
        <f t="shared" si="14"/>
        <v>905</v>
      </c>
      <c r="M906">
        <f>COUNTIF($A$2:A906,A906)</f>
        <v>6</v>
      </c>
    </row>
    <row r="907" spans="1:13" x14ac:dyDescent="0.3">
      <c r="A907">
        <v>12509</v>
      </c>
      <c r="B907" t="s">
        <v>619</v>
      </c>
      <c r="C907" t="s">
        <v>34</v>
      </c>
      <c r="D907" t="s">
        <v>35</v>
      </c>
      <c r="E907">
        <v>31</v>
      </c>
      <c r="F907">
        <v>25</v>
      </c>
      <c r="G907">
        <v>58.33</v>
      </c>
      <c r="H907">
        <v>16.670000000000002</v>
      </c>
      <c r="I907">
        <v>0</v>
      </c>
      <c r="J907" s="1">
        <v>45928.067725243054</v>
      </c>
      <c r="K907" t="s">
        <v>620</v>
      </c>
      <c r="L907">
        <f t="shared" si="14"/>
        <v>906</v>
      </c>
      <c r="M907">
        <f>COUNTIF($A$2:A907,A907)</f>
        <v>7</v>
      </c>
    </row>
    <row r="908" spans="1:13" x14ac:dyDescent="0.3">
      <c r="A908">
        <v>12509</v>
      </c>
      <c r="B908" t="s">
        <v>619</v>
      </c>
      <c r="C908" t="s">
        <v>174</v>
      </c>
      <c r="D908" t="s">
        <v>175</v>
      </c>
      <c r="F908">
        <v>8.33</v>
      </c>
      <c r="G908">
        <v>83.33</v>
      </c>
      <c r="H908">
        <v>8.33</v>
      </c>
      <c r="I908">
        <v>0</v>
      </c>
      <c r="J908" s="1">
        <v>45928.067755567128</v>
      </c>
      <c r="K908" t="s">
        <v>620</v>
      </c>
      <c r="L908">
        <f t="shared" si="14"/>
        <v>907</v>
      </c>
      <c r="M908">
        <f>COUNTIF($A$2:A908,A908)</f>
        <v>8</v>
      </c>
    </row>
    <row r="909" spans="1:13" x14ac:dyDescent="0.3">
      <c r="A909">
        <v>12509</v>
      </c>
      <c r="B909" t="s">
        <v>619</v>
      </c>
      <c r="C909" t="s">
        <v>88</v>
      </c>
      <c r="D909" t="s">
        <v>89</v>
      </c>
      <c r="E909">
        <v>55</v>
      </c>
      <c r="F909">
        <v>8.33</v>
      </c>
      <c r="G909">
        <v>50</v>
      </c>
      <c r="H909">
        <v>41.67</v>
      </c>
      <c r="I909">
        <v>0</v>
      </c>
      <c r="J909" s="1">
        <v>45928.067778263889</v>
      </c>
      <c r="K909" t="s">
        <v>620</v>
      </c>
      <c r="L909">
        <f t="shared" si="14"/>
        <v>908</v>
      </c>
      <c r="M909">
        <f>COUNTIF($A$2:A909,A909)</f>
        <v>9</v>
      </c>
    </row>
    <row r="910" spans="1:13" x14ac:dyDescent="0.3">
      <c r="A910">
        <v>12509</v>
      </c>
      <c r="B910" t="s">
        <v>619</v>
      </c>
      <c r="C910" t="s">
        <v>160</v>
      </c>
      <c r="D910" t="s">
        <v>161</v>
      </c>
      <c r="E910">
        <v>70</v>
      </c>
      <c r="F910">
        <v>8.33</v>
      </c>
      <c r="G910">
        <v>50</v>
      </c>
      <c r="H910">
        <v>41.67</v>
      </c>
      <c r="I910">
        <v>0</v>
      </c>
      <c r="J910" s="1">
        <v>45928.067801064812</v>
      </c>
      <c r="K910" t="s">
        <v>620</v>
      </c>
      <c r="L910">
        <f t="shared" si="14"/>
        <v>909</v>
      </c>
      <c r="M910">
        <f>COUNTIF($A$2:A910,A910)</f>
        <v>10</v>
      </c>
    </row>
    <row r="911" spans="1:13" x14ac:dyDescent="0.3">
      <c r="A911">
        <v>12509</v>
      </c>
      <c r="B911" t="s">
        <v>619</v>
      </c>
      <c r="C911" t="s">
        <v>151</v>
      </c>
      <c r="D911" t="s">
        <v>152</v>
      </c>
      <c r="E911">
        <v>48</v>
      </c>
      <c r="F911">
        <v>33.33</v>
      </c>
      <c r="G911">
        <v>41.67</v>
      </c>
      <c r="H911">
        <v>25</v>
      </c>
      <c r="I911">
        <v>0</v>
      </c>
      <c r="J911" s="1">
        <v>45928.067819965276</v>
      </c>
      <c r="K911" t="s">
        <v>620</v>
      </c>
      <c r="L911">
        <f t="shared" si="14"/>
        <v>910</v>
      </c>
      <c r="M911">
        <f>COUNTIF($A$2:A911,A911)</f>
        <v>11</v>
      </c>
    </row>
    <row r="912" spans="1:13" x14ac:dyDescent="0.3">
      <c r="A912">
        <v>12509</v>
      </c>
      <c r="B912" t="s">
        <v>619</v>
      </c>
      <c r="C912" t="s">
        <v>149</v>
      </c>
      <c r="D912" t="s">
        <v>150</v>
      </c>
      <c r="E912">
        <v>62</v>
      </c>
      <c r="F912">
        <v>25</v>
      </c>
      <c r="G912">
        <v>25</v>
      </c>
      <c r="H912">
        <v>50</v>
      </c>
      <c r="I912">
        <v>0</v>
      </c>
      <c r="J912" s="1">
        <v>45928.067841053242</v>
      </c>
      <c r="K912" t="s">
        <v>620</v>
      </c>
      <c r="L912">
        <f t="shared" si="14"/>
        <v>911</v>
      </c>
      <c r="M912">
        <f>COUNTIF($A$2:A912,A912)</f>
        <v>12</v>
      </c>
    </row>
    <row r="913" spans="1:13" x14ac:dyDescent="0.3">
      <c r="A913">
        <v>12509</v>
      </c>
      <c r="B913" t="s">
        <v>619</v>
      </c>
      <c r="C913" t="s">
        <v>145</v>
      </c>
      <c r="D913" t="s">
        <v>146</v>
      </c>
      <c r="E913">
        <v>71</v>
      </c>
      <c r="F913">
        <v>8.33</v>
      </c>
      <c r="G913">
        <v>25</v>
      </c>
      <c r="H913">
        <v>66.67</v>
      </c>
      <c r="I913">
        <v>0</v>
      </c>
      <c r="J913" s="1">
        <v>45928.067865393517</v>
      </c>
      <c r="K913" t="s">
        <v>620</v>
      </c>
      <c r="L913">
        <f t="shared" si="14"/>
        <v>912</v>
      </c>
      <c r="M913">
        <f>COUNTIF($A$2:A913,A913)</f>
        <v>13</v>
      </c>
    </row>
    <row r="914" spans="1:13" x14ac:dyDescent="0.3">
      <c r="A914">
        <v>12509</v>
      </c>
      <c r="B914" t="s">
        <v>619</v>
      </c>
      <c r="C914" t="s">
        <v>141</v>
      </c>
      <c r="D914" t="s">
        <v>142</v>
      </c>
      <c r="E914">
        <v>65</v>
      </c>
      <c r="F914">
        <v>8.33</v>
      </c>
      <c r="G914">
        <v>41.67</v>
      </c>
      <c r="H914">
        <v>50</v>
      </c>
      <c r="I914">
        <v>0</v>
      </c>
      <c r="J914" s="1">
        <v>45928.067885613425</v>
      </c>
      <c r="K914" t="s">
        <v>620</v>
      </c>
      <c r="L914">
        <f t="shared" si="14"/>
        <v>913</v>
      </c>
      <c r="M914">
        <f>COUNTIF($A$2:A914,A914)</f>
        <v>14</v>
      </c>
    </row>
    <row r="915" spans="1:13" x14ac:dyDescent="0.3">
      <c r="A915">
        <v>12509</v>
      </c>
      <c r="B915" t="s">
        <v>619</v>
      </c>
      <c r="C915" t="s">
        <v>135</v>
      </c>
      <c r="D915" t="s">
        <v>136</v>
      </c>
      <c r="E915">
        <v>77</v>
      </c>
      <c r="F915">
        <v>0</v>
      </c>
      <c r="G915">
        <v>25</v>
      </c>
      <c r="H915">
        <v>75</v>
      </c>
      <c r="I915">
        <v>0</v>
      </c>
      <c r="J915" s="1">
        <v>45928.067906666663</v>
      </c>
      <c r="K915" t="s">
        <v>620</v>
      </c>
      <c r="L915">
        <f t="shared" si="14"/>
        <v>914</v>
      </c>
      <c r="M915">
        <f>COUNTIF($A$2:A915,A915)</f>
        <v>15</v>
      </c>
    </row>
    <row r="916" spans="1:13" x14ac:dyDescent="0.3">
      <c r="A916">
        <v>12509</v>
      </c>
      <c r="B916" t="s">
        <v>619</v>
      </c>
      <c r="C916" t="s">
        <v>131</v>
      </c>
      <c r="D916" t="s">
        <v>132</v>
      </c>
      <c r="E916">
        <v>82</v>
      </c>
      <c r="F916">
        <v>0</v>
      </c>
      <c r="G916">
        <v>16.670000000000002</v>
      </c>
      <c r="H916">
        <v>83.33</v>
      </c>
      <c r="I916">
        <v>0</v>
      </c>
      <c r="J916" s="1">
        <v>45928.067929849538</v>
      </c>
      <c r="K916" t="s">
        <v>620</v>
      </c>
      <c r="L916">
        <f t="shared" si="14"/>
        <v>915</v>
      </c>
      <c r="M916">
        <f>COUNTIF($A$2:A916,A916)</f>
        <v>16</v>
      </c>
    </row>
    <row r="917" spans="1:13" x14ac:dyDescent="0.3">
      <c r="A917">
        <v>12509</v>
      </c>
      <c r="B917" t="s">
        <v>619</v>
      </c>
      <c r="C917" t="s">
        <v>129</v>
      </c>
      <c r="D917" t="s">
        <v>130</v>
      </c>
      <c r="E917">
        <v>79</v>
      </c>
      <c r="F917">
        <v>8.33</v>
      </c>
      <c r="G917">
        <v>16.670000000000002</v>
      </c>
      <c r="H917">
        <v>75</v>
      </c>
      <c r="I917">
        <v>0</v>
      </c>
      <c r="J917" s="1">
        <v>45928.067953101854</v>
      </c>
      <c r="K917" t="s">
        <v>620</v>
      </c>
      <c r="L917">
        <f t="shared" si="14"/>
        <v>916</v>
      </c>
      <c r="M917">
        <f>COUNTIF($A$2:A917,A917)</f>
        <v>17</v>
      </c>
    </row>
    <row r="918" spans="1:13" x14ac:dyDescent="0.3">
      <c r="A918">
        <v>12509</v>
      </c>
      <c r="B918" t="s">
        <v>619</v>
      </c>
      <c r="C918" t="s">
        <v>127</v>
      </c>
      <c r="D918" t="s">
        <v>128</v>
      </c>
      <c r="E918">
        <v>79</v>
      </c>
      <c r="F918">
        <v>0</v>
      </c>
      <c r="G918">
        <v>25</v>
      </c>
      <c r="H918">
        <v>75</v>
      </c>
      <c r="I918">
        <v>0</v>
      </c>
      <c r="J918" s="1">
        <v>45928.067973368059</v>
      </c>
      <c r="K918" t="s">
        <v>620</v>
      </c>
      <c r="L918">
        <f t="shared" si="14"/>
        <v>917</v>
      </c>
      <c r="M918">
        <f>COUNTIF($A$2:A918,A918)</f>
        <v>18</v>
      </c>
    </row>
    <row r="919" spans="1:13" x14ac:dyDescent="0.3">
      <c r="A919">
        <v>12509</v>
      </c>
      <c r="B919" t="s">
        <v>619</v>
      </c>
      <c r="C919" t="s">
        <v>125</v>
      </c>
      <c r="D919" t="s">
        <v>126</v>
      </c>
      <c r="E919">
        <v>0</v>
      </c>
      <c r="F919">
        <v>100</v>
      </c>
      <c r="G919">
        <v>0</v>
      </c>
      <c r="H919">
        <v>0</v>
      </c>
      <c r="I919">
        <v>0</v>
      </c>
      <c r="J919" s="1">
        <v>45928.067992384262</v>
      </c>
      <c r="K919" t="s">
        <v>620</v>
      </c>
      <c r="L919">
        <f t="shared" si="14"/>
        <v>918</v>
      </c>
      <c r="M919">
        <f>COUNTIF($A$2:A919,A919)</f>
        <v>19</v>
      </c>
    </row>
    <row r="920" spans="1:13" x14ac:dyDescent="0.3">
      <c r="A920">
        <v>12509</v>
      </c>
      <c r="B920" t="s">
        <v>619</v>
      </c>
      <c r="C920" t="s">
        <v>123</v>
      </c>
      <c r="D920" t="s">
        <v>124</v>
      </c>
      <c r="F920">
        <v>0</v>
      </c>
      <c r="G920">
        <v>0</v>
      </c>
      <c r="H920">
        <v>100</v>
      </c>
      <c r="I920">
        <v>0</v>
      </c>
      <c r="J920" s="1">
        <v>45928.068021597224</v>
      </c>
      <c r="K920" t="s">
        <v>620</v>
      </c>
      <c r="L920">
        <f t="shared" si="14"/>
        <v>919</v>
      </c>
      <c r="M920">
        <f>COUNTIF($A$2:A920,A920)</f>
        <v>20</v>
      </c>
    </row>
    <row r="921" spans="1:13" x14ac:dyDescent="0.3">
      <c r="A921">
        <v>12509</v>
      </c>
      <c r="B921" t="s">
        <v>619</v>
      </c>
      <c r="C921" t="s">
        <v>121</v>
      </c>
      <c r="D921" t="s">
        <v>122</v>
      </c>
      <c r="F921">
        <v>0</v>
      </c>
      <c r="G921">
        <v>0</v>
      </c>
      <c r="H921">
        <v>100</v>
      </c>
      <c r="I921">
        <v>0</v>
      </c>
      <c r="J921" s="1">
        <v>45928.068063599538</v>
      </c>
      <c r="K921" t="s">
        <v>620</v>
      </c>
      <c r="L921">
        <f t="shared" si="14"/>
        <v>920</v>
      </c>
      <c r="M921">
        <f>COUNTIF($A$2:A921,A921)</f>
        <v>21</v>
      </c>
    </row>
    <row r="922" spans="1:13" x14ac:dyDescent="0.3">
      <c r="A922">
        <v>12509</v>
      </c>
      <c r="B922" t="s">
        <v>619</v>
      </c>
      <c r="C922" t="s">
        <v>119</v>
      </c>
      <c r="D922" t="s">
        <v>120</v>
      </c>
      <c r="E922">
        <v>174</v>
      </c>
      <c r="F922">
        <v>0</v>
      </c>
      <c r="G922">
        <v>0</v>
      </c>
      <c r="H922">
        <v>100</v>
      </c>
      <c r="I922">
        <v>0</v>
      </c>
      <c r="J922" s="1">
        <v>45928.068083854167</v>
      </c>
      <c r="K922" t="s">
        <v>620</v>
      </c>
      <c r="L922">
        <f t="shared" si="14"/>
        <v>921</v>
      </c>
      <c r="M922">
        <f>COUNTIF($A$2:A922,A922)</f>
        <v>22</v>
      </c>
    </row>
    <row r="923" spans="1:13" x14ac:dyDescent="0.3">
      <c r="A923">
        <v>12509</v>
      </c>
      <c r="B923" t="s">
        <v>619</v>
      </c>
      <c r="C923" t="s">
        <v>117</v>
      </c>
      <c r="D923" t="s">
        <v>118</v>
      </c>
      <c r="E923">
        <v>205</v>
      </c>
      <c r="F923">
        <v>0</v>
      </c>
      <c r="G923">
        <v>0</v>
      </c>
      <c r="H923">
        <v>100</v>
      </c>
      <c r="I923">
        <v>0</v>
      </c>
      <c r="J923" s="1">
        <v>45928.068103923608</v>
      </c>
      <c r="K923" t="s">
        <v>620</v>
      </c>
      <c r="L923">
        <f t="shared" si="14"/>
        <v>922</v>
      </c>
      <c r="M923">
        <f>COUNTIF($A$2:A923,A923)</f>
        <v>23</v>
      </c>
    </row>
    <row r="924" spans="1:13" x14ac:dyDescent="0.3">
      <c r="A924">
        <v>12509</v>
      </c>
      <c r="B924" t="s">
        <v>619</v>
      </c>
      <c r="C924" t="s">
        <v>621</v>
      </c>
      <c r="D924" t="s">
        <v>622</v>
      </c>
      <c r="E924">
        <v>240</v>
      </c>
      <c r="F924">
        <v>0</v>
      </c>
      <c r="G924">
        <v>0</v>
      </c>
      <c r="H924">
        <v>100</v>
      </c>
      <c r="I924">
        <v>0</v>
      </c>
      <c r="J924" s="1">
        <v>45928.068127500002</v>
      </c>
      <c r="K924" t="s">
        <v>620</v>
      </c>
      <c r="L924">
        <f t="shared" si="14"/>
        <v>923</v>
      </c>
      <c r="M924">
        <f>COUNTIF($A$2:A924,A924)</f>
        <v>24</v>
      </c>
    </row>
    <row r="925" spans="1:13" x14ac:dyDescent="0.3">
      <c r="A925">
        <v>12509</v>
      </c>
      <c r="B925" t="s">
        <v>619</v>
      </c>
      <c r="C925" t="s">
        <v>304</v>
      </c>
      <c r="D925" t="s">
        <v>305</v>
      </c>
      <c r="E925">
        <v>249</v>
      </c>
      <c r="F925">
        <v>0</v>
      </c>
      <c r="G925">
        <v>0</v>
      </c>
      <c r="H925">
        <v>100</v>
      </c>
      <c r="I925">
        <v>0</v>
      </c>
      <c r="J925" s="1">
        <v>45928.068147337966</v>
      </c>
      <c r="K925" t="s">
        <v>620</v>
      </c>
      <c r="L925">
        <f t="shared" si="14"/>
        <v>924</v>
      </c>
      <c r="M925">
        <f>COUNTIF($A$2:A925,A925)</f>
        <v>25</v>
      </c>
    </row>
    <row r="926" spans="1:13" x14ac:dyDescent="0.3">
      <c r="A926">
        <v>12509</v>
      </c>
      <c r="B926" t="s">
        <v>619</v>
      </c>
      <c r="C926" t="s">
        <v>623</v>
      </c>
      <c r="D926" t="s">
        <v>624</v>
      </c>
      <c r="E926">
        <v>245</v>
      </c>
      <c r="F926">
        <v>0</v>
      </c>
      <c r="G926">
        <v>0</v>
      </c>
      <c r="H926">
        <v>100</v>
      </c>
      <c r="I926">
        <v>0</v>
      </c>
      <c r="J926" s="1">
        <v>45928.068165439814</v>
      </c>
      <c r="K926" t="s">
        <v>620</v>
      </c>
      <c r="L926">
        <f t="shared" si="14"/>
        <v>925</v>
      </c>
      <c r="M926">
        <f>COUNTIF($A$2:A926,A926)</f>
        <v>26</v>
      </c>
    </row>
    <row r="927" spans="1:13" x14ac:dyDescent="0.3">
      <c r="A927">
        <v>12509</v>
      </c>
      <c r="B927" t="s">
        <v>619</v>
      </c>
      <c r="C927" t="s">
        <v>625</v>
      </c>
      <c r="D927" t="s">
        <v>626</v>
      </c>
      <c r="E927">
        <v>208</v>
      </c>
      <c r="F927">
        <v>0</v>
      </c>
      <c r="G927">
        <v>0</v>
      </c>
      <c r="H927">
        <v>100</v>
      </c>
      <c r="I927">
        <v>0</v>
      </c>
      <c r="J927" s="1">
        <v>45928.068187129633</v>
      </c>
      <c r="K927" t="s">
        <v>620</v>
      </c>
      <c r="L927">
        <f t="shared" si="14"/>
        <v>926</v>
      </c>
      <c r="M927">
        <f>COUNTIF($A$2:A927,A927)</f>
        <v>27</v>
      </c>
    </row>
    <row r="928" spans="1:13" x14ac:dyDescent="0.3">
      <c r="A928">
        <v>12509</v>
      </c>
      <c r="B928" t="s">
        <v>619</v>
      </c>
      <c r="C928" t="s">
        <v>306</v>
      </c>
      <c r="D928" t="s">
        <v>307</v>
      </c>
      <c r="E928">
        <v>197</v>
      </c>
      <c r="F928">
        <v>0</v>
      </c>
      <c r="G928">
        <v>0</v>
      </c>
      <c r="H928">
        <v>100</v>
      </c>
      <c r="I928">
        <v>0</v>
      </c>
      <c r="J928" s="1">
        <v>45928.068207245371</v>
      </c>
      <c r="K928" t="s">
        <v>620</v>
      </c>
      <c r="L928">
        <f t="shared" si="14"/>
        <v>927</v>
      </c>
      <c r="M928">
        <f>COUNTIF($A$2:A928,A928)</f>
        <v>28</v>
      </c>
    </row>
    <row r="929" spans="1:13" x14ac:dyDescent="0.3">
      <c r="A929">
        <v>12509</v>
      </c>
      <c r="B929" t="s">
        <v>619</v>
      </c>
      <c r="C929" t="s">
        <v>308</v>
      </c>
      <c r="D929" t="s">
        <v>309</v>
      </c>
      <c r="E929">
        <v>222</v>
      </c>
      <c r="F929">
        <v>0</v>
      </c>
      <c r="G929">
        <v>0</v>
      </c>
      <c r="H929">
        <v>100</v>
      </c>
      <c r="I929">
        <v>0</v>
      </c>
      <c r="J929" s="1">
        <v>45928.068224722221</v>
      </c>
      <c r="K929" t="s">
        <v>620</v>
      </c>
      <c r="L929">
        <f t="shared" si="14"/>
        <v>928</v>
      </c>
      <c r="M929">
        <f>COUNTIF($A$2:A929,A929)</f>
        <v>29</v>
      </c>
    </row>
    <row r="930" spans="1:13" x14ac:dyDescent="0.3">
      <c r="A930">
        <v>12509</v>
      </c>
      <c r="B930" t="s">
        <v>619</v>
      </c>
      <c r="C930" t="s">
        <v>310</v>
      </c>
      <c r="D930" t="s">
        <v>311</v>
      </c>
      <c r="E930">
        <v>238</v>
      </c>
      <c r="F930">
        <v>0</v>
      </c>
      <c r="G930">
        <v>0</v>
      </c>
      <c r="H930">
        <v>100</v>
      </c>
      <c r="I930">
        <v>0</v>
      </c>
      <c r="J930" s="1">
        <v>45928.068245625</v>
      </c>
      <c r="K930" t="s">
        <v>620</v>
      </c>
      <c r="L930">
        <f t="shared" si="14"/>
        <v>929</v>
      </c>
      <c r="M930">
        <f>COUNTIF($A$2:A930,A930)</f>
        <v>30</v>
      </c>
    </row>
    <row r="931" spans="1:13" x14ac:dyDescent="0.3">
      <c r="A931">
        <v>12509</v>
      </c>
      <c r="B931" t="s">
        <v>619</v>
      </c>
      <c r="C931" t="s">
        <v>312</v>
      </c>
      <c r="D931" t="s">
        <v>313</v>
      </c>
      <c r="E931">
        <v>241</v>
      </c>
      <c r="F931">
        <v>0</v>
      </c>
      <c r="G931">
        <v>0</v>
      </c>
      <c r="H931">
        <v>100</v>
      </c>
      <c r="I931">
        <v>0</v>
      </c>
      <c r="J931" s="1">
        <v>45928.068266111113</v>
      </c>
      <c r="K931" t="s">
        <v>620</v>
      </c>
      <c r="L931">
        <f t="shared" si="14"/>
        <v>930</v>
      </c>
      <c r="M931">
        <f>COUNTIF($A$2:A931,A931)</f>
        <v>31</v>
      </c>
    </row>
    <row r="932" spans="1:13" x14ac:dyDescent="0.3">
      <c r="A932">
        <v>12509</v>
      </c>
      <c r="B932" t="s">
        <v>619</v>
      </c>
      <c r="C932" t="s">
        <v>627</v>
      </c>
      <c r="D932" t="s">
        <v>628</v>
      </c>
      <c r="E932">
        <v>219</v>
      </c>
      <c r="F932">
        <v>0</v>
      </c>
      <c r="G932">
        <v>0</v>
      </c>
      <c r="H932">
        <v>100</v>
      </c>
      <c r="I932">
        <v>0</v>
      </c>
      <c r="J932" s="1">
        <v>45928.068284490742</v>
      </c>
      <c r="K932" t="s">
        <v>620</v>
      </c>
      <c r="L932">
        <f t="shared" si="14"/>
        <v>931</v>
      </c>
      <c r="M932">
        <f>COUNTIF($A$2:A932,A932)</f>
        <v>32</v>
      </c>
    </row>
    <row r="933" spans="1:13" x14ac:dyDescent="0.3">
      <c r="A933">
        <v>12509</v>
      </c>
      <c r="B933" t="s">
        <v>619</v>
      </c>
      <c r="C933" t="s">
        <v>629</v>
      </c>
      <c r="D933" t="s">
        <v>630</v>
      </c>
      <c r="E933">
        <v>221</v>
      </c>
      <c r="F933">
        <v>0</v>
      </c>
      <c r="G933">
        <v>0</v>
      </c>
      <c r="H933">
        <v>100</v>
      </c>
      <c r="I933">
        <v>0</v>
      </c>
      <c r="J933" s="1">
        <v>45928.06830564815</v>
      </c>
      <c r="K933" t="s">
        <v>620</v>
      </c>
      <c r="L933">
        <f t="shared" si="14"/>
        <v>932</v>
      </c>
      <c r="M933">
        <f>COUNTIF($A$2:A933,A933)</f>
        <v>33</v>
      </c>
    </row>
    <row r="934" spans="1:13" x14ac:dyDescent="0.3">
      <c r="A934">
        <v>12509</v>
      </c>
      <c r="B934" t="s">
        <v>619</v>
      </c>
      <c r="C934" t="s">
        <v>631</v>
      </c>
      <c r="D934" t="s">
        <v>632</v>
      </c>
      <c r="E934">
        <v>225</v>
      </c>
      <c r="F934">
        <v>0</v>
      </c>
      <c r="G934">
        <v>0</v>
      </c>
      <c r="H934">
        <v>100</v>
      </c>
      <c r="I934">
        <v>0</v>
      </c>
      <c r="J934" s="1">
        <v>45928.068325798609</v>
      </c>
      <c r="K934" t="s">
        <v>620</v>
      </c>
      <c r="L934">
        <f t="shared" si="14"/>
        <v>933</v>
      </c>
      <c r="M934">
        <f>COUNTIF($A$2:A934,A934)</f>
        <v>34</v>
      </c>
    </row>
    <row r="935" spans="1:13" x14ac:dyDescent="0.3">
      <c r="A935">
        <v>12509</v>
      </c>
      <c r="B935" t="s">
        <v>619</v>
      </c>
      <c r="C935" t="s">
        <v>633</v>
      </c>
      <c r="D935" t="s">
        <v>634</v>
      </c>
      <c r="E935">
        <v>232</v>
      </c>
      <c r="F935">
        <v>0</v>
      </c>
      <c r="G935">
        <v>0</v>
      </c>
      <c r="H935">
        <v>100</v>
      </c>
      <c r="I935">
        <v>0</v>
      </c>
      <c r="J935" s="1">
        <v>45928.068347604167</v>
      </c>
      <c r="K935" t="s">
        <v>620</v>
      </c>
      <c r="L935">
        <f t="shared" si="14"/>
        <v>934</v>
      </c>
      <c r="M935">
        <f>COUNTIF($A$2:A935,A935)</f>
        <v>35</v>
      </c>
    </row>
    <row r="936" spans="1:13" x14ac:dyDescent="0.3">
      <c r="A936">
        <v>12509</v>
      </c>
      <c r="B936" t="s">
        <v>619</v>
      </c>
      <c r="C936" t="s">
        <v>635</v>
      </c>
      <c r="D936" t="s">
        <v>636</v>
      </c>
      <c r="E936">
        <v>252</v>
      </c>
      <c r="F936">
        <v>0</v>
      </c>
      <c r="G936">
        <v>0</v>
      </c>
      <c r="H936">
        <v>100</v>
      </c>
      <c r="I936">
        <v>0</v>
      </c>
      <c r="J936" s="1">
        <v>45928.068369699075</v>
      </c>
      <c r="K936" t="s">
        <v>620</v>
      </c>
      <c r="L936">
        <f t="shared" si="14"/>
        <v>935</v>
      </c>
      <c r="M936">
        <f>COUNTIF($A$2:A936,A936)</f>
        <v>36</v>
      </c>
    </row>
    <row r="937" spans="1:13" x14ac:dyDescent="0.3">
      <c r="A937">
        <v>12509</v>
      </c>
      <c r="B937" t="s">
        <v>619</v>
      </c>
      <c r="C937" t="s">
        <v>637</v>
      </c>
      <c r="D937" t="s">
        <v>638</v>
      </c>
      <c r="E937">
        <v>222</v>
      </c>
      <c r="F937">
        <v>0</v>
      </c>
      <c r="G937">
        <v>0</v>
      </c>
      <c r="H937">
        <v>100</v>
      </c>
      <c r="I937">
        <v>0</v>
      </c>
      <c r="J937" s="1">
        <v>45928.068392615744</v>
      </c>
      <c r="K937" t="s">
        <v>620</v>
      </c>
      <c r="L937">
        <f t="shared" si="14"/>
        <v>936</v>
      </c>
      <c r="M937">
        <f>COUNTIF($A$2:A937,A937)</f>
        <v>37</v>
      </c>
    </row>
    <row r="938" spans="1:13" x14ac:dyDescent="0.3">
      <c r="A938">
        <v>12509</v>
      </c>
      <c r="B938" t="s">
        <v>619</v>
      </c>
      <c r="C938" t="s">
        <v>639</v>
      </c>
      <c r="D938" t="s">
        <v>640</v>
      </c>
      <c r="E938">
        <v>230</v>
      </c>
      <c r="F938">
        <v>0</v>
      </c>
      <c r="G938">
        <v>0</v>
      </c>
      <c r="H938">
        <v>100</v>
      </c>
      <c r="I938">
        <v>0</v>
      </c>
      <c r="J938" s="1">
        <v>45928.068412511573</v>
      </c>
      <c r="K938" t="s">
        <v>620</v>
      </c>
      <c r="L938">
        <f t="shared" si="14"/>
        <v>937</v>
      </c>
      <c r="M938">
        <f>COUNTIF($A$2:A938,A938)</f>
        <v>38</v>
      </c>
    </row>
    <row r="939" spans="1:13" x14ac:dyDescent="0.3">
      <c r="A939">
        <v>12509</v>
      </c>
      <c r="B939" t="s">
        <v>619</v>
      </c>
      <c r="C939" t="s">
        <v>641</v>
      </c>
      <c r="D939" t="s">
        <v>642</v>
      </c>
      <c r="E939">
        <v>248</v>
      </c>
      <c r="F939">
        <v>0</v>
      </c>
      <c r="G939">
        <v>0</v>
      </c>
      <c r="H939">
        <v>100</v>
      </c>
      <c r="I939">
        <v>0</v>
      </c>
      <c r="J939" s="1">
        <v>45928.068435474539</v>
      </c>
      <c r="K939" t="s">
        <v>620</v>
      </c>
      <c r="L939">
        <f t="shared" si="14"/>
        <v>938</v>
      </c>
      <c r="M939">
        <f>COUNTIF($A$2:A939,A939)</f>
        <v>39</v>
      </c>
    </row>
    <row r="940" spans="1:13" x14ac:dyDescent="0.3">
      <c r="A940">
        <v>12509</v>
      </c>
      <c r="B940" t="s">
        <v>619</v>
      </c>
      <c r="C940" t="s">
        <v>643</v>
      </c>
      <c r="D940" t="s">
        <v>644</v>
      </c>
      <c r="E940">
        <v>225</v>
      </c>
      <c r="F940">
        <v>0</v>
      </c>
      <c r="G940">
        <v>0</v>
      </c>
      <c r="H940">
        <v>100</v>
      </c>
      <c r="I940">
        <v>0</v>
      </c>
      <c r="J940" s="1">
        <v>45928.068457164351</v>
      </c>
      <c r="K940" t="s">
        <v>620</v>
      </c>
      <c r="L940">
        <f t="shared" si="14"/>
        <v>939</v>
      </c>
      <c r="M940">
        <f>COUNTIF($A$2:A940,A940)</f>
        <v>40</v>
      </c>
    </row>
    <row r="941" spans="1:13" x14ac:dyDescent="0.3">
      <c r="A941">
        <v>12509</v>
      </c>
      <c r="B941" t="s">
        <v>619</v>
      </c>
      <c r="C941" t="s">
        <v>645</v>
      </c>
      <c r="D941" t="s">
        <v>646</v>
      </c>
      <c r="E941">
        <v>208</v>
      </c>
      <c r="F941">
        <v>0</v>
      </c>
      <c r="G941">
        <v>8.33</v>
      </c>
      <c r="H941">
        <v>91.67</v>
      </c>
      <c r="I941">
        <v>0</v>
      </c>
      <c r="J941" s="1">
        <v>45928.068482337963</v>
      </c>
      <c r="K941" t="s">
        <v>620</v>
      </c>
      <c r="L941">
        <f t="shared" si="14"/>
        <v>940</v>
      </c>
      <c r="M941">
        <f>COUNTIF($A$2:A941,A941)</f>
        <v>41</v>
      </c>
    </row>
    <row r="942" spans="1:13" x14ac:dyDescent="0.3">
      <c r="A942">
        <v>12510</v>
      </c>
      <c r="B942" t="s">
        <v>647</v>
      </c>
      <c r="C942" t="s">
        <v>645</v>
      </c>
      <c r="D942" t="s">
        <v>646</v>
      </c>
      <c r="E942">
        <v>2</v>
      </c>
      <c r="F942">
        <v>100</v>
      </c>
      <c r="G942">
        <v>0</v>
      </c>
      <c r="H942">
        <v>0</v>
      </c>
      <c r="I942">
        <v>0</v>
      </c>
      <c r="J942" s="1">
        <v>45928.068572199074</v>
      </c>
      <c r="K942" t="s">
        <v>648</v>
      </c>
      <c r="L942">
        <f t="shared" si="14"/>
        <v>941</v>
      </c>
      <c r="M942">
        <f>COUNTIF($A$2:A942,A942)</f>
        <v>1</v>
      </c>
    </row>
    <row r="943" spans="1:13" x14ac:dyDescent="0.3">
      <c r="A943">
        <v>12510</v>
      </c>
      <c r="B943" t="s">
        <v>647</v>
      </c>
      <c r="C943" t="s">
        <v>643</v>
      </c>
      <c r="D943" t="s">
        <v>644</v>
      </c>
      <c r="F943">
        <v>100</v>
      </c>
      <c r="G943">
        <v>0</v>
      </c>
      <c r="H943">
        <v>0</v>
      </c>
      <c r="I943">
        <v>0</v>
      </c>
      <c r="J943" s="1">
        <v>45928.068600243052</v>
      </c>
      <c r="K943" t="s">
        <v>648</v>
      </c>
      <c r="L943">
        <f t="shared" si="14"/>
        <v>942</v>
      </c>
      <c r="M943">
        <f>COUNTIF($A$2:A943,A943)</f>
        <v>2</v>
      </c>
    </row>
    <row r="944" spans="1:13" x14ac:dyDescent="0.3">
      <c r="A944">
        <v>12510</v>
      </c>
      <c r="B944" t="s">
        <v>647</v>
      </c>
      <c r="C944" t="s">
        <v>641</v>
      </c>
      <c r="D944" t="s">
        <v>642</v>
      </c>
      <c r="E944">
        <v>8</v>
      </c>
      <c r="F944">
        <v>92.31</v>
      </c>
      <c r="G944">
        <v>7.69</v>
      </c>
      <c r="H944">
        <v>0</v>
      </c>
      <c r="I944">
        <v>0</v>
      </c>
      <c r="J944" s="1">
        <v>45928.068646493055</v>
      </c>
      <c r="K944" t="s">
        <v>648</v>
      </c>
      <c r="L944">
        <f t="shared" si="14"/>
        <v>943</v>
      </c>
      <c r="M944">
        <f>COUNTIF($A$2:A944,A944)</f>
        <v>3</v>
      </c>
    </row>
    <row r="945" spans="1:13" x14ac:dyDescent="0.3">
      <c r="A945">
        <v>12510</v>
      </c>
      <c r="B945" t="s">
        <v>647</v>
      </c>
      <c r="C945" t="s">
        <v>639</v>
      </c>
      <c r="D945" t="s">
        <v>640</v>
      </c>
      <c r="E945">
        <v>14</v>
      </c>
      <c r="F945">
        <v>61.54</v>
      </c>
      <c r="G945">
        <v>38.46</v>
      </c>
      <c r="H945">
        <v>0</v>
      </c>
      <c r="I945">
        <v>0</v>
      </c>
      <c r="J945" s="1">
        <v>45928.068668009262</v>
      </c>
      <c r="K945" t="s">
        <v>648</v>
      </c>
      <c r="L945">
        <f t="shared" si="14"/>
        <v>944</v>
      </c>
      <c r="M945">
        <f>COUNTIF($A$2:A945,A945)</f>
        <v>4</v>
      </c>
    </row>
    <row r="946" spans="1:13" x14ac:dyDescent="0.3">
      <c r="A946">
        <v>12510</v>
      </c>
      <c r="B946" t="s">
        <v>647</v>
      </c>
      <c r="C946" t="s">
        <v>637</v>
      </c>
      <c r="D946" t="s">
        <v>638</v>
      </c>
      <c r="E946">
        <v>3</v>
      </c>
      <c r="F946">
        <v>100</v>
      </c>
      <c r="G946">
        <v>0</v>
      </c>
      <c r="H946">
        <v>0</v>
      </c>
      <c r="I946">
        <v>0</v>
      </c>
      <c r="J946" s="1">
        <v>45928.068686597224</v>
      </c>
      <c r="K946" t="s">
        <v>648</v>
      </c>
      <c r="L946">
        <f t="shared" si="14"/>
        <v>945</v>
      </c>
      <c r="M946">
        <f>COUNTIF($A$2:A946,A946)</f>
        <v>5</v>
      </c>
    </row>
    <row r="947" spans="1:13" x14ac:dyDescent="0.3">
      <c r="A947">
        <v>12510</v>
      </c>
      <c r="B947" t="s">
        <v>647</v>
      </c>
      <c r="C947" t="s">
        <v>635</v>
      </c>
      <c r="D947" t="s">
        <v>636</v>
      </c>
      <c r="E947">
        <v>7</v>
      </c>
      <c r="F947">
        <v>92.31</v>
      </c>
      <c r="G947">
        <v>7.69</v>
      </c>
      <c r="H947">
        <v>0</v>
      </c>
      <c r="I947">
        <v>0</v>
      </c>
      <c r="J947" s="1">
        <v>45928.068735462963</v>
      </c>
      <c r="K947" t="s">
        <v>648</v>
      </c>
      <c r="L947">
        <f t="shared" si="14"/>
        <v>946</v>
      </c>
      <c r="M947">
        <f>COUNTIF($A$2:A947,A947)</f>
        <v>6</v>
      </c>
    </row>
    <row r="948" spans="1:13" x14ac:dyDescent="0.3">
      <c r="A948">
        <v>12510</v>
      </c>
      <c r="B948" t="s">
        <v>647</v>
      </c>
      <c r="C948" t="s">
        <v>633</v>
      </c>
      <c r="D948" t="s">
        <v>634</v>
      </c>
      <c r="E948">
        <v>18</v>
      </c>
      <c r="F948">
        <v>30.77</v>
      </c>
      <c r="G948">
        <v>69.23</v>
      </c>
      <c r="H948">
        <v>0</v>
      </c>
      <c r="I948">
        <v>0</v>
      </c>
      <c r="J948" s="1">
        <v>45928.068761666669</v>
      </c>
      <c r="K948" t="s">
        <v>648</v>
      </c>
      <c r="L948">
        <f t="shared" si="14"/>
        <v>947</v>
      </c>
      <c r="M948">
        <f>COUNTIF($A$2:A948,A948)</f>
        <v>7</v>
      </c>
    </row>
    <row r="949" spans="1:13" x14ac:dyDescent="0.3">
      <c r="A949">
        <v>12510</v>
      </c>
      <c r="B949" t="s">
        <v>647</v>
      </c>
      <c r="C949" t="s">
        <v>631</v>
      </c>
      <c r="D949" t="s">
        <v>632</v>
      </c>
      <c r="E949">
        <v>21</v>
      </c>
      <c r="F949">
        <v>23.08</v>
      </c>
      <c r="G949">
        <v>76.92</v>
      </c>
      <c r="H949">
        <v>0</v>
      </c>
      <c r="I949">
        <v>0</v>
      </c>
      <c r="J949" s="1">
        <v>45928.06878332176</v>
      </c>
      <c r="K949" t="s">
        <v>648</v>
      </c>
      <c r="L949">
        <f t="shared" si="14"/>
        <v>948</v>
      </c>
      <c r="M949">
        <f>COUNTIF($A$2:A949,A949)</f>
        <v>8</v>
      </c>
    </row>
    <row r="950" spans="1:13" x14ac:dyDescent="0.3">
      <c r="A950">
        <v>12510</v>
      </c>
      <c r="B950" t="s">
        <v>647</v>
      </c>
      <c r="C950" t="s">
        <v>629</v>
      </c>
      <c r="D950" t="s">
        <v>630</v>
      </c>
      <c r="E950">
        <v>29</v>
      </c>
      <c r="F950">
        <v>7.69</v>
      </c>
      <c r="G950">
        <v>92.31</v>
      </c>
      <c r="H950">
        <v>0</v>
      </c>
      <c r="I950">
        <v>0</v>
      </c>
      <c r="J950" s="1">
        <v>45928.068805810188</v>
      </c>
      <c r="K950" t="s">
        <v>648</v>
      </c>
      <c r="L950">
        <f t="shared" si="14"/>
        <v>949</v>
      </c>
      <c r="M950">
        <f>COUNTIF($A$2:A950,A950)</f>
        <v>9</v>
      </c>
    </row>
    <row r="951" spans="1:13" x14ac:dyDescent="0.3">
      <c r="A951">
        <v>12510</v>
      </c>
      <c r="B951" t="s">
        <v>647</v>
      </c>
      <c r="C951" t="s">
        <v>627</v>
      </c>
      <c r="D951" t="s">
        <v>628</v>
      </c>
      <c r="E951">
        <v>22</v>
      </c>
      <c r="F951">
        <v>38.46</v>
      </c>
      <c r="G951">
        <v>61.54</v>
      </c>
      <c r="H951">
        <v>0</v>
      </c>
      <c r="I951">
        <v>0</v>
      </c>
      <c r="J951" s="1">
        <v>45928.068829039352</v>
      </c>
      <c r="K951" t="s">
        <v>648</v>
      </c>
      <c r="L951">
        <f t="shared" si="14"/>
        <v>950</v>
      </c>
      <c r="M951">
        <f>COUNTIF($A$2:A951,A951)</f>
        <v>10</v>
      </c>
    </row>
    <row r="952" spans="1:13" x14ac:dyDescent="0.3">
      <c r="A952">
        <v>12510</v>
      </c>
      <c r="B952" t="s">
        <v>647</v>
      </c>
      <c r="C952" t="s">
        <v>312</v>
      </c>
      <c r="D952" t="s">
        <v>313</v>
      </c>
      <c r="E952">
        <v>8</v>
      </c>
      <c r="F952">
        <v>76.92</v>
      </c>
      <c r="G952">
        <v>23.08</v>
      </c>
      <c r="H952">
        <v>0</v>
      </c>
      <c r="I952">
        <v>0</v>
      </c>
      <c r="J952" s="1">
        <v>45928.068847893519</v>
      </c>
      <c r="K952" t="s">
        <v>648</v>
      </c>
      <c r="L952">
        <f t="shared" si="14"/>
        <v>951</v>
      </c>
      <c r="M952">
        <f>COUNTIF($A$2:A952,A952)</f>
        <v>11</v>
      </c>
    </row>
    <row r="953" spans="1:13" x14ac:dyDescent="0.3">
      <c r="A953">
        <v>12510</v>
      </c>
      <c r="B953" t="s">
        <v>647</v>
      </c>
      <c r="C953" t="s">
        <v>310</v>
      </c>
      <c r="D953" t="s">
        <v>311</v>
      </c>
      <c r="E953">
        <v>20</v>
      </c>
      <c r="F953">
        <v>69.23</v>
      </c>
      <c r="G953">
        <v>30.77</v>
      </c>
      <c r="H953">
        <v>0</v>
      </c>
      <c r="I953">
        <v>0</v>
      </c>
      <c r="J953" s="1">
        <v>45928.068893784723</v>
      </c>
      <c r="K953" t="s">
        <v>648</v>
      </c>
      <c r="L953">
        <f t="shared" si="14"/>
        <v>952</v>
      </c>
      <c r="M953">
        <f>COUNTIF($A$2:A953,A953)</f>
        <v>12</v>
      </c>
    </row>
    <row r="954" spans="1:13" x14ac:dyDescent="0.3">
      <c r="A954">
        <v>12510</v>
      </c>
      <c r="B954" t="s">
        <v>647</v>
      </c>
      <c r="C954" t="s">
        <v>308</v>
      </c>
      <c r="D954" t="s">
        <v>309</v>
      </c>
      <c r="E954">
        <v>19</v>
      </c>
      <c r="F954">
        <v>38.46</v>
      </c>
      <c r="G954">
        <v>61.54</v>
      </c>
      <c r="H954">
        <v>0</v>
      </c>
      <c r="I954">
        <v>0</v>
      </c>
      <c r="J954" s="1">
        <v>45928.068914293981</v>
      </c>
      <c r="K954" t="s">
        <v>648</v>
      </c>
      <c r="L954">
        <f t="shared" si="14"/>
        <v>953</v>
      </c>
      <c r="M954">
        <f>COUNTIF($A$2:A954,A954)</f>
        <v>13</v>
      </c>
    </row>
    <row r="955" spans="1:13" x14ac:dyDescent="0.3">
      <c r="A955">
        <v>12510</v>
      </c>
      <c r="B955" t="s">
        <v>647</v>
      </c>
      <c r="C955" t="s">
        <v>306</v>
      </c>
      <c r="D955" t="s">
        <v>307</v>
      </c>
      <c r="E955">
        <v>12</v>
      </c>
      <c r="F955">
        <v>76.92</v>
      </c>
      <c r="G955">
        <v>15.38</v>
      </c>
      <c r="H955">
        <v>7.69</v>
      </c>
      <c r="I955">
        <v>0.01</v>
      </c>
      <c r="J955" s="1">
        <v>45928.068932430557</v>
      </c>
      <c r="K955" t="s">
        <v>648</v>
      </c>
      <c r="L955">
        <f t="shared" si="14"/>
        <v>954</v>
      </c>
      <c r="M955">
        <f>COUNTIF($A$2:A955,A955)</f>
        <v>14</v>
      </c>
    </row>
    <row r="956" spans="1:13" x14ac:dyDescent="0.3">
      <c r="A956">
        <v>12510</v>
      </c>
      <c r="B956" t="s">
        <v>647</v>
      </c>
      <c r="C956" t="s">
        <v>625</v>
      </c>
      <c r="D956" t="s">
        <v>626</v>
      </c>
      <c r="E956">
        <v>21</v>
      </c>
      <c r="F956">
        <v>69.23</v>
      </c>
      <c r="G956">
        <v>15.38</v>
      </c>
      <c r="H956">
        <v>15.38</v>
      </c>
      <c r="I956">
        <v>0.01</v>
      </c>
      <c r="J956" s="1">
        <v>45928.068953472219</v>
      </c>
      <c r="K956" t="s">
        <v>648</v>
      </c>
      <c r="L956">
        <f t="shared" si="14"/>
        <v>955</v>
      </c>
      <c r="M956">
        <f>COUNTIF($A$2:A956,A956)</f>
        <v>15</v>
      </c>
    </row>
    <row r="957" spans="1:13" x14ac:dyDescent="0.3">
      <c r="A957">
        <v>12510</v>
      </c>
      <c r="B957" t="s">
        <v>647</v>
      </c>
      <c r="C957" t="s">
        <v>623</v>
      </c>
      <c r="D957" t="s">
        <v>624</v>
      </c>
      <c r="E957">
        <v>19</v>
      </c>
      <c r="F957">
        <v>69.23</v>
      </c>
      <c r="G957">
        <v>15.38</v>
      </c>
      <c r="H957">
        <v>15.38</v>
      </c>
      <c r="I957">
        <v>0.01</v>
      </c>
      <c r="J957" s="1">
        <v>45928.068976331022</v>
      </c>
      <c r="K957" t="s">
        <v>648</v>
      </c>
      <c r="L957">
        <f t="shared" si="14"/>
        <v>956</v>
      </c>
      <c r="M957">
        <f>COUNTIF($A$2:A957,A957)</f>
        <v>16</v>
      </c>
    </row>
    <row r="958" spans="1:13" x14ac:dyDescent="0.3">
      <c r="A958">
        <v>12510</v>
      </c>
      <c r="B958" t="s">
        <v>647</v>
      </c>
      <c r="C958" t="s">
        <v>304</v>
      </c>
      <c r="D958" t="s">
        <v>305</v>
      </c>
      <c r="E958">
        <v>24</v>
      </c>
      <c r="F958">
        <v>53.85</v>
      </c>
      <c r="G958">
        <v>30.77</v>
      </c>
      <c r="H958">
        <v>15.38</v>
      </c>
      <c r="I958">
        <v>0</v>
      </c>
      <c r="J958" s="1">
        <v>45928.069022476855</v>
      </c>
      <c r="K958" t="s">
        <v>648</v>
      </c>
      <c r="L958">
        <f t="shared" si="14"/>
        <v>957</v>
      </c>
      <c r="M958">
        <f>COUNTIF($A$2:A958,A958)</f>
        <v>17</v>
      </c>
    </row>
    <row r="959" spans="1:13" x14ac:dyDescent="0.3">
      <c r="A959">
        <v>12510</v>
      </c>
      <c r="B959" t="s">
        <v>647</v>
      </c>
      <c r="C959" t="s">
        <v>621</v>
      </c>
      <c r="D959" t="s">
        <v>622</v>
      </c>
      <c r="E959">
        <v>58</v>
      </c>
      <c r="F959">
        <v>0</v>
      </c>
      <c r="G959">
        <v>53.85</v>
      </c>
      <c r="H959">
        <v>46.15</v>
      </c>
      <c r="I959">
        <v>0</v>
      </c>
      <c r="J959" s="1">
        <v>45928.069041782408</v>
      </c>
      <c r="K959" t="s">
        <v>648</v>
      </c>
      <c r="L959">
        <f t="shared" si="14"/>
        <v>958</v>
      </c>
      <c r="M959">
        <f>COUNTIF($A$2:A959,A959)</f>
        <v>18</v>
      </c>
    </row>
    <row r="960" spans="1:13" x14ac:dyDescent="0.3">
      <c r="A960">
        <v>12510</v>
      </c>
      <c r="B960" t="s">
        <v>647</v>
      </c>
      <c r="C960" t="s">
        <v>117</v>
      </c>
      <c r="D960" t="s">
        <v>118</v>
      </c>
      <c r="E960">
        <v>78</v>
      </c>
      <c r="F960">
        <v>0</v>
      </c>
      <c r="G960">
        <v>46.15</v>
      </c>
      <c r="H960">
        <v>53.85</v>
      </c>
      <c r="I960">
        <v>0</v>
      </c>
      <c r="J960" s="1">
        <v>45928.069064317133</v>
      </c>
      <c r="K960" t="s">
        <v>648</v>
      </c>
      <c r="L960">
        <f t="shared" si="14"/>
        <v>959</v>
      </c>
      <c r="M960">
        <f>COUNTIF($A$2:A960,A960)</f>
        <v>19</v>
      </c>
    </row>
    <row r="961" spans="1:13" x14ac:dyDescent="0.3">
      <c r="A961">
        <v>12510</v>
      </c>
      <c r="B961" t="s">
        <v>647</v>
      </c>
      <c r="C961" t="s">
        <v>119</v>
      </c>
      <c r="D961" t="s">
        <v>120</v>
      </c>
      <c r="F961">
        <v>0</v>
      </c>
      <c r="G961">
        <v>23.08</v>
      </c>
      <c r="H961">
        <v>76.92</v>
      </c>
      <c r="I961">
        <v>0</v>
      </c>
      <c r="J961" s="1">
        <v>45928.069092384256</v>
      </c>
      <c r="K961" t="s">
        <v>648</v>
      </c>
      <c r="L961">
        <f t="shared" si="14"/>
        <v>960</v>
      </c>
      <c r="M961">
        <f>COUNTIF($A$2:A961,A961)</f>
        <v>20</v>
      </c>
    </row>
    <row r="962" spans="1:13" x14ac:dyDescent="0.3">
      <c r="A962">
        <v>12510</v>
      </c>
      <c r="B962" t="s">
        <v>647</v>
      </c>
      <c r="C962" t="s">
        <v>121</v>
      </c>
      <c r="D962" t="s">
        <v>122</v>
      </c>
      <c r="E962">
        <v>97</v>
      </c>
      <c r="F962">
        <v>0</v>
      </c>
      <c r="G962">
        <v>23.08</v>
      </c>
      <c r="H962">
        <v>76.92</v>
      </c>
      <c r="I962">
        <v>0</v>
      </c>
      <c r="J962" s="1">
        <v>45928.069116701387</v>
      </c>
      <c r="K962" t="s">
        <v>648</v>
      </c>
      <c r="L962">
        <f t="shared" ref="L962:L1025" si="15">ROW()-1</f>
        <v>961</v>
      </c>
      <c r="M962">
        <f>COUNTIF($A$2:A962,A962)</f>
        <v>21</v>
      </c>
    </row>
    <row r="963" spans="1:13" x14ac:dyDescent="0.3">
      <c r="A963">
        <v>12510</v>
      </c>
      <c r="B963" t="s">
        <v>647</v>
      </c>
      <c r="C963" t="s">
        <v>123</v>
      </c>
      <c r="D963" t="s">
        <v>124</v>
      </c>
      <c r="E963">
        <v>97</v>
      </c>
      <c r="F963">
        <v>0</v>
      </c>
      <c r="G963">
        <v>23.08</v>
      </c>
      <c r="H963">
        <v>76.92</v>
      </c>
      <c r="I963">
        <v>0</v>
      </c>
      <c r="J963" s="1">
        <v>45928.069137442129</v>
      </c>
      <c r="K963" t="s">
        <v>648</v>
      </c>
      <c r="L963">
        <f t="shared" si="15"/>
        <v>962</v>
      </c>
      <c r="M963">
        <f>COUNTIF($A$2:A963,A963)</f>
        <v>22</v>
      </c>
    </row>
    <row r="964" spans="1:13" x14ac:dyDescent="0.3">
      <c r="A964">
        <v>12510</v>
      </c>
      <c r="B964" t="s">
        <v>647</v>
      </c>
      <c r="C964" t="s">
        <v>125</v>
      </c>
      <c r="D964" t="s">
        <v>126</v>
      </c>
      <c r="E964">
        <v>131</v>
      </c>
      <c r="F964">
        <v>0</v>
      </c>
      <c r="G964">
        <v>15.38</v>
      </c>
      <c r="H964">
        <v>84.62</v>
      </c>
      <c r="I964">
        <v>0</v>
      </c>
      <c r="J964" s="1">
        <v>45928.069157094906</v>
      </c>
      <c r="K964" t="s">
        <v>648</v>
      </c>
      <c r="L964">
        <f t="shared" si="15"/>
        <v>963</v>
      </c>
      <c r="M964">
        <f>COUNTIF($A$2:A964,A964)</f>
        <v>23</v>
      </c>
    </row>
    <row r="965" spans="1:13" x14ac:dyDescent="0.3">
      <c r="A965">
        <v>12510</v>
      </c>
      <c r="B965" t="s">
        <v>647</v>
      </c>
      <c r="C965" t="s">
        <v>127</v>
      </c>
      <c r="D965" t="s">
        <v>128</v>
      </c>
      <c r="E965">
        <v>124</v>
      </c>
      <c r="F965">
        <v>0</v>
      </c>
      <c r="G965">
        <v>7.69</v>
      </c>
      <c r="H965">
        <v>92.31</v>
      </c>
      <c r="I965">
        <v>0</v>
      </c>
      <c r="J965" s="1">
        <v>45928.069178726852</v>
      </c>
      <c r="K965" t="s">
        <v>648</v>
      </c>
      <c r="L965">
        <f t="shared" si="15"/>
        <v>964</v>
      </c>
      <c r="M965">
        <f>COUNTIF($A$2:A965,A965)</f>
        <v>24</v>
      </c>
    </row>
    <row r="966" spans="1:13" x14ac:dyDescent="0.3">
      <c r="A966">
        <v>12510</v>
      </c>
      <c r="B966" t="s">
        <v>647</v>
      </c>
      <c r="C966" t="s">
        <v>129</v>
      </c>
      <c r="D966" t="s">
        <v>130</v>
      </c>
      <c r="E966">
        <v>119</v>
      </c>
      <c r="F966">
        <v>0</v>
      </c>
      <c r="G966">
        <v>15.38</v>
      </c>
      <c r="H966">
        <v>84.62</v>
      </c>
      <c r="I966">
        <v>0</v>
      </c>
      <c r="J966" s="1">
        <v>45928.0692016088</v>
      </c>
      <c r="K966" t="s">
        <v>648</v>
      </c>
      <c r="L966">
        <f t="shared" si="15"/>
        <v>965</v>
      </c>
      <c r="M966">
        <f>COUNTIF($A$2:A966,A966)</f>
        <v>25</v>
      </c>
    </row>
    <row r="967" spans="1:13" x14ac:dyDescent="0.3">
      <c r="A967">
        <v>12510</v>
      </c>
      <c r="B967" t="s">
        <v>647</v>
      </c>
      <c r="C967" t="s">
        <v>131</v>
      </c>
      <c r="D967" t="s">
        <v>132</v>
      </c>
      <c r="E967">
        <v>126</v>
      </c>
      <c r="F967">
        <v>0</v>
      </c>
      <c r="G967">
        <v>7.69</v>
      </c>
      <c r="H967">
        <v>92.31</v>
      </c>
      <c r="I967">
        <v>0</v>
      </c>
      <c r="J967" s="1">
        <v>45928.069225474537</v>
      </c>
      <c r="K967" t="s">
        <v>648</v>
      </c>
      <c r="L967">
        <f t="shared" si="15"/>
        <v>966</v>
      </c>
      <c r="M967">
        <f>COUNTIF($A$2:A967,A967)</f>
        <v>26</v>
      </c>
    </row>
    <row r="968" spans="1:13" x14ac:dyDescent="0.3">
      <c r="A968">
        <v>12510</v>
      </c>
      <c r="B968" t="s">
        <v>647</v>
      </c>
      <c r="C968" t="s">
        <v>135</v>
      </c>
      <c r="D968" t="s">
        <v>136</v>
      </c>
      <c r="E968">
        <v>123</v>
      </c>
      <c r="F968">
        <v>0</v>
      </c>
      <c r="G968">
        <v>7.69</v>
      </c>
      <c r="H968">
        <v>92.31</v>
      </c>
      <c r="I968">
        <v>0</v>
      </c>
      <c r="J968" s="1">
        <v>45928.069246909719</v>
      </c>
      <c r="K968" t="s">
        <v>648</v>
      </c>
      <c r="L968">
        <f t="shared" si="15"/>
        <v>967</v>
      </c>
      <c r="M968">
        <f>COUNTIF($A$2:A968,A968)</f>
        <v>27</v>
      </c>
    </row>
    <row r="969" spans="1:13" x14ac:dyDescent="0.3">
      <c r="A969">
        <v>12510</v>
      </c>
      <c r="B969" t="s">
        <v>647</v>
      </c>
      <c r="C969" t="s">
        <v>141</v>
      </c>
      <c r="D969" t="s">
        <v>142</v>
      </c>
      <c r="E969">
        <v>110</v>
      </c>
      <c r="F969">
        <v>0</v>
      </c>
      <c r="G969">
        <v>15.38</v>
      </c>
      <c r="H969">
        <v>84.62</v>
      </c>
      <c r="I969">
        <v>0</v>
      </c>
      <c r="J969" s="1">
        <v>45928.069266527775</v>
      </c>
      <c r="K969" t="s">
        <v>648</v>
      </c>
      <c r="L969">
        <f t="shared" si="15"/>
        <v>968</v>
      </c>
      <c r="M969">
        <f>COUNTIF($A$2:A969,A969)</f>
        <v>28</v>
      </c>
    </row>
    <row r="970" spans="1:13" x14ac:dyDescent="0.3">
      <c r="A970">
        <v>12510</v>
      </c>
      <c r="B970" t="s">
        <v>647</v>
      </c>
      <c r="C970" t="s">
        <v>145</v>
      </c>
      <c r="D970" t="s">
        <v>146</v>
      </c>
      <c r="E970">
        <v>112</v>
      </c>
      <c r="F970">
        <v>0</v>
      </c>
      <c r="G970">
        <v>15.38</v>
      </c>
      <c r="H970">
        <v>84.62</v>
      </c>
      <c r="I970">
        <v>0</v>
      </c>
      <c r="J970" s="1">
        <v>45928.069286863429</v>
      </c>
      <c r="K970" t="s">
        <v>648</v>
      </c>
      <c r="L970">
        <f t="shared" si="15"/>
        <v>969</v>
      </c>
      <c r="M970">
        <f>COUNTIF($A$2:A970,A970)</f>
        <v>29</v>
      </c>
    </row>
    <row r="971" spans="1:13" x14ac:dyDescent="0.3">
      <c r="A971">
        <v>12510</v>
      </c>
      <c r="B971" t="s">
        <v>647</v>
      </c>
      <c r="C971" t="s">
        <v>149</v>
      </c>
      <c r="D971" t="s">
        <v>150</v>
      </c>
      <c r="E971">
        <v>124</v>
      </c>
      <c r="F971">
        <v>0</v>
      </c>
      <c r="G971">
        <v>7.69</v>
      </c>
      <c r="H971">
        <v>92.31</v>
      </c>
      <c r="I971">
        <v>0</v>
      </c>
      <c r="J971" s="1">
        <v>45928.06930599537</v>
      </c>
      <c r="K971" t="s">
        <v>648</v>
      </c>
      <c r="L971">
        <f t="shared" si="15"/>
        <v>970</v>
      </c>
      <c r="M971">
        <f>COUNTIF($A$2:A971,A971)</f>
        <v>30</v>
      </c>
    </row>
    <row r="972" spans="1:13" x14ac:dyDescent="0.3">
      <c r="A972">
        <v>12510</v>
      </c>
      <c r="B972" t="s">
        <v>647</v>
      </c>
      <c r="C972" t="s">
        <v>151</v>
      </c>
      <c r="D972" t="s">
        <v>152</v>
      </c>
      <c r="E972">
        <v>133</v>
      </c>
      <c r="F972">
        <v>0</v>
      </c>
      <c r="G972">
        <v>15.38</v>
      </c>
      <c r="H972">
        <v>84.62</v>
      </c>
      <c r="I972">
        <v>0</v>
      </c>
      <c r="J972" s="1">
        <v>45928.069322766205</v>
      </c>
      <c r="K972" t="s">
        <v>648</v>
      </c>
      <c r="L972">
        <f t="shared" si="15"/>
        <v>971</v>
      </c>
      <c r="M972">
        <f>COUNTIF($A$2:A972,A972)</f>
        <v>31</v>
      </c>
    </row>
    <row r="973" spans="1:13" x14ac:dyDescent="0.3">
      <c r="A973">
        <v>12510</v>
      </c>
      <c r="B973" t="s">
        <v>647</v>
      </c>
      <c r="C973" t="s">
        <v>160</v>
      </c>
      <c r="D973" t="s">
        <v>161</v>
      </c>
      <c r="E973">
        <v>161</v>
      </c>
      <c r="F973">
        <v>0</v>
      </c>
      <c r="G973">
        <v>15.38</v>
      </c>
      <c r="H973">
        <v>84.62</v>
      </c>
      <c r="I973">
        <v>0</v>
      </c>
      <c r="J973" s="1">
        <v>45928.069338321759</v>
      </c>
      <c r="K973" t="s">
        <v>648</v>
      </c>
      <c r="L973">
        <f t="shared" si="15"/>
        <v>972</v>
      </c>
      <c r="M973">
        <f>COUNTIF($A$2:A973,A973)</f>
        <v>32</v>
      </c>
    </row>
    <row r="974" spans="1:13" x14ac:dyDescent="0.3">
      <c r="A974">
        <v>12510</v>
      </c>
      <c r="B974" t="s">
        <v>647</v>
      </c>
      <c r="C974" t="s">
        <v>88</v>
      </c>
      <c r="D974" t="s">
        <v>89</v>
      </c>
      <c r="E974">
        <v>158</v>
      </c>
      <c r="F974">
        <v>0</v>
      </c>
      <c r="G974">
        <v>15.38</v>
      </c>
      <c r="H974">
        <v>84.62</v>
      </c>
      <c r="I974">
        <v>0</v>
      </c>
      <c r="J974" s="1">
        <v>45928.06935795139</v>
      </c>
      <c r="K974" t="s">
        <v>648</v>
      </c>
      <c r="L974">
        <f t="shared" si="15"/>
        <v>973</v>
      </c>
      <c r="M974">
        <f>COUNTIF($A$2:A974,A974)</f>
        <v>33</v>
      </c>
    </row>
    <row r="975" spans="1:13" x14ac:dyDescent="0.3">
      <c r="A975">
        <v>12510</v>
      </c>
      <c r="B975" t="s">
        <v>647</v>
      </c>
      <c r="C975" t="s">
        <v>34</v>
      </c>
      <c r="D975" t="s">
        <v>35</v>
      </c>
      <c r="E975">
        <v>200</v>
      </c>
      <c r="F975">
        <v>0</v>
      </c>
      <c r="G975">
        <v>7.69</v>
      </c>
      <c r="H975">
        <v>92.31</v>
      </c>
      <c r="I975">
        <v>0</v>
      </c>
      <c r="J975" s="1">
        <v>45928.069378460648</v>
      </c>
      <c r="K975" t="s">
        <v>648</v>
      </c>
      <c r="L975">
        <f t="shared" si="15"/>
        <v>974</v>
      </c>
      <c r="M975">
        <f>COUNTIF($A$2:A975,A975)</f>
        <v>34</v>
      </c>
    </row>
    <row r="976" spans="1:13" x14ac:dyDescent="0.3">
      <c r="A976">
        <v>12510</v>
      </c>
      <c r="B976" t="s">
        <v>647</v>
      </c>
      <c r="C976" t="s">
        <v>17</v>
      </c>
      <c r="D976" t="s">
        <v>18</v>
      </c>
      <c r="E976">
        <v>201</v>
      </c>
      <c r="F976">
        <v>7.69</v>
      </c>
      <c r="G976">
        <v>0</v>
      </c>
      <c r="H976">
        <v>92.31</v>
      </c>
      <c r="I976">
        <v>0</v>
      </c>
      <c r="J976" s="1">
        <v>45928.069395023151</v>
      </c>
      <c r="K976" t="s">
        <v>648</v>
      </c>
      <c r="L976">
        <f t="shared" si="15"/>
        <v>975</v>
      </c>
      <c r="M976">
        <f>COUNTIF($A$2:A976,A976)</f>
        <v>35</v>
      </c>
    </row>
    <row r="977" spans="1:13" x14ac:dyDescent="0.3">
      <c r="A977">
        <v>12510</v>
      </c>
      <c r="B977" t="s">
        <v>647</v>
      </c>
      <c r="C977" t="s">
        <v>19</v>
      </c>
      <c r="D977" t="s">
        <v>20</v>
      </c>
      <c r="E977">
        <v>187</v>
      </c>
      <c r="F977">
        <v>7.69</v>
      </c>
      <c r="G977">
        <v>7.69</v>
      </c>
      <c r="H977">
        <v>84.62</v>
      </c>
      <c r="I977">
        <v>0</v>
      </c>
      <c r="J977" s="1">
        <v>45928.069410694443</v>
      </c>
      <c r="K977" t="s">
        <v>648</v>
      </c>
      <c r="L977">
        <f t="shared" si="15"/>
        <v>976</v>
      </c>
      <c r="M977">
        <f>COUNTIF($A$2:A977,A977)</f>
        <v>36</v>
      </c>
    </row>
    <row r="978" spans="1:13" x14ac:dyDescent="0.3">
      <c r="A978">
        <v>12510</v>
      </c>
      <c r="B978" t="s">
        <v>647</v>
      </c>
      <c r="C978" t="s">
        <v>21</v>
      </c>
      <c r="D978" t="s">
        <v>22</v>
      </c>
      <c r="E978">
        <v>182</v>
      </c>
      <c r="F978">
        <v>7.69</v>
      </c>
      <c r="G978">
        <v>7.69</v>
      </c>
      <c r="H978">
        <v>84.62</v>
      </c>
      <c r="I978">
        <v>0</v>
      </c>
      <c r="J978" s="1">
        <v>45928.069427800925</v>
      </c>
      <c r="K978" t="s">
        <v>648</v>
      </c>
      <c r="L978">
        <f t="shared" si="15"/>
        <v>977</v>
      </c>
      <c r="M978">
        <f>COUNTIF($A$2:A978,A978)</f>
        <v>37</v>
      </c>
    </row>
    <row r="979" spans="1:13" x14ac:dyDescent="0.3">
      <c r="A979">
        <v>12510</v>
      </c>
      <c r="B979" t="s">
        <v>647</v>
      </c>
      <c r="C979" t="s">
        <v>192</v>
      </c>
      <c r="D979" t="s">
        <v>193</v>
      </c>
      <c r="E979">
        <v>198</v>
      </c>
      <c r="F979">
        <v>7.69</v>
      </c>
      <c r="G979">
        <v>7.69</v>
      </c>
      <c r="H979">
        <v>84.62</v>
      </c>
      <c r="I979">
        <v>0</v>
      </c>
      <c r="J979" s="1">
        <v>45928.069446354166</v>
      </c>
      <c r="K979" t="s">
        <v>648</v>
      </c>
      <c r="L979">
        <f t="shared" si="15"/>
        <v>978</v>
      </c>
      <c r="M979">
        <f>COUNTIF($A$2:A979,A979)</f>
        <v>38</v>
      </c>
    </row>
    <row r="980" spans="1:13" x14ac:dyDescent="0.3">
      <c r="A980">
        <v>12510</v>
      </c>
      <c r="B980" t="s">
        <v>647</v>
      </c>
      <c r="C980" t="s">
        <v>190</v>
      </c>
      <c r="D980" t="s">
        <v>191</v>
      </c>
      <c r="E980">
        <v>208</v>
      </c>
      <c r="F980">
        <v>0</v>
      </c>
      <c r="G980">
        <v>15.38</v>
      </c>
      <c r="H980">
        <v>84.62</v>
      </c>
      <c r="I980">
        <v>0</v>
      </c>
      <c r="J980" s="1">
        <v>45928.069470104165</v>
      </c>
      <c r="K980" t="s">
        <v>648</v>
      </c>
      <c r="L980">
        <f t="shared" si="15"/>
        <v>979</v>
      </c>
      <c r="M980">
        <f>COUNTIF($A$2:A980,A980)</f>
        <v>39</v>
      </c>
    </row>
    <row r="981" spans="1:13" x14ac:dyDescent="0.3">
      <c r="A981">
        <v>12510</v>
      </c>
      <c r="B981" t="s">
        <v>647</v>
      </c>
      <c r="C981" t="s">
        <v>187</v>
      </c>
      <c r="D981" t="s">
        <v>188</v>
      </c>
      <c r="E981">
        <v>169</v>
      </c>
      <c r="F981">
        <v>15.38</v>
      </c>
      <c r="G981">
        <v>0</v>
      </c>
      <c r="H981">
        <v>84.62</v>
      </c>
      <c r="I981">
        <v>0</v>
      </c>
      <c r="J981" s="1">
        <v>45928.069487881941</v>
      </c>
      <c r="K981" t="s">
        <v>648</v>
      </c>
      <c r="L981">
        <f t="shared" si="15"/>
        <v>980</v>
      </c>
      <c r="M981">
        <f>COUNTIF($A$2:A981,A981)</f>
        <v>40</v>
      </c>
    </row>
    <row r="982" spans="1:13" x14ac:dyDescent="0.3">
      <c r="A982">
        <v>16339</v>
      </c>
      <c r="B982" t="s">
        <v>649</v>
      </c>
      <c r="C982" t="s">
        <v>379</v>
      </c>
      <c r="D982" t="s">
        <v>380</v>
      </c>
      <c r="E982">
        <v>5</v>
      </c>
      <c r="F982">
        <v>94.12</v>
      </c>
      <c r="G982">
        <v>0</v>
      </c>
      <c r="H982">
        <v>5.88</v>
      </c>
      <c r="I982">
        <v>0</v>
      </c>
      <c r="J982" s="1">
        <v>45928.069583599536</v>
      </c>
      <c r="K982" t="s">
        <v>650</v>
      </c>
      <c r="L982">
        <f t="shared" si="15"/>
        <v>981</v>
      </c>
      <c r="M982">
        <f>COUNTIF($A$2:A982,A982)</f>
        <v>1</v>
      </c>
    </row>
    <row r="983" spans="1:13" x14ac:dyDescent="0.3">
      <c r="A983">
        <v>16339</v>
      </c>
      <c r="B983" t="s">
        <v>649</v>
      </c>
      <c r="C983" t="s">
        <v>382</v>
      </c>
      <c r="D983" t="s">
        <v>383</v>
      </c>
      <c r="E983">
        <v>9</v>
      </c>
      <c r="F983">
        <v>94.12</v>
      </c>
      <c r="G983">
        <v>0</v>
      </c>
      <c r="H983">
        <v>5.88</v>
      </c>
      <c r="I983">
        <v>0</v>
      </c>
      <c r="J983" s="1">
        <v>45928.069627083336</v>
      </c>
      <c r="K983" t="s">
        <v>650</v>
      </c>
      <c r="L983">
        <f t="shared" si="15"/>
        <v>982</v>
      </c>
      <c r="M983">
        <f>COUNTIF($A$2:A983,A983)</f>
        <v>2</v>
      </c>
    </row>
    <row r="984" spans="1:13" x14ac:dyDescent="0.3">
      <c r="A984">
        <v>16339</v>
      </c>
      <c r="B984" t="s">
        <v>649</v>
      </c>
      <c r="C984" t="s">
        <v>384</v>
      </c>
      <c r="D984" t="s">
        <v>385</v>
      </c>
      <c r="E984">
        <v>13</v>
      </c>
      <c r="F984">
        <v>88.24</v>
      </c>
      <c r="G984">
        <v>5.88</v>
      </c>
      <c r="H984">
        <v>5.88</v>
      </c>
      <c r="I984">
        <v>0</v>
      </c>
      <c r="J984" s="1">
        <v>45928.069671967591</v>
      </c>
      <c r="K984" t="s">
        <v>650</v>
      </c>
      <c r="L984">
        <f t="shared" si="15"/>
        <v>983</v>
      </c>
      <c r="M984">
        <f>COUNTIF($A$2:A984,A984)</f>
        <v>3</v>
      </c>
    </row>
    <row r="985" spans="1:13" x14ac:dyDescent="0.3">
      <c r="A985">
        <v>16339</v>
      </c>
      <c r="B985" t="s">
        <v>649</v>
      </c>
      <c r="C985" t="s">
        <v>386</v>
      </c>
      <c r="D985" t="s">
        <v>387</v>
      </c>
      <c r="E985">
        <v>26</v>
      </c>
      <c r="F985">
        <v>5.88</v>
      </c>
      <c r="G985">
        <v>88.24</v>
      </c>
      <c r="H985">
        <v>5.88</v>
      </c>
      <c r="I985">
        <v>0</v>
      </c>
      <c r="J985" s="1">
        <v>45928.069715358797</v>
      </c>
      <c r="K985" t="s">
        <v>650</v>
      </c>
      <c r="L985">
        <f t="shared" si="15"/>
        <v>984</v>
      </c>
      <c r="M985">
        <f>COUNTIF($A$2:A985,A985)</f>
        <v>4</v>
      </c>
    </row>
    <row r="986" spans="1:13" x14ac:dyDescent="0.3">
      <c r="A986">
        <v>16339</v>
      </c>
      <c r="B986" t="s">
        <v>649</v>
      </c>
      <c r="C986" t="s">
        <v>651</v>
      </c>
      <c r="D986" t="s">
        <v>652</v>
      </c>
      <c r="F986">
        <v>41.18</v>
      </c>
      <c r="G986">
        <v>52.94</v>
      </c>
      <c r="H986">
        <v>5.88</v>
      </c>
      <c r="I986">
        <v>0</v>
      </c>
      <c r="J986" s="1">
        <v>45928.069738900464</v>
      </c>
      <c r="K986" t="s">
        <v>650</v>
      </c>
      <c r="L986">
        <f t="shared" si="15"/>
        <v>985</v>
      </c>
      <c r="M986">
        <f>COUNTIF($A$2:A986,A986)</f>
        <v>5</v>
      </c>
    </row>
    <row r="987" spans="1:13" x14ac:dyDescent="0.3">
      <c r="A987">
        <v>16339</v>
      </c>
      <c r="B987" t="s">
        <v>649</v>
      </c>
      <c r="C987" t="s">
        <v>470</v>
      </c>
      <c r="D987" t="s">
        <v>471</v>
      </c>
      <c r="E987">
        <v>31</v>
      </c>
      <c r="F987">
        <v>11.76</v>
      </c>
      <c r="G987">
        <v>82.35</v>
      </c>
      <c r="H987">
        <v>5.88</v>
      </c>
      <c r="I987">
        <v>0.01</v>
      </c>
      <c r="J987" s="1">
        <v>45928.069756331017</v>
      </c>
      <c r="K987" t="s">
        <v>650</v>
      </c>
      <c r="L987">
        <f t="shared" si="15"/>
        <v>986</v>
      </c>
      <c r="M987">
        <f>COUNTIF($A$2:A987,A987)</f>
        <v>6</v>
      </c>
    </row>
    <row r="988" spans="1:13" x14ac:dyDescent="0.3">
      <c r="A988">
        <v>16339</v>
      </c>
      <c r="B988" t="s">
        <v>649</v>
      </c>
      <c r="C988" t="s">
        <v>653</v>
      </c>
      <c r="D988" t="s">
        <v>654</v>
      </c>
      <c r="F988">
        <v>5.88</v>
      </c>
      <c r="G988">
        <v>82.35</v>
      </c>
      <c r="H988">
        <v>11.76</v>
      </c>
      <c r="I988">
        <v>0</v>
      </c>
      <c r="J988" s="1">
        <v>45928.069779479163</v>
      </c>
      <c r="K988" t="s">
        <v>650</v>
      </c>
      <c r="L988">
        <f t="shared" si="15"/>
        <v>987</v>
      </c>
      <c r="M988">
        <f>COUNTIF($A$2:A988,A988)</f>
        <v>7</v>
      </c>
    </row>
    <row r="989" spans="1:13" x14ac:dyDescent="0.3">
      <c r="A989">
        <v>16339</v>
      </c>
      <c r="B989" t="s">
        <v>649</v>
      </c>
      <c r="C989" t="s">
        <v>655</v>
      </c>
      <c r="D989" t="s">
        <v>656</v>
      </c>
      <c r="E989">
        <v>35</v>
      </c>
      <c r="F989">
        <v>0</v>
      </c>
      <c r="G989">
        <v>88.24</v>
      </c>
      <c r="H989">
        <v>11.76</v>
      </c>
      <c r="I989">
        <v>0</v>
      </c>
      <c r="J989" s="1">
        <v>45928.069824502316</v>
      </c>
      <c r="K989" t="s">
        <v>650</v>
      </c>
      <c r="L989">
        <f t="shared" si="15"/>
        <v>988</v>
      </c>
      <c r="M989">
        <f>COUNTIF($A$2:A989,A989)</f>
        <v>8</v>
      </c>
    </row>
    <row r="990" spans="1:13" x14ac:dyDescent="0.3">
      <c r="A990">
        <v>16339</v>
      </c>
      <c r="B990" t="s">
        <v>649</v>
      </c>
      <c r="C990" t="s">
        <v>472</v>
      </c>
      <c r="D990" t="s">
        <v>473</v>
      </c>
      <c r="E990">
        <v>52</v>
      </c>
      <c r="F990">
        <v>0</v>
      </c>
      <c r="G990">
        <v>88.24</v>
      </c>
      <c r="H990">
        <v>11.76</v>
      </c>
      <c r="I990">
        <v>0</v>
      </c>
      <c r="J990" s="1">
        <v>45928.069871319443</v>
      </c>
      <c r="K990" t="s">
        <v>650</v>
      </c>
      <c r="L990">
        <f t="shared" si="15"/>
        <v>989</v>
      </c>
      <c r="M990">
        <f>COUNTIF($A$2:A990,A990)</f>
        <v>9</v>
      </c>
    </row>
    <row r="991" spans="1:13" x14ac:dyDescent="0.3">
      <c r="A991">
        <v>16339</v>
      </c>
      <c r="B991" t="s">
        <v>649</v>
      </c>
      <c r="C991" t="s">
        <v>474</v>
      </c>
      <c r="D991" t="s">
        <v>475</v>
      </c>
      <c r="F991">
        <v>35.29</v>
      </c>
      <c r="G991">
        <v>52.94</v>
      </c>
      <c r="H991">
        <v>11.76</v>
      </c>
      <c r="I991">
        <v>0</v>
      </c>
      <c r="J991" s="1">
        <v>45928.069895104163</v>
      </c>
      <c r="K991" t="s">
        <v>650</v>
      </c>
      <c r="L991">
        <f t="shared" si="15"/>
        <v>990</v>
      </c>
      <c r="M991">
        <f>COUNTIF($A$2:A991,A991)</f>
        <v>10</v>
      </c>
    </row>
    <row r="992" spans="1:13" x14ac:dyDescent="0.3">
      <c r="A992">
        <v>16339</v>
      </c>
      <c r="B992" t="s">
        <v>649</v>
      </c>
      <c r="C992" t="s">
        <v>657</v>
      </c>
      <c r="D992" t="s">
        <v>658</v>
      </c>
      <c r="E992">
        <v>27</v>
      </c>
      <c r="F992">
        <v>29.41</v>
      </c>
      <c r="G992">
        <v>58.82</v>
      </c>
      <c r="H992">
        <v>11.76</v>
      </c>
      <c r="I992">
        <v>0.01</v>
      </c>
      <c r="J992" s="1">
        <v>45928.069910810184</v>
      </c>
      <c r="K992" t="s">
        <v>650</v>
      </c>
      <c r="L992">
        <f t="shared" si="15"/>
        <v>991</v>
      </c>
      <c r="M992">
        <f>COUNTIF($A$2:A992,A992)</f>
        <v>11</v>
      </c>
    </row>
    <row r="993" spans="1:13" x14ac:dyDescent="0.3">
      <c r="A993">
        <v>16339</v>
      </c>
      <c r="B993" t="s">
        <v>649</v>
      </c>
      <c r="C993" t="s">
        <v>476</v>
      </c>
      <c r="D993" t="s">
        <v>476</v>
      </c>
      <c r="E993">
        <v>10</v>
      </c>
      <c r="F993">
        <v>88.24</v>
      </c>
      <c r="G993">
        <v>5.88</v>
      </c>
      <c r="H993">
        <v>5.88</v>
      </c>
      <c r="I993">
        <v>0</v>
      </c>
      <c r="J993" s="1">
        <v>45928.069951655096</v>
      </c>
      <c r="K993" t="s">
        <v>650</v>
      </c>
      <c r="L993">
        <f t="shared" si="15"/>
        <v>992</v>
      </c>
      <c r="M993">
        <f>COUNTIF($A$2:A993,A993)</f>
        <v>12</v>
      </c>
    </row>
    <row r="994" spans="1:13" x14ac:dyDescent="0.3">
      <c r="A994">
        <v>16339</v>
      </c>
      <c r="B994" t="s">
        <v>649</v>
      </c>
      <c r="C994" t="s">
        <v>477</v>
      </c>
      <c r="D994" t="s">
        <v>478</v>
      </c>
      <c r="E994">
        <v>14</v>
      </c>
      <c r="F994">
        <v>82.35</v>
      </c>
      <c r="G994">
        <v>11.76</v>
      </c>
      <c r="H994">
        <v>5.88</v>
      </c>
      <c r="I994">
        <v>0.01</v>
      </c>
      <c r="J994" s="1">
        <v>45928.069972372687</v>
      </c>
      <c r="K994" t="s">
        <v>650</v>
      </c>
      <c r="L994">
        <f t="shared" si="15"/>
        <v>993</v>
      </c>
      <c r="M994">
        <f>COUNTIF($A$2:A994,A994)</f>
        <v>13</v>
      </c>
    </row>
    <row r="995" spans="1:13" x14ac:dyDescent="0.3">
      <c r="A995">
        <v>16339</v>
      </c>
      <c r="B995" t="s">
        <v>649</v>
      </c>
      <c r="C995" t="s">
        <v>481</v>
      </c>
      <c r="D995" t="s">
        <v>482</v>
      </c>
      <c r="E995">
        <v>18</v>
      </c>
      <c r="F995">
        <v>64.709999999999994</v>
      </c>
      <c r="G995">
        <v>29.41</v>
      </c>
      <c r="H995">
        <v>5.88</v>
      </c>
      <c r="I995">
        <v>0</v>
      </c>
      <c r="J995" s="1">
        <v>45928.070012187498</v>
      </c>
      <c r="K995" t="s">
        <v>650</v>
      </c>
      <c r="L995">
        <f t="shared" si="15"/>
        <v>994</v>
      </c>
      <c r="M995">
        <f>COUNTIF($A$2:A995,A995)</f>
        <v>14</v>
      </c>
    </row>
    <row r="996" spans="1:13" x14ac:dyDescent="0.3">
      <c r="A996">
        <v>16339</v>
      </c>
      <c r="B996" t="s">
        <v>649</v>
      </c>
      <c r="C996" t="s">
        <v>483</v>
      </c>
      <c r="D996" t="s">
        <v>484</v>
      </c>
      <c r="F996">
        <v>82.35</v>
      </c>
      <c r="G996">
        <v>11.76</v>
      </c>
      <c r="H996">
        <v>5.88</v>
      </c>
      <c r="I996">
        <v>0</v>
      </c>
      <c r="J996" s="1">
        <v>45928.070033055556</v>
      </c>
      <c r="K996" t="s">
        <v>650</v>
      </c>
      <c r="L996">
        <f t="shared" si="15"/>
        <v>995</v>
      </c>
      <c r="M996">
        <f>COUNTIF($A$2:A996,A996)</f>
        <v>15</v>
      </c>
    </row>
    <row r="997" spans="1:13" x14ac:dyDescent="0.3">
      <c r="A997">
        <v>16339</v>
      </c>
      <c r="B997" t="s">
        <v>649</v>
      </c>
      <c r="C997" t="s">
        <v>485</v>
      </c>
      <c r="D997" t="s">
        <v>486</v>
      </c>
      <c r="E997">
        <v>26</v>
      </c>
      <c r="F997">
        <v>47.06</v>
      </c>
      <c r="G997">
        <v>47.06</v>
      </c>
      <c r="H997">
        <v>5.88</v>
      </c>
      <c r="I997">
        <v>0</v>
      </c>
      <c r="J997" s="1">
        <v>45928.070074513889</v>
      </c>
      <c r="K997" t="s">
        <v>650</v>
      </c>
      <c r="L997">
        <f t="shared" si="15"/>
        <v>996</v>
      </c>
      <c r="M997">
        <f>COUNTIF($A$2:A997,A997)</f>
        <v>16</v>
      </c>
    </row>
    <row r="998" spans="1:13" x14ac:dyDescent="0.3">
      <c r="A998">
        <v>16339</v>
      </c>
      <c r="B998" t="s">
        <v>649</v>
      </c>
      <c r="C998" t="s">
        <v>487</v>
      </c>
      <c r="D998" t="s">
        <v>488</v>
      </c>
      <c r="E998">
        <v>19</v>
      </c>
      <c r="F998">
        <v>58.82</v>
      </c>
      <c r="G998">
        <v>35.29</v>
      </c>
      <c r="H998">
        <v>5.88</v>
      </c>
      <c r="I998">
        <v>0.01</v>
      </c>
      <c r="J998" s="1">
        <v>45928.070093391201</v>
      </c>
      <c r="K998" t="s">
        <v>650</v>
      </c>
      <c r="L998">
        <f t="shared" si="15"/>
        <v>997</v>
      </c>
      <c r="M998">
        <f>COUNTIF($A$2:A998,A998)</f>
        <v>17</v>
      </c>
    </row>
    <row r="999" spans="1:13" x14ac:dyDescent="0.3">
      <c r="A999">
        <v>16339</v>
      </c>
      <c r="B999" t="s">
        <v>649</v>
      </c>
      <c r="C999" t="s">
        <v>659</v>
      </c>
      <c r="D999" t="s">
        <v>660</v>
      </c>
      <c r="E999">
        <v>25</v>
      </c>
      <c r="F999">
        <v>41.18</v>
      </c>
      <c r="G999">
        <v>52.94</v>
      </c>
      <c r="H999">
        <v>5.88</v>
      </c>
      <c r="I999">
        <v>0</v>
      </c>
      <c r="J999" s="1">
        <v>45928.070136400464</v>
      </c>
      <c r="K999" t="s">
        <v>650</v>
      </c>
      <c r="L999">
        <f t="shared" si="15"/>
        <v>998</v>
      </c>
      <c r="M999">
        <f>COUNTIF($A$2:A999,A999)</f>
        <v>18</v>
      </c>
    </row>
    <row r="1000" spans="1:13" x14ac:dyDescent="0.3">
      <c r="A1000">
        <v>16339</v>
      </c>
      <c r="B1000" t="s">
        <v>649</v>
      </c>
      <c r="C1000" t="s">
        <v>661</v>
      </c>
      <c r="D1000" t="s">
        <v>662</v>
      </c>
      <c r="F1000">
        <v>58.82</v>
      </c>
      <c r="G1000">
        <v>35.29</v>
      </c>
      <c r="H1000">
        <v>5.88</v>
      </c>
      <c r="I1000">
        <v>0</v>
      </c>
      <c r="J1000" s="1">
        <v>45928.070156087961</v>
      </c>
      <c r="K1000" t="s">
        <v>650</v>
      </c>
      <c r="L1000">
        <f t="shared" si="15"/>
        <v>999</v>
      </c>
      <c r="M1000">
        <f>COUNTIF($A$2:A1000,A1000)</f>
        <v>19</v>
      </c>
    </row>
    <row r="1001" spans="1:13" x14ac:dyDescent="0.3">
      <c r="A1001">
        <v>16339</v>
      </c>
      <c r="B1001" t="s">
        <v>649</v>
      </c>
      <c r="C1001" t="s">
        <v>663</v>
      </c>
      <c r="D1001" t="s">
        <v>664</v>
      </c>
      <c r="E1001">
        <v>23</v>
      </c>
      <c r="F1001">
        <v>58.82</v>
      </c>
      <c r="G1001">
        <v>35.29</v>
      </c>
      <c r="H1001">
        <v>5.88</v>
      </c>
      <c r="I1001">
        <v>0.01</v>
      </c>
      <c r="J1001" s="1">
        <v>45928.070172731481</v>
      </c>
      <c r="K1001" t="s">
        <v>650</v>
      </c>
      <c r="L1001">
        <f t="shared" si="15"/>
        <v>1000</v>
      </c>
      <c r="M1001">
        <f>COUNTIF($A$2:A1001,A1001)</f>
        <v>20</v>
      </c>
    </row>
    <row r="1002" spans="1:13" x14ac:dyDescent="0.3">
      <c r="A1002">
        <v>16339</v>
      </c>
      <c r="B1002" t="s">
        <v>649</v>
      </c>
      <c r="C1002" t="s">
        <v>665</v>
      </c>
      <c r="D1002" t="s">
        <v>666</v>
      </c>
      <c r="E1002">
        <v>28</v>
      </c>
      <c r="F1002">
        <v>35.29</v>
      </c>
      <c r="G1002">
        <v>58.82</v>
      </c>
      <c r="H1002">
        <v>5.88</v>
      </c>
      <c r="I1002">
        <v>0.01</v>
      </c>
      <c r="J1002" s="1">
        <v>45928.070190636572</v>
      </c>
      <c r="K1002" t="s">
        <v>650</v>
      </c>
      <c r="L1002">
        <f t="shared" si="15"/>
        <v>1001</v>
      </c>
      <c r="M1002">
        <f>COUNTIF($A$2:A1002,A1002)</f>
        <v>21</v>
      </c>
    </row>
    <row r="1003" spans="1:13" x14ac:dyDescent="0.3">
      <c r="A1003">
        <v>16339</v>
      </c>
      <c r="B1003" t="s">
        <v>649</v>
      </c>
      <c r="C1003" t="s">
        <v>667</v>
      </c>
      <c r="D1003" t="s">
        <v>668</v>
      </c>
      <c r="F1003">
        <v>70.59</v>
      </c>
      <c r="G1003">
        <v>23.53</v>
      </c>
      <c r="H1003">
        <v>5.88</v>
      </c>
      <c r="I1003">
        <v>0</v>
      </c>
      <c r="J1003" s="1">
        <v>45928.070214398147</v>
      </c>
      <c r="K1003" t="s">
        <v>650</v>
      </c>
      <c r="L1003">
        <f t="shared" si="15"/>
        <v>1002</v>
      </c>
      <c r="M1003">
        <f>COUNTIF($A$2:A1003,A1003)</f>
        <v>22</v>
      </c>
    </row>
    <row r="1004" spans="1:13" x14ac:dyDescent="0.3">
      <c r="A1004">
        <v>16339</v>
      </c>
      <c r="B1004" t="s">
        <v>649</v>
      </c>
      <c r="C1004" t="s">
        <v>669</v>
      </c>
      <c r="D1004" t="s">
        <v>670</v>
      </c>
      <c r="E1004">
        <v>36</v>
      </c>
      <c r="F1004">
        <v>11.76</v>
      </c>
      <c r="G1004">
        <v>82.35</v>
      </c>
      <c r="H1004">
        <v>5.88</v>
      </c>
      <c r="I1004">
        <v>0.01</v>
      </c>
      <c r="J1004" s="1">
        <v>45928.070230069447</v>
      </c>
      <c r="K1004" t="s">
        <v>650</v>
      </c>
      <c r="L1004">
        <f t="shared" si="15"/>
        <v>1003</v>
      </c>
      <c r="M1004">
        <f>COUNTIF($A$2:A1004,A1004)</f>
        <v>23</v>
      </c>
    </row>
    <row r="1005" spans="1:13" x14ac:dyDescent="0.3">
      <c r="A1005">
        <v>16339</v>
      </c>
      <c r="B1005" t="s">
        <v>649</v>
      </c>
      <c r="C1005" t="s">
        <v>271</v>
      </c>
      <c r="D1005" t="s">
        <v>272</v>
      </c>
      <c r="E1005">
        <v>35</v>
      </c>
      <c r="F1005">
        <v>17.649999999999999</v>
      </c>
      <c r="G1005">
        <v>70.59</v>
      </c>
      <c r="H1005">
        <v>11.76</v>
      </c>
      <c r="I1005">
        <v>0</v>
      </c>
      <c r="J1005" s="1">
        <v>45928.070269548611</v>
      </c>
      <c r="K1005" t="s">
        <v>650</v>
      </c>
      <c r="L1005">
        <f t="shared" si="15"/>
        <v>1004</v>
      </c>
      <c r="M1005">
        <f>COUNTIF($A$2:A1005,A1005)</f>
        <v>24</v>
      </c>
    </row>
    <row r="1006" spans="1:13" x14ac:dyDescent="0.3">
      <c r="A1006">
        <v>16339</v>
      </c>
      <c r="B1006" t="s">
        <v>649</v>
      </c>
      <c r="C1006" t="s">
        <v>19</v>
      </c>
      <c r="D1006" t="s">
        <v>20</v>
      </c>
      <c r="E1006">
        <v>19</v>
      </c>
      <c r="F1006">
        <v>47.06</v>
      </c>
      <c r="G1006">
        <v>52.94</v>
      </c>
      <c r="H1006">
        <v>0</v>
      </c>
      <c r="I1006">
        <v>0</v>
      </c>
      <c r="J1006" s="1">
        <v>45928.070286400463</v>
      </c>
      <c r="K1006" t="s">
        <v>650</v>
      </c>
      <c r="L1006">
        <f t="shared" si="15"/>
        <v>1005</v>
      </c>
      <c r="M1006">
        <f>COUNTIF($A$2:A1006,A1006)</f>
        <v>25</v>
      </c>
    </row>
    <row r="1007" spans="1:13" x14ac:dyDescent="0.3">
      <c r="A1007">
        <v>16339</v>
      </c>
      <c r="B1007" t="s">
        <v>649</v>
      </c>
      <c r="C1007" t="s">
        <v>671</v>
      </c>
      <c r="D1007" t="s">
        <v>672</v>
      </c>
      <c r="E1007">
        <v>13</v>
      </c>
      <c r="F1007">
        <v>70.59</v>
      </c>
      <c r="G1007">
        <v>29.41</v>
      </c>
      <c r="H1007">
        <v>0</v>
      </c>
      <c r="I1007">
        <v>0</v>
      </c>
      <c r="J1007" s="1">
        <v>45928.070329074071</v>
      </c>
      <c r="K1007" t="s">
        <v>650</v>
      </c>
      <c r="L1007">
        <f t="shared" si="15"/>
        <v>1006</v>
      </c>
      <c r="M1007">
        <f>COUNTIF($A$2:A1007,A1007)</f>
        <v>26</v>
      </c>
    </row>
    <row r="1008" spans="1:13" x14ac:dyDescent="0.3">
      <c r="A1008">
        <v>16339</v>
      </c>
      <c r="B1008" t="s">
        <v>649</v>
      </c>
      <c r="C1008" t="s">
        <v>510</v>
      </c>
      <c r="D1008" t="s">
        <v>511</v>
      </c>
      <c r="F1008">
        <v>52.94</v>
      </c>
      <c r="G1008">
        <v>47.06</v>
      </c>
      <c r="H1008">
        <v>0</v>
      </c>
      <c r="I1008">
        <v>0</v>
      </c>
      <c r="J1008" s="1">
        <v>45928.07035228009</v>
      </c>
      <c r="K1008" t="s">
        <v>650</v>
      </c>
      <c r="L1008">
        <f t="shared" si="15"/>
        <v>1007</v>
      </c>
      <c r="M1008">
        <f>COUNTIF($A$2:A1008,A1008)</f>
        <v>27</v>
      </c>
    </row>
    <row r="1009" spans="1:13" x14ac:dyDescent="0.3">
      <c r="A1009">
        <v>16339</v>
      </c>
      <c r="B1009" t="s">
        <v>649</v>
      </c>
      <c r="C1009" t="s">
        <v>23</v>
      </c>
      <c r="D1009" t="s">
        <v>24</v>
      </c>
      <c r="E1009">
        <v>23</v>
      </c>
      <c r="F1009">
        <v>11.76</v>
      </c>
      <c r="G1009">
        <v>88.24</v>
      </c>
      <c r="H1009">
        <v>0</v>
      </c>
      <c r="I1009">
        <v>0</v>
      </c>
      <c r="J1009" s="1">
        <v>45928.07037115741</v>
      </c>
      <c r="K1009" t="s">
        <v>650</v>
      </c>
      <c r="L1009">
        <f t="shared" si="15"/>
        <v>1008</v>
      </c>
      <c r="M1009">
        <f>COUNTIF($A$2:A1009,A1009)</f>
        <v>28</v>
      </c>
    </row>
    <row r="1010" spans="1:13" x14ac:dyDescent="0.3">
      <c r="A1010">
        <v>16339</v>
      </c>
      <c r="B1010" t="s">
        <v>649</v>
      </c>
      <c r="C1010" t="s">
        <v>447</v>
      </c>
      <c r="D1010" t="s">
        <v>448</v>
      </c>
      <c r="F1010">
        <v>35.29</v>
      </c>
      <c r="G1010">
        <v>64.709999999999994</v>
      </c>
      <c r="H1010">
        <v>0</v>
      </c>
      <c r="I1010">
        <v>0</v>
      </c>
      <c r="J1010" s="1">
        <v>45928.070399571756</v>
      </c>
      <c r="K1010" t="s">
        <v>650</v>
      </c>
      <c r="L1010">
        <f t="shared" si="15"/>
        <v>1009</v>
      </c>
      <c r="M1010">
        <f>COUNTIF($A$2:A1010,A1010)</f>
        <v>29</v>
      </c>
    </row>
    <row r="1011" spans="1:13" x14ac:dyDescent="0.3">
      <c r="A1011">
        <v>16339</v>
      </c>
      <c r="B1011" t="s">
        <v>649</v>
      </c>
      <c r="C1011" t="s">
        <v>451</v>
      </c>
      <c r="D1011" t="s">
        <v>452</v>
      </c>
      <c r="E1011">
        <v>6</v>
      </c>
      <c r="F1011">
        <v>94.12</v>
      </c>
      <c r="G1011">
        <v>5.88</v>
      </c>
      <c r="H1011">
        <v>0</v>
      </c>
      <c r="I1011">
        <v>0</v>
      </c>
      <c r="J1011" s="1">
        <v>45928.070439675925</v>
      </c>
      <c r="K1011" t="s">
        <v>650</v>
      </c>
      <c r="L1011">
        <f t="shared" si="15"/>
        <v>1010</v>
      </c>
      <c r="M1011">
        <f>COUNTIF($A$2:A1011,A1011)</f>
        <v>30</v>
      </c>
    </row>
    <row r="1012" spans="1:13" x14ac:dyDescent="0.3">
      <c r="A1012">
        <v>16339</v>
      </c>
      <c r="B1012" t="s">
        <v>649</v>
      </c>
      <c r="C1012" t="s">
        <v>57</v>
      </c>
      <c r="D1012" t="s">
        <v>58</v>
      </c>
      <c r="E1012">
        <v>6</v>
      </c>
      <c r="F1012">
        <v>94.12</v>
      </c>
      <c r="G1012">
        <v>5.88</v>
      </c>
      <c r="H1012">
        <v>0</v>
      </c>
      <c r="I1012">
        <v>0</v>
      </c>
      <c r="J1012" s="1">
        <v>45928.070482858799</v>
      </c>
      <c r="K1012" t="s">
        <v>650</v>
      </c>
      <c r="L1012">
        <f t="shared" si="15"/>
        <v>1011</v>
      </c>
      <c r="M1012">
        <f>COUNTIF($A$2:A1012,A1012)</f>
        <v>31</v>
      </c>
    </row>
    <row r="1013" spans="1:13" x14ac:dyDescent="0.3">
      <c r="A1013">
        <v>16339</v>
      </c>
      <c r="B1013" t="s">
        <v>649</v>
      </c>
      <c r="C1013" t="s">
        <v>61</v>
      </c>
      <c r="D1013" t="s">
        <v>62</v>
      </c>
      <c r="E1013">
        <v>15</v>
      </c>
      <c r="F1013">
        <v>64.709999999999994</v>
      </c>
      <c r="G1013">
        <v>35.29</v>
      </c>
      <c r="H1013">
        <v>0</v>
      </c>
      <c r="I1013">
        <v>0</v>
      </c>
      <c r="J1013" s="1">
        <v>45928.070526574076</v>
      </c>
      <c r="K1013" t="s">
        <v>650</v>
      </c>
      <c r="L1013">
        <f t="shared" si="15"/>
        <v>1012</v>
      </c>
      <c r="M1013">
        <f>COUNTIF($A$2:A1013,A1013)</f>
        <v>32</v>
      </c>
    </row>
    <row r="1014" spans="1:13" x14ac:dyDescent="0.3">
      <c r="A1014">
        <v>16339</v>
      </c>
      <c r="B1014" t="s">
        <v>649</v>
      </c>
      <c r="C1014" t="s">
        <v>63</v>
      </c>
      <c r="D1014" t="s">
        <v>64</v>
      </c>
      <c r="E1014">
        <v>8</v>
      </c>
      <c r="F1014">
        <v>76.47</v>
      </c>
      <c r="G1014">
        <v>23.53</v>
      </c>
      <c r="H1014">
        <v>0</v>
      </c>
      <c r="I1014">
        <v>0</v>
      </c>
      <c r="J1014" s="1">
        <v>45928.070544814815</v>
      </c>
      <c r="K1014" t="s">
        <v>650</v>
      </c>
      <c r="L1014">
        <f t="shared" si="15"/>
        <v>1013</v>
      </c>
      <c r="M1014">
        <f>COUNTIF($A$2:A1014,A1014)</f>
        <v>33</v>
      </c>
    </row>
    <row r="1015" spans="1:13" x14ac:dyDescent="0.3">
      <c r="A1015">
        <v>16339</v>
      </c>
      <c r="B1015" t="s">
        <v>649</v>
      </c>
      <c r="C1015" t="s">
        <v>74</v>
      </c>
      <c r="D1015" t="s">
        <v>75</v>
      </c>
      <c r="E1015">
        <v>10</v>
      </c>
      <c r="F1015">
        <v>76.47</v>
      </c>
      <c r="G1015">
        <v>23.53</v>
      </c>
      <c r="H1015">
        <v>0</v>
      </c>
      <c r="I1015">
        <v>0</v>
      </c>
      <c r="J1015" s="1">
        <v>45928.070563043984</v>
      </c>
      <c r="K1015" t="s">
        <v>650</v>
      </c>
      <c r="L1015">
        <f t="shared" si="15"/>
        <v>1014</v>
      </c>
      <c r="M1015">
        <f>COUNTIF($A$2:A1015,A1015)</f>
        <v>34</v>
      </c>
    </row>
    <row r="1016" spans="1:13" x14ac:dyDescent="0.3">
      <c r="A1016">
        <v>16339</v>
      </c>
      <c r="B1016" t="s">
        <v>649</v>
      </c>
      <c r="C1016" t="s">
        <v>76</v>
      </c>
      <c r="D1016" t="s">
        <v>77</v>
      </c>
      <c r="E1016">
        <v>10</v>
      </c>
      <c r="F1016">
        <v>76.47</v>
      </c>
      <c r="G1016">
        <v>23.53</v>
      </c>
      <c r="H1016">
        <v>0</v>
      </c>
      <c r="I1016">
        <v>0</v>
      </c>
      <c r="J1016" s="1">
        <v>45928.070581840278</v>
      </c>
      <c r="K1016" t="s">
        <v>650</v>
      </c>
      <c r="L1016">
        <f t="shared" si="15"/>
        <v>1015</v>
      </c>
      <c r="M1016">
        <f>COUNTIF($A$2:A1016,A1016)</f>
        <v>35</v>
      </c>
    </row>
    <row r="1017" spans="1:13" x14ac:dyDescent="0.3">
      <c r="A1017">
        <v>16339</v>
      </c>
      <c r="B1017" t="s">
        <v>649</v>
      </c>
      <c r="C1017" t="s">
        <v>78</v>
      </c>
      <c r="D1017" t="s">
        <v>79</v>
      </c>
      <c r="E1017">
        <v>9</v>
      </c>
      <c r="F1017">
        <v>82.35</v>
      </c>
      <c r="G1017">
        <v>17.649999999999999</v>
      </c>
      <c r="H1017">
        <v>0</v>
      </c>
      <c r="I1017">
        <v>0</v>
      </c>
      <c r="J1017" s="1">
        <v>45928.070626365741</v>
      </c>
      <c r="K1017" t="s">
        <v>650</v>
      </c>
      <c r="L1017">
        <f t="shared" si="15"/>
        <v>1016</v>
      </c>
      <c r="M1017">
        <f>COUNTIF($A$2:A1017,A1017)</f>
        <v>36</v>
      </c>
    </row>
    <row r="1018" spans="1:13" x14ac:dyDescent="0.3">
      <c r="A1018">
        <v>16339</v>
      </c>
      <c r="B1018" t="s">
        <v>649</v>
      </c>
      <c r="C1018" t="s">
        <v>80</v>
      </c>
      <c r="D1018" t="s">
        <v>81</v>
      </c>
      <c r="E1018">
        <v>0</v>
      </c>
      <c r="F1018">
        <v>100</v>
      </c>
      <c r="G1018">
        <v>0</v>
      </c>
      <c r="H1018">
        <v>0</v>
      </c>
      <c r="I1018">
        <v>0</v>
      </c>
      <c r="J1018" s="1">
        <v>45928.07064460648</v>
      </c>
      <c r="K1018" t="s">
        <v>650</v>
      </c>
      <c r="L1018">
        <f t="shared" si="15"/>
        <v>1017</v>
      </c>
      <c r="M1018">
        <f>COUNTIF($A$2:A1018,A1018)</f>
        <v>37</v>
      </c>
    </row>
    <row r="1019" spans="1:13" x14ac:dyDescent="0.3">
      <c r="A1019">
        <v>16339</v>
      </c>
      <c r="B1019" t="s">
        <v>649</v>
      </c>
      <c r="C1019" t="s">
        <v>673</v>
      </c>
      <c r="D1019" t="s">
        <v>674</v>
      </c>
      <c r="E1019">
        <v>3</v>
      </c>
      <c r="F1019">
        <v>100</v>
      </c>
      <c r="G1019">
        <v>0</v>
      </c>
      <c r="H1019">
        <v>0</v>
      </c>
      <c r="I1019">
        <v>0</v>
      </c>
      <c r="J1019" s="1">
        <v>45928.070662175924</v>
      </c>
      <c r="K1019" t="s">
        <v>650</v>
      </c>
      <c r="L1019">
        <f t="shared" si="15"/>
        <v>1018</v>
      </c>
      <c r="M1019">
        <f>COUNTIF($A$2:A1019,A1019)</f>
        <v>38</v>
      </c>
    </row>
    <row r="1020" spans="1:13" x14ac:dyDescent="0.3">
      <c r="A1020">
        <v>16339</v>
      </c>
      <c r="B1020" t="s">
        <v>649</v>
      </c>
      <c r="C1020" t="s">
        <v>675</v>
      </c>
      <c r="D1020" t="s">
        <v>676</v>
      </c>
      <c r="F1020">
        <v>100</v>
      </c>
      <c r="G1020">
        <v>0</v>
      </c>
      <c r="H1020">
        <v>0</v>
      </c>
      <c r="I1020">
        <v>0</v>
      </c>
      <c r="J1020" s="1">
        <v>45928.070688993059</v>
      </c>
      <c r="K1020" t="s">
        <v>650</v>
      </c>
      <c r="L1020">
        <f t="shared" si="15"/>
        <v>1019</v>
      </c>
      <c r="M1020">
        <f>COUNTIF($A$2:A1020,A1020)</f>
        <v>39</v>
      </c>
    </row>
    <row r="1021" spans="1:13" x14ac:dyDescent="0.3">
      <c r="A1021">
        <v>16339</v>
      </c>
      <c r="B1021" t="s">
        <v>649</v>
      </c>
      <c r="C1021" t="s">
        <v>677</v>
      </c>
      <c r="D1021" t="s">
        <v>678</v>
      </c>
      <c r="F1021">
        <v>100</v>
      </c>
      <c r="G1021">
        <v>0</v>
      </c>
      <c r="H1021">
        <v>0</v>
      </c>
      <c r="I1021">
        <v>0</v>
      </c>
      <c r="J1021" s="1">
        <v>45928.070709687498</v>
      </c>
      <c r="K1021" t="s">
        <v>650</v>
      </c>
      <c r="L1021">
        <f t="shared" si="15"/>
        <v>1020</v>
      </c>
      <c r="M1021">
        <f>COUNTIF($A$2:A1021,A1021)</f>
        <v>40</v>
      </c>
    </row>
    <row r="1022" spans="1:13" x14ac:dyDescent="0.3">
      <c r="A1022">
        <v>16340</v>
      </c>
      <c r="B1022" t="s">
        <v>649</v>
      </c>
      <c r="C1022" t="s">
        <v>677</v>
      </c>
      <c r="D1022" t="s">
        <v>678</v>
      </c>
      <c r="E1022">
        <v>1</v>
      </c>
      <c r="F1022">
        <v>100</v>
      </c>
      <c r="G1022">
        <v>0</v>
      </c>
      <c r="H1022">
        <v>0</v>
      </c>
      <c r="I1022">
        <v>0</v>
      </c>
      <c r="J1022" s="1">
        <v>45928.070788564815</v>
      </c>
      <c r="K1022" t="s">
        <v>679</v>
      </c>
      <c r="L1022">
        <f t="shared" si="15"/>
        <v>1021</v>
      </c>
      <c r="M1022">
        <f>COUNTIF($A$2:A1022,A1022)</f>
        <v>1</v>
      </c>
    </row>
    <row r="1023" spans="1:13" x14ac:dyDescent="0.3">
      <c r="A1023">
        <v>16340</v>
      </c>
      <c r="B1023" t="s">
        <v>649</v>
      </c>
      <c r="C1023" t="s">
        <v>675</v>
      </c>
      <c r="D1023" t="s">
        <v>676</v>
      </c>
      <c r="E1023">
        <v>0</v>
      </c>
      <c r="F1023">
        <v>100</v>
      </c>
      <c r="G1023">
        <v>0</v>
      </c>
      <c r="H1023">
        <v>0</v>
      </c>
      <c r="I1023">
        <v>0</v>
      </c>
      <c r="J1023" s="1">
        <v>45928.070806724536</v>
      </c>
      <c r="K1023" t="s">
        <v>679</v>
      </c>
      <c r="L1023">
        <f t="shared" si="15"/>
        <v>1022</v>
      </c>
      <c r="M1023">
        <f>COUNTIF($A$2:A1023,A1023)</f>
        <v>2</v>
      </c>
    </row>
    <row r="1024" spans="1:13" x14ac:dyDescent="0.3">
      <c r="A1024">
        <v>16340</v>
      </c>
      <c r="B1024" t="s">
        <v>649</v>
      </c>
      <c r="C1024" t="s">
        <v>673</v>
      </c>
      <c r="D1024" t="s">
        <v>674</v>
      </c>
      <c r="E1024">
        <v>2</v>
      </c>
      <c r="F1024">
        <v>100</v>
      </c>
      <c r="G1024">
        <v>0</v>
      </c>
      <c r="H1024">
        <v>0</v>
      </c>
      <c r="I1024">
        <v>0</v>
      </c>
      <c r="J1024" s="1">
        <v>45928.070826527779</v>
      </c>
      <c r="K1024" t="s">
        <v>679</v>
      </c>
      <c r="L1024">
        <f t="shared" si="15"/>
        <v>1023</v>
      </c>
      <c r="M1024">
        <f>COUNTIF($A$2:A1024,A1024)</f>
        <v>3</v>
      </c>
    </row>
    <row r="1025" spans="1:13" x14ac:dyDescent="0.3">
      <c r="A1025">
        <v>16340</v>
      </c>
      <c r="B1025" t="s">
        <v>649</v>
      </c>
      <c r="C1025" t="s">
        <v>80</v>
      </c>
      <c r="D1025" t="s">
        <v>81</v>
      </c>
      <c r="E1025">
        <v>2</v>
      </c>
      <c r="F1025">
        <v>100</v>
      </c>
      <c r="G1025">
        <v>0</v>
      </c>
      <c r="H1025">
        <v>0</v>
      </c>
      <c r="I1025">
        <v>0</v>
      </c>
      <c r="J1025" s="1">
        <v>45928.070846932867</v>
      </c>
      <c r="K1025" t="s">
        <v>679</v>
      </c>
      <c r="L1025">
        <f t="shared" si="15"/>
        <v>1024</v>
      </c>
      <c r="M1025">
        <f>COUNTIF($A$2:A1025,A1025)</f>
        <v>4</v>
      </c>
    </row>
    <row r="1026" spans="1:13" x14ac:dyDescent="0.3">
      <c r="A1026">
        <v>16340</v>
      </c>
      <c r="B1026" t="s">
        <v>649</v>
      </c>
      <c r="C1026" t="s">
        <v>78</v>
      </c>
      <c r="D1026" t="s">
        <v>79</v>
      </c>
      <c r="F1026">
        <v>75</v>
      </c>
      <c r="G1026">
        <v>25</v>
      </c>
      <c r="H1026">
        <v>0</v>
      </c>
      <c r="I1026">
        <v>0</v>
      </c>
      <c r="J1026" s="1">
        <v>45928.07087221065</v>
      </c>
      <c r="K1026" t="s">
        <v>679</v>
      </c>
      <c r="L1026">
        <f t="shared" ref="L1026:L1089" si="16">ROW()-1</f>
        <v>1025</v>
      </c>
      <c r="M1026">
        <f>COUNTIF($A$2:A1026,A1026)</f>
        <v>5</v>
      </c>
    </row>
    <row r="1027" spans="1:13" x14ac:dyDescent="0.3">
      <c r="A1027">
        <v>16340</v>
      </c>
      <c r="B1027" t="s">
        <v>649</v>
      </c>
      <c r="C1027" t="s">
        <v>76</v>
      </c>
      <c r="D1027" t="s">
        <v>77</v>
      </c>
      <c r="F1027">
        <v>75</v>
      </c>
      <c r="G1027">
        <v>25</v>
      </c>
      <c r="H1027">
        <v>0</v>
      </c>
      <c r="I1027">
        <v>0</v>
      </c>
      <c r="J1027" s="1">
        <v>45928.070900648148</v>
      </c>
      <c r="K1027" t="s">
        <v>679</v>
      </c>
      <c r="L1027">
        <f t="shared" si="16"/>
        <v>1026</v>
      </c>
      <c r="M1027">
        <f>COUNTIF($A$2:A1027,A1027)</f>
        <v>6</v>
      </c>
    </row>
    <row r="1028" spans="1:13" x14ac:dyDescent="0.3">
      <c r="A1028">
        <v>16340</v>
      </c>
      <c r="B1028" t="s">
        <v>649</v>
      </c>
      <c r="C1028" t="s">
        <v>74</v>
      </c>
      <c r="D1028" t="s">
        <v>75</v>
      </c>
      <c r="E1028">
        <v>8</v>
      </c>
      <c r="F1028">
        <v>81.25</v>
      </c>
      <c r="G1028">
        <v>18.75</v>
      </c>
      <c r="H1028">
        <v>0</v>
      </c>
      <c r="I1028">
        <v>0</v>
      </c>
      <c r="J1028" s="1">
        <v>45928.070920243059</v>
      </c>
      <c r="K1028" t="s">
        <v>679</v>
      </c>
      <c r="L1028">
        <f t="shared" si="16"/>
        <v>1027</v>
      </c>
      <c r="M1028">
        <f>COUNTIF($A$2:A1028,A1028)</f>
        <v>7</v>
      </c>
    </row>
    <row r="1029" spans="1:13" x14ac:dyDescent="0.3">
      <c r="A1029">
        <v>16340</v>
      </c>
      <c r="B1029" t="s">
        <v>649</v>
      </c>
      <c r="C1029" t="s">
        <v>63</v>
      </c>
      <c r="D1029" t="s">
        <v>64</v>
      </c>
      <c r="E1029">
        <v>19</v>
      </c>
      <c r="F1029">
        <v>56.25</v>
      </c>
      <c r="G1029">
        <v>31.25</v>
      </c>
      <c r="H1029">
        <v>12.5</v>
      </c>
      <c r="I1029">
        <v>0</v>
      </c>
      <c r="J1029" s="1">
        <v>45928.070940740741</v>
      </c>
      <c r="K1029" t="s">
        <v>679</v>
      </c>
      <c r="L1029">
        <f t="shared" si="16"/>
        <v>1028</v>
      </c>
      <c r="M1029">
        <f>COUNTIF($A$2:A1029,A1029)</f>
        <v>8</v>
      </c>
    </row>
    <row r="1030" spans="1:13" x14ac:dyDescent="0.3">
      <c r="A1030">
        <v>16340</v>
      </c>
      <c r="B1030" t="s">
        <v>649</v>
      </c>
      <c r="C1030" t="s">
        <v>61</v>
      </c>
      <c r="D1030" t="s">
        <v>62</v>
      </c>
      <c r="F1030">
        <v>25</v>
      </c>
      <c r="G1030">
        <v>37.5</v>
      </c>
      <c r="H1030">
        <v>37.5</v>
      </c>
      <c r="I1030">
        <v>0</v>
      </c>
      <c r="J1030" s="1">
        <v>45928.07096837963</v>
      </c>
      <c r="K1030" t="s">
        <v>679</v>
      </c>
      <c r="L1030">
        <f t="shared" si="16"/>
        <v>1029</v>
      </c>
      <c r="M1030">
        <f>COUNTIF($A$2:A1030,A1030)</f>
        <v>9</v>
      </c>
    </row>
    <row r="1031" spans="1:13" x14ac:dyDescent="0.3">
      <c r="A1031">
        <v>16340</v>
      </c>
      <c r="B1031" t="s">
        <v>649</v>
      </c>
      <c r="C1031" t="s">
        <v>57</v>
      </c>
      <c r="D1031" t="s">
        <v>58</v>
      </c>
      <c r="E1031">
        <v>39</v>
      </c>
      <c r="F1031">
        <v>37.5</v>
      </c>
      <c r="G1031">
        <v>31.25</v>
      </c>
      <c r="H1031">
        <v>31.25</v>
      </c>
      <c r="I1031">
        <v>0</v>
      </c>
      <c r="J1031" s="1">
        <v>45928.070991469911</v>
      </c>
      <c r="K1031" t="s">
        <v>679</v>
      </c>
      <c r="L1031">
        <f t="shared" si="16"/>
        <v>1030</v>
      </c>
      <c r="M1031">
        <f>COUNTIF($A$2:A1031,A1031)</f>
        <v>10</v>
      </c>
    </row>
    <row r="1032" spans="1:13" x14ac:dyDescent="0.3">
      <c r="A1032">
        <v>16340</v>
      </c>
      <c r="B1032" t="s">
        <v>649</v>
      </c>
      <c r="C1032" t="s">
        <v>451</v>
      </c>
      <c r="D1032" t="s">
        <v>452</v>
      </c>
      <c r="E1032">
        <v>43</v>
      </c>
      <c r="F1032">
        <v>12.5</v>
      </c>
      <c r="G1032">
        <v>50</v>
      </c>
      <c r="H1032">
        <v>37.5</v>
      </c>
      <c r="I1032">
        <v>0</v>
      </c>
      <c r="J1032" s="1">
        <v>45928.071009675929</v>
      </c>
      <c r="K1032" t="s">
        <v>679</v>
      </c>
      <c r="L1032">
        <f t="shared" si="16"/>
        <v>1031</v>
      </c>
      <c r="M1032">
        <f>COUNTIF($A$2:A1032,A1032)</f>
        <v>11</v>
      </c>
    </row>
    <row r="1033" spans="1:13" x14ac:dyDescent="0.3">
      <c r="A1033">
        <v>16340</v>
      </c>
      <c r="B1033" t="s">
        <v>649</v>
      </c>
      <c r="C1033" t="s">
        <v>447</v>
      </c>
      <c r="D1033" t="s">
        <v>448</v>
      </c>
      <c r="F1033">
        <v>25</v>
      </c>
      <c r="G1033">
        <v>50</v>
      </c>
      <c r="H1033">
        <v>25</v>
      </c>
      <c r="I1033">
        <v>0</v>
      </c>
      <c r="J1033" s="1">
        <v>45928.071039548609</v>
      </c>
      <c r="K1033" t="s">
        <v>679</v>
      </c>
      <c r="L1033">
        <f t="shared" si="16"/>
        <v>1032</v>
      </c>
      <c r="M1033">
        <f>COUNTIF($A$2:A1033,A1033)</f>
        <v>12</v>
      </c>
    </row>
    <row r="1034" spans="1:13" x14ac:dyDescent="0.3">
      <c r="A1034">
        <v>16340</v>
      </c>
      <c r="B1034" t="s">
        <v>649</v>
      </c>
      <c r="C1034" t="s">
        <v>23</v>
      </c>
      <c r="D1034" t="s">
        <v>24</v>
      </c>
      <c r="E1034">
        <v>16</v>
      </c>
      <c r="F1034">
        <v>56.25</v>
      </c>
      <c r="G1034">
        <v>43.75</v>
      </c>
      <c r="H1034">
        <v>0</v>
      </c>
      <c r="I1034">
        <v>0</v>
      </c>
      <c r="J1034" s="1">
        <v>45928.071063946758</v>
      </c>
      <c r="K1034" t="s">
        <v>679</v>
      </c>
      <c r="L1034">
        <f t="shared" si="16"/>
        <v>1033</v>
      </c>
      <c r="M1034">
        <f>COUNTIF($A$2:A1034,A1034)</f>
        <v>13</v>
      </c>
    </row>
    <row r="1035" spans="1:13" x14ac:dyDescent="0.3">
      <c r="A1035">
        <v>16340</v>
      </c>
      <c r="B1035" t="s">
        <v>649</v>
      </c>
      <c r="C1035" t="s">
        <v>510</v>
      </c>
      <c r="D1035" t="s">
        <v>511</v>
      </c>
      <c r="E1035">
        <v>40</v>
      </c>
      <c r="F1035">
        <v>0</v>
      </c>
      <c r="G1035">
        <v>93.75</v>
      </c>
      <c r="H1035">
        <v>6.25</v>
      </c>
      <c r="I1035">
        <v>0</v>
      </c>
      <c r="J1035" s="1">
        <v>45928.071085821757</v>
      </c>
      <c r="K1035" t="s">
        <v>679</v>
      </c>
      <c r="L1035">
        <f t="shared" si="16"/>
        <v>1034</v>
      </c>
      <c r="M1035">
        <f>COUNTIF($A$2:A1035,A1035)</f>
        <v>14</v>
      </c>
    </row>
    <row r="1036" spans="1:13" x14ac:dyDescent="0.3">
      <c r="A1036">
        <v>16340</v>
      </c>
      <c r="B1036" t="s">
        <v>649</v>
      </c>
      <c r="C1036" t="s">
        <v>671</v>
      </c>
      <c r="D1036" t="s">
        <v>672</v>
      </c>
      <c r="F1036">
        <v>6.25</v>
      </c>
      <c r="G1036">
        <v>75</v>
      </c>
      <c r="H1036">
        <v>18.75</v>
      </c>
      <c r="I1036">
        <v>0</v>
      </c>
      <c r="J1036" s="1">
        <v>45928.071116990737</v>
      </c>
      <c r="K1036" t="s">
        <v>679</v>
      </c>
      <c r="L1036">
        <f t="shared" si="16"/>
        <v>1035</v>
      </c>
      <c r="M1036">
        <f>COUNTIF($A$2:A1036,A1036)</f>
        <v>15</v>
      </c>
    </row>
    <row r="1037" spans="1:13" x14ac:dyDescent="0.3">
      <c r="A1037">
        <v>16340</v>
      </c>
      <c r="B1037" t="s">
        <v>649</v>
      </c>
      <c r="C1037" t="s">
        <v>19</v>
      </c>
      <c r="D1037" t="s">
        <v>20</v>
      </c>
      <c r="F1037">
        <v>87.5</v>
      </c>
      <c r="G1037">
        <v>12.5</v>
      </c>
      <c r="H1037">
        <v>0</v>
      </c>
      <c r="I1037">
        <v>0</v>
      </c>
      <c r="J1037" s="1">
        <v>45928.071143333334</v>
      </c>
      <c r="K1037" t="s">
        <v>679</v>
      </c>
      <c r="L1037">
        <f t="shared" si="16"/>
        <v>1036</v>
      </c>
      <c r="M1037">
        <f>COUNTIF($A$2:A1037,A1037)</f>
        <v>16</v>
      </c>
    </row>
    <row r="1038" spans="1:13" x14ac:dyDescent="0.3">
      <c r="A1038">
        <v>16340</v>
      </c>
      <c r="B1038" t="s">
        <v>649</v>
      </c>
      <c r="C1038" t="s">
        <v>271</v>
      </c>
      <c r="D1038" t="s">
        <v>272</v>
      </c>
      <c r="E1038">
        <v>15</v>
      </c>
      <c r="F1038">
        <v>75</v>
      </c>
      <c r="G1038">
        <v>25</v>
      </c>
      <c r="H1038">
        <v>0</v>
      </c>
      <c r="I1038">
        <v>0</v>
      </c>
      <c r="J1038" s="1">
        <v>45928.071167013892</v>
      </c>
      <c r="K1038" t="s">
        <v>679</v>
      </c>
      <c r="L1038">
        <f t="shared" si="16"/>
        <v>1037</v>
      </c>
      <c r="M1038">
        <f>COUNTIF($A$2:A1038,A1038)</f>
        <v>17</v>
      </c>
    </row>
    <row r="1039" spans="1:13" x14ac:dyDescent="0.3">
      <c r="A1039">
        <v>16340</v>
      </c>
      <c r="B1039" t="s">
        <v>649</v>
      </c>
      <c r="C1039" t="s">
        <v>669</v>
      </c>
      <c r="D1039" t="s">
        <v>670</v>
      </c>
      <c r="E1039">
        <v>28</v>
      </c>
      <c r="F1039">
        <v>0</v>
      </c>
      <c r="G1039">
        <v>93.75</v>
      </c>
      <c r="H1039">
        <v>6.25</v>
      </c>
      <c r="I1039">
        <v>0</v>
      </c>
      <c r="J1039" s="1">
        <v>45928.071188287038</v>
      </c>
      <c r="K1039" t="s">
        <v>679</v>
      </c>
      <c r="L1039">
        <f t="shared" si="16"/>
        <v>1038</v>
      </c>
      <c r="M1039">
        <f>COUNTIF($A$2:A1039,A1039)</f>
        <v>18</v>
      </c>
    </row>
    <row r="1040" spans="1:13" x14ac:dyDescent="0.3">
      <c r="A1040">
        <v>16340</v>
      </c>
      <c r="B1040" t="s">
        <v>649</v>
      </c>
      <c r="C1040" t="s">
        <v>667</v>
      </c>
      <c r="D1040" t="s">
        <v>668</v>
      </c>
      <c r="E1040">
        <v>31</v>
      </c>
      <c r="F1040">
        <v>0</v>
      </c>
      <c r="G1040">
        <v>93.75</v>
      </c>
      <c r="H1040">
        <v>6.25</v>
      </c>
      <c r="I1040">
        <v>0</v>
      </c>
      <c r="J1040" s="1">
        <v>45928.071208587964</v>
      </c>
      <c r="K1040" t="s">
        <v>679</v>
      </c>
      <c r="L1040">
        <f t="shared" si="16"/>
        <v>1039</v>
      </c>
      <c r="M1040">
        <f>COUNTIF($A$2:A1040,A1040)</f>
        <v>19</v>
      </c>
    </row>
    <row r="1041" spans="1:13" x14ac:dyDescent="0.3">
      <c r="A1041">
        <v>16340</v>
      </c>
      <c r="B1041" t="s">
        <v>649</v>
      </c>
      <c r="C1041" t="s">
        <v>665</v>
      </c>
      <c r="D1041" t="s">
        <v>666</v>
      </c>
      <c r="E1041">
        <v>34</v>
      </c>
      <c r="F1041">
        <v>6.25</v>
      </c>
      <c r="G1041">
        <v>87.5</v>
      </c>
      <c r="H1041">
        <v>6.25</v>
      </c>
      <c r="I1041">
        <v>0</v>
      </c>
      <c r="J1041" s="1">
        <v>45928.071228969908</v>
      </c>
      <c r="K1041" t="s">
        <v>679</v>
      </c>
      <c r="L1041">
        <f t="shared" si="16"/>
        <v>1040</v>
      </c>
      <c r="M1041">
        <f>COUNTIF($A$2:A1041,A1041)</f>
        <v>20</v>
      </c>
    </row>
    <row r="1042" spans="1:13" x14ac:dyDescent="0.3">
      <c r="A1042">
        <v>16340</v>
      </c>
      <c r="B1042" t="s">
        <v>649</v>
      </c>
      <c r="C1042" t="s">
        <v>663</v>
      </c>
      <c r="D1042" t="s">
        <v>664</v>
      </c>
      <c r="E1042">
        <v>27</v>
      </c>
      <c r="F1042">
        <v>37.5</v>
      </c>
      <c r="G1042">
        <v>56.25</v>
      </c>
      <c r="H1042">
        <v>6.25</v>
      </c>
      <c r="I1042">
        <v>0</v>
      </c>
      <c r="J1042" s="1">
        <v>45928.071252638889</v>
      </c>
      <c r="K1042" t="s">
        <v>679</v>
      </c>
      <c r="L1042">
        <f t="shared" si="16"/>
        <v>1041</v>
      </c>
      <c r="M1042">
        <f>COUNTIF($A$2:A1042,A1042)</f>
        <v>21</v>
      </c>
    </row>
    <row r="1043" spans="1:13" x14ac:dyDescent="0.3">
      <c r="A1043">
        <v>16340</v>
      </c>
      <c r="B1043" t="s">
        <v>649</v>
      </c>
      <c r="C1043" t="s">
        <v>661</v>
      </c>
      <c r="D1043" t="s">
        <v>662</v>
      </c>
      <c r="E1043">
        <v>11</v>
      </c>
      <c r="F1043">
        <v>75</v>
      </c>
      <c r="G1043">
        <v>25</v>
      </c>
      <c r="H1043">
        <v>0</v>
      </c>
      <c r="I1043">
        <v>0</v>
      </c>
      <c r="J1043" s="1">
        <v>45928.071275092596</v>
      </c>
      <c r="K1043" t="s">
        <v>679</v>
      </c>
      <c r="L1043">
        <f t="shared" si="16"/>
        <v>1042</v>
      </c>
      <c r="M1043">
        <f>COUNTIF($A$2:A1043,A1043)</f>
        <v>22</v>
      </c>
    </row>
    <row r="1044" spans="1:13" x14ac:dyDescent="0.3">
      <c r="A1044">
        <v>16340</v>
      </c>
      <c r="B1044" t="s">
        <v>649</v>
      </c>
      <c r="C1044" t="s">
        <v>659</v>
      </c>
      <c r="D1044" t="s">
        <v>660</v>
      </c>
      <c r="E1044">
        <v>10</v>
      </c>
      <c r="F1044">
        <v>68.75</v>
      </c>
      <c r="G1044">
        <v>31.25</v>
      </c>
      <c r="H1044">
        <v>0</v>
      </c>
      <c r="I1044">
        <v>0</v>
      </c>
      <c r="J1044" s="1">
        <v>45928.071295798611</v>
      </c>
      <c r="K1044" t="s">
        <v>679</v>
      </c>
      <c r="L1044">
        <f t="shared" si="16"/>
        <v>1043</v>
      </c>
      <c r="M1044">
        <f>COUNTIF($A$2:A1044,A1044)</f>
        <v>23</v>
      </c>
    </row>
    <row r="1045" spans="1:13" x14ac:dyDescent="0.3">
      <c r="A1045">
        <v>16340</v>
      </c>
      <c r="B1045" t="s">
        <v>649</v>
      </c>
      <c r="C1045" t="s">
        <v>487</v>
      </c>
      <c r="D1045" t="s">
        <v>488</v>
      </c>
      <c r="E1045">
        <v>15</v>
      </c>
      <c r="F1045">
        <v>56.25</v>
      </c>
      <c r="G1045">
        <v>43.75</v>
      </c>
      <c r="H1045">
        <v>0</v>
      </c>
      <c r="I1045">
        <v>0</v>
      </c>
      <c r="J1045" s="1">
        <v>45928.071318993054</v>
      </c>
      <c r="K1045" t="s">
        <v>679</v>
      </c>
      <c r="L1045">
        <f t="shared" si="16"/>
        <v>1044</v>
      </c>
      <c r="M1045">
        <f>COUNTIF($A$2:A1045,A1045)</f>
        <v>24</v>
      </c>
    </row>
    <row r="1046" spans="1:13" x14ac:dyDescent="0.3">
      <c r="A1046">
        <v>16340</v>
      </c>
      <c r="B1046" t="s">
        <v>649</v>
      </c>
      <c r="C1046" t="s">
        <v>485</v>
      </c>
      <c r="D1046" t="s">
        <v>486</v>
      </c>
      <c r="E1046">
        <v>24</v>
      </c>
      <c r="F1046">
        <v>25</v>
      </c>
      <c r="G1046">
        <v>75</v>
      </c>
      <c r="H1046">
        <v>0</v>
      </c>
      <c r="I1046">
        <v>0</v>
      </c>
      <c r="J1046" s="1">
        <v>45928.071336064815</v>
      </c>
      <c r="K1046" t="s">
        <v>679</v>
      </c>
      <c r="L1046">
        <f t="shared" si="16"/>
        <v>1045</v>
      </c>
      <c r="M1046">
        <f>COUNTIF($A$2:A1046,A1046)</f>
        <v>25</v>
      </c>
    </row>
    <row r="1047" spans="1:13" x14ac:dyDescent="0.3">
      <c r="A1047">
        <v>16340</v>
      </c>
      <c r="B1047" t="s">
        <v>649</v>
      </c>
      <c r="C1047" t="s">
        <v>483</v>
      </c>
      <c r="D1047" t="s">
        <v>484</v>
      </c>
      <c r="E1047">
        <v>24</v>
      </c>
      <c r="F1047">
        <v>18.75</v>
      </c>
      <c r="G1047">
        <v>75</v>
      </c>
      <c r="H1047">
        <v>6.25</v>
      </c>
      <c r="I1047">
        <v>0</v>
      </c>
      <c r="J1047" s="1">
        <v>45928.071358043984</v>
      </c>
      <c r="K1047" t="s">
        <v>679</v>
      </c>
      <c r="L1047">
        <f t="shared" si="16"/>
        <v>1046</v>
      </c>
      <c r="M1047">
        <f>COUNTIF($A$2:A1047,A1047)</f>
        <v>26</v>
      </c>
    </row>
    <row r="1048" spans="1:13" x14ac:dyDescent="0.3">
      <c r="A1048">
        <v>16340</v>
      </c>
      <c r="B1048" t="s">
        <v>649</v>
      </c>
      <c r="C1048" t="s">
        <v>481</v>
      </c>
      <c r="D1048" t="s">
        <v>482</v>
      </c>
      <c r="F1048">
        <v>68.75</v>
      </c>
      <c r="G1048">
        <v>31.25</v>
      </c>
      <c r="H1048">
        <v>0</v>
      </c>
      <c r="I1048">
        <v>0</v>
      </c>
      <c r="J1048" s="1">
        <v>45928.071383888891</v>
      </c>
      <c r="K1048" t="s">
        <v>679</v>
      </c>
      <c r="L1048">
        <f t="shared" si="16"/>
        <v>1047</v>
      </c>
      <c r="M1048">
        <f>COUNTIF($A$2:A1048,A1048)</f>
        <v>27</v>
      </c>
    </row>
    <row r="1049" spans="1:13" x14ac:dyDescent="0.3">
      <c r="A1049">
        <v>16340</v>
      </c>
      <c r="B1049" t="s">
        <v>649</v>
      </c>
      <c r="C1049" t="s">
        <v>477</v>
      </c>
      <c r="D1049" t="s">
        <v>478</v>
      </c>
      <c r="E1049">
        <v>19</v>
      </c>
      <c r="F1049">
        <v>37.5</v>
      </c>
      <c r="G1049">
        <v>62.5</v>
      </c>
      <c r="H1049">
        <v>0</v>
      </c>
      <c r="I1049">
        <v>0</v>
      </c>
      <c r="J1049" s="1">
        <v>45928.071405023147</v>
      </c>
      <c r="K1049" t="s">
        <v>679</v>
      </c>
      <c r="L1049">
        <f t="shared" si="16"/>
        <v>1048</v>
      </c>
      <c r="M1049">
        <f>COUNTIF($A$2:A1049,A1049)</f>
        <v>28</v>
      </c>
    </row>
    <row r="1050" spans="1:13" x14ac:dyDescent="0.3">
      <c r="A1050">
        <v>16340</v>
      </c>
      <c r="B1050" t="s">
        <v>649</v>
      </c>
      <c r="C1050" t="s">
        <v>476</v>
      </c>
      <c r="D1050" t="s">
        <v>476</v>
      </c>
      <c r="E1050">
        <v>10</v>
      </c>
      <c r="F1050">
        <v>81.25</v>
      </c>
      <c r="G1050">
        <v>18.75</v>
      </c>
      <c r="H1050">
        <v>0</v>
      </c>
      <c r="I1050">
        <v>0</v>
      </c>
      <c r="J1050" s="1">
        <v>45928.071429039352</v>
      </c>
      <c r="K1050" t="s">
        <v>679</v>
      </c>
      <c r="L1050">
        <f t="shared" si="16"/>
        <v>1049</v>
      </c>
      <c r="M1050">
        <f>COUNTIF($A$2:A1050,A1050)</f>
        <v>29</v>
      </c>
    </row>
    <row r="1051" spans="1:13" x14ac:dyDescent="0.3">
      <c r="A1051">
        <v>16340</v>
      </c>
      <c r="B1051" t="s">
        <v>649</v>
      </c>
      <c r="C1051" t="s">
        <v>657</v>
      </c>
      <c r="D1051" t="s">
        <v>658</v>
      </c>
      <c r="E1051">
        <v>10</v>
      </c>
      <c r="F1051">
        <v>81.25</v>
      </c>
      <c r="G1051">
        <v>18.75</v>
      </c>
      <c r="H1051">
        <v>0</v>
      </c>
      <c r="I1051">
        <v>0</v>
      </c>
      <c r="J1051" s="1">
        <v>45928.071452222219</v>
      </c>
      <c r="K1051" t="s">
        <v>679</v>
      </c>
      <c r="L1051">
        <f t="shared" si="16"/>
        <v>1050</v>
      </c>
      <c r="M1051">
        <f>COUNTIF($A$2:A1051,A1051)</f>
        <v>30</v>
      </c>
    </row>
    <row r="1052" spans="1:13" x14ac:dyDescent="0.3">
      <c r="A1052">
        <v>16340</v>
      </c>
      <c r="B1052" t="s">
        <v>649</v>
      </c>
      <c r="C1052" t="s">
        <v>474</v>
      </c>
      <c r="D1052" t="s">
        <v>475</v>
      </c>
      <c r="E1052">
        <v>17</v>
      </c>
      <c r="F1052">
        <v>56.25</v>
      </c>
      <c r="G1052">
        <v>43.75</v>
      </c>
      <c r="H1052">
        <v>0</v>
      </c>
      <c r="I1052">
        <v>0</v>
      </c>
      <c r="J1052" s="1">
        <v>45928.071475034725</v>
      </c>
      <c r="K1052" t="s">
        <v>679</v>
      </c>
      <c r="L1052">
        <f t="shared" si="16"/>
        <v>1051</v>
      </c>
      <c r="M1052">
        <f>COUNTIF($A$2:A1052,A1052)</f>
        <v>31</v>
      </c>
    </row>
    <row r="1053" spans="1:13" x14ac:dyDescent="0.3">
      <c r="A1053">
        <v>16340</v>
      </c>
      <c r="B1053" t="s">
        <v>649</v>
      </c>
      <c r="C1053" t="s">
        <v>472</v>
      </c>
      <c r="D1053" t="s">
        <v>473</v>
      </c>
      <c r="E1053">
        <v>18</v>
      </c>
      <c r="F1053">
        <v>43.75</v>
      </c>
      <c r="G1053">
        <v>56.25</v>
      </c>
      <c r="H1053">
        <v>0</v>
      </c>
      <c r="I1053">
        <v>0</v>
      </c>
      <c r="J1053" s="1">
        <v>45928.071496666664</v>
      </c>
      <c r="K1053" t="s">
        <v>679</v>
      </c>
      <c r="L1053">
        <f t="shared" si="16"/>
        <v>1052</v>
      </c>
      <c r="M1053">
        <f>COUNTIF($A$2:A1053,A1053)</f>
        <v>32</v>
      </c>
    </row>
    <row r="1054" spans="1:13" x14ac:dyDescent="0.3">
      <c r="A1054">
        <v>16340</v>
      </c>
      <c r="B1054" t="s">
        <v>649</v>
      </c>
      <c r="C1054" t="s">
        <v>655</v>
      </c>
      <c r="D1054" t="s">
        <v>656</v>
      </c>
      <c r="E1054">
        <v>19</v>
      </c>
      <c r="F1054">
        <v>43.75</v>
      </c>
      <c r="G1054">
        <v>56.25</v>
      </c>
      <c r="H1054">
        <v>0</v>
      </c>
      <c r="I1054">
        <v>0</v>
      </c>
      <c r="J1054" s="1">
        <v>45928.071515081021</v>
      </c>
      <c r="K1054" t="s">
        <v>679</v>
      </c>
      <c r="L1054">
        <f t="shared" si="16"/>
        <v>1053</v>
      </c>
      <c r="M1054">
        <f>COUNTIF($A$2:A1054,A1054)</f>
        <v>33</v>
      </c>
    </row>
    <row r="1055" spans="1:13" x14ac:dyDescent="0.3">
      <c r="A1055">
        <v>16340</v>
      </c>
      <c r="B1055" t="s">
        <v>649</v>
      </c>
      <c r="C1055" t="s">
        <v>653</v>
      </c>
      <c r="D1055" t="s">
        <v>654</v>
      </c>
      <c r="E1055">
        <v>7</v>
      </c>
      <c r="F1055">
        <v>87.5</v>
      </c>
      <c r="G1055">
        <v>12.5</v>
      </c>
      <c r="H1055">
        <v>0</v>
      </c>
      <c r="I1055">
        <v>0</v>
      </c>
      <c r="J1055" s="1">
        <v>45928.07153400463</v>
      </c>
      <c r="K1055" t="s">
        <v>679</v>
      </c>
      <c r="L1055">
        <f t="shared" si="16"/>
        <v>1054</v>
      </c>
      <c r="M1055">
        <f>COUNTIF($A$2:A1055,A1055)</f>
        <v>34</v>
      </c>
    </row>
    <row r="1056" spans="1:13" x14ac:dyDescent="0.3">
      <c r="A1056">
        <v>16340</v>
      </c>
      <c r="B1056" t="s">
        <v>649</v>
      </c>
      <c r="C1056" t="s">
        <v>470</v>
      </c>
      <c r="D1056" t="s">
        <v>471</v>
      </c>
      <c r="E1056">
        <v>14</v>
      </c>
      <c r="F1056">
        <v>68.75</v>
      </c>
      <c r="G1056">
        <v>31.25</v>
      </c>
      <c r="H1056">
        <v>0</v>
      </c>
      <c r="I1056">
        <v>0</v>
      </c>
      <c r="J1056" s="1">
        <v>45928.071557465279</v>
      </c>
      <c r="K1056" t="s">
        <v>679</v>
      </c>
      <c r="L1056">
        <f t="shared" si="16"/>
        <v>1055</v>
      </c>
      <c r="M1056">
        <f>COUNTIF($A$2:A1056,A1056)</f>
        <v>35</v>
      </c>
    </row>
    <row r="1057" spans="1:13" x14ac:dyDescent="0.3">
      <c r="A1057">
        <v>16340</v>
      </c>
      <c r="B1057" t="s">
        <v>649</v>
      </c>
      <c r="C1057" t="s">
        <v>386</v>
      </c>
      <c r="D1057" t="s">
        <v>387</v>
      </c>
      <c r="E1057">
        <v>29</v>
      </c>
      <c r="F1057">
        <v>12.5</v>
      </c>
      <c r="G1057">
        <v>81.25</v>
      </c>
      <c r="H1057">
        <v>6.25</v>
      </c>
      <c r="I1057">
        <v>0</v>
      </c>
      <c r="J1057" s="1">
        <v>45928.071581701392</v>
      </c>
      <c r="K1057" t="s">
        <v>679</v>
      </c>
      <c r="L1057">
        <f t="shared" si="16"/>
        <v>1056</v>
      </c>
      <c r="M1057">
        <f>COUNTIF($A$2:A1057,A1057)</f>
        <v>36</v>
      </c>
    </row>
    <row r="1058" spans="1:13" x14ac:dyDescent="0.3">
      <c r="A1058">
        <v>16340</v>
      </c>
      <c r="B1058" t="s">
        <v>649</v>
      </c>
      <c r="C1058" t="s">
        <v>384</v>
      </c>
      <c r="D1058" t="s">
        <v>385</v>
      </c>
      <c r="E1058">
        <v>31</v>
      </c>
      <c r="F1058">
        <v>12.5</v>
      </c>
      <c r="G1058">
        <v>81.25</v>
      </c>
      <c r="H1058">
        <v>6.25</v>
      </c>
      <c r="I1058">
        <v>0</v>
      </c>
      <c r="J1058" s="1">
        <v>45928.07160116898</v>
      </c>
      <c r="K1058" t="s">
        <v>679</v>
      </c>
      <c r="L1058">
        <f t="shared" si="16"/>
        <v>1057</v>
      </c>
      <c r="M1058">
        <f>COUNTIF($A$2:A1058,A1058)</f>
        <v>37</v>
      </c>
    </row>
    <row r="1059" spans="1:13" x14ac:dyDescent="0.3">
      <c r="A1059">
        <v>16340</v>
      </c>
      <c r="B1059" t="s">
        <v>649</v>
      </c>
      <c r="C1059" t="s">
        <v>382</v>
      </c>
      <c r="D1059" t="s">
        <v>383</v>
      </c>
      <c r="E1059">
        <v>27</v>
      </c>
      <c r="F1059">
        <v>18.75</v>
      </c>
      <c r="G1059">
        <v>75</v>
      </c>
      <c r="H1059">
        <v>6.25</v>
      </c>
      <c r="I1059">
        <v>0</v>
      </c>
      <c r="J1059" s="1">
        <v>45928.071620625</v>
      </c>
      <c r="K1059" t="s">
        <v>679</v>
      </c>
      <c r="L1059">
        <f t="shared" si="16"/>
        <v>1058</v>
      </c>
      <c r="M1059">
        <f>COUNTIF($A$2:A1059,A1059)</f>
        <v>38</v>
      </c>
    </row>
    <row r="1060" spans="1:13" x14ac:dyDescent="0.3">
      <c r="A1060">
        <v>16340</v>
      </c>
      <c r="B1060" t="s">
        <v>649</v>
      </c>
      <c r="C1060" t="s">
        <v>379</v>
      </c>
      <c r="D1060" t="s">
        <v>380</v>
      </c>
      <c r="E1060">
        <v>17</v>
      </c>
      <c r="F1060">
        <v>62.5</v>
      </c>
      <c r="G1060">
        <v>37.5</v>
      </c>
      <c r="H1060">
        <v>0</v>
      </c>
      <c r="I1060">
        <v>0</v>
      </c>
      <c r="J1060" s="1">
        <v>45928.071643356481</v>
      </c>
      <c r="K1060" t="s">
        <v>679</v>
      </c>
      <c r="L1060">
        <f t="shared" si="16"/>
        <v>1059</v>
      </c>
      <c r="M1060">
        <f>COUNTIF($A$2:A1060,A1060)</f>
        <v>39</v>
      </c>
    </row>
    <row r="1061" spans="1:13" x14ac:dyDescent="0.3">
      <c r="A1061">
        <v>16127</v>
      </c>
      <c r="B1061" t="s">
        <v>680</v>
      </c>
      <c r="C1061" t="s">
        <v>40</v>
      </c>
      <c r="D1061" t="s">
        <v>41</v>
      </c>
      <c r="E1061">
        <v>0</v>
      </c>
      <c r="F1061">
        <v>100</v>
      </c>
      <c r="G1061">
        <v>0</v>
      </c>
      <c r="H1061">
        <v>0</v>
      </c>
      <c r="I1061">
        <v>0</v>
      </c>
      <c r="J1061" s="1">
        <v>45928.07171773148</v>
      </c>
      <c r="K1061" t="s">
        <v>681</v>
      </c>
      <c r="L1061">
        <f t="shared" si="16"/>
        <v>1060</v>
      </c>
      <c r="M1061">
        <f>COUNTIF($A$2:A1061,A1061)</f>
        <v>1</v>
      </c>
    </row>
    <row r="1062" spans="1:13" x14ac:dyDescent="0.3">
      <c r="A1062">
        <v>16127</v>
      </c>
      <c r="B1062" t="s">
        <v>680</v>
      </c>
      <c r="C1062" t="s">
        <v>43</v>
      </c>
      <c r="D1062" t="s">
        <v>44</v>
      </c>
      <c r="F1062">
        <v>100</v>
      </c>
      <c r="G1062">
        <v>0</v>
      </c>
      <c r="H1062">
        <v>0</v>
      </c>
      <c r="I1062">
        <v>0</v>
      </c>
      <c r="J1062" s="1">
        <v>45928.071748148148</v>
      </c>
      <c r="K1062" t="s">
        <v>681</v>
      </c>
      <c r="L1062">
        <f t="shared" si="16"/>
        <v>1061</v>
      </c>
      <c r="M1062">
        <f>COUNTIF($A$2:A1062,A1062)</f>
        <v>2</v>
      </c>
    </row>
    <row r="1063" spans="1:13" x14ac:dyDescent="0.3">
      <c r="A1063">
        <v>16127</v>
      </c>
      <c r="B1063" t="s">
        <v>680</v>
      </c>
      <c r="C1063" t="s">
        <v>45</v>
      </c>
      <c r="D1063" t="s">
        <v>46</v>
      </c>
      <c r="E1063">
        <v>3</v>
      </c>
      <c r="F1063">
        <v>96.67</v>
      </c>
      <c r="G1063">
        <v>3.33</v>
      </c>
      <c r="H1063">
        <v>0</v>
      </c>
      <c r="I1063">
        <v>0</v>
      </c>
      <c r="J1063" s="1">
        <v>45928.071793078707</v>
      </c>
      <c r="K1063" t="s">
        <v>681</v>
      </c>
      <c r="L1063">
        <f t="shared" si="16"/>
        <v>1062</v>
      </c>
      <c r="M1063">
        <f>COUNTIF($A$2:A1063,A1063)</f>
        <v>3</v>
      </c>
    </row>
    <row r="1064" spans="1:13" x14ac:dyDescent="0.3">
      <c r="A1064">
        <v>16127</v>
      </c>
      <c r="B1064" t="s">
        <v>680</v>
      </c>
      <c r="C1064" t="s">
        <v>47</v>
      </c>
      <c r="D1064" t="s">
        <v>48</v>
      </c>
      <c r="E1064">
        <v>16</v>
      </c>
      <c r="F1064">
        <v>63.33</v>
      </c>
      <c r="G1064">
        <v>36.67</v>
      </c>
      <c r="H1064">
        <v>0</v>
      </c>
      <c r="I1064">
        <v>0</v>
      </c>
      <c r="J1064" s="1">
        <v>45928.071812037037</v>
      </c>
      <c r="K1064" t="s">
        <v>681</v>
      </c>
      <c r="L1064">
        <f t="shared" si="16"/>
        <v>1063</v>
      </c>
      <c r="M1064">
        <f>COUNTIF($A$2:A1064,A1064)</f>
        <v>4</v>
      </c>
    </row>
    <row r="1065" spans="1:13" x14ac:dyDescent="0.3">
      <c r="A1065">
        <v>16127</v>
      </c>
      <c r="B1065" t="s">
        <v>680</v>
      </c>
      <c r="C1065" t="s">
        <v>70</v>
      </c>
      <c r="D1065" t="s">
        <v>71</v>
      </c>
      <c r="E1065">
        <v>15</v>
      </c>
      <c r="F1065">
        <v>56.67</v>
      </c>
      <c r="G1065">
        <v>43.33</v>
      </c>
      <c r="H1065">
        <v>0</v>
      </c>
      <c r="I1065">
        <v>0</v>
      </c>
      <c r="J1065" s="1">
        <v>45928.071832858797</v>
      </c>
      <c r="K1065" t="s">
        <v>681</v>
      </c>
      <c r="L1065">
        <f t="shared" si="16"/>
        <v>1064</v>
      </c>
      <c r="M1065">
        <f>COUNTIF($A$2:A1065,A1065)</f>
        <v>5</v>
      </c>
    </row>
    <row r="1066" spans="1:13" x14ac:dyDescent="0.3">
      <c r="A1066">
        <v>16127</v>
      </c>
      <c r="B1066" t="s">
        <v>680</v>
      </c>
      <c r="C1066" t="s">
        <v>49</v>
      </c>
      <c r="D1066" t="s">
        <v>50</v>
      </c>
      <c r="E1066">
        <v>3</v>
      </c>
      <c r="F1066">
        <v>93.33</v>
      </c>
      <c r="G1066">
        <v>6.67</v>
      </c>
      <c r="H1066">
        <v>0</v>
      </c>
      <c r="I1066">
        <v>0</v>
      </c>
      <c r="J1066" s="1">
        <v>45928.071880810188</v>
      </c>
      <c r="K1066" t="s">
        <v>681</v>
      </c>
      <c r="L1066">
        <f t="shared" si="16"/>
        <v>1065</v>
      </c>
      <c r="M1066">
        <f>COUNTIF($A$2:A1066,A1066)</f>
        <v>6</v>
      </c>
    </row>
    <row r="1067" spans="1:13" x14ac:dyDescent="0.3">
      <c r="A1067">
        <v>16127</v>
      </c>
      <c r="B1067" t="s">
        <v>680</v>
      </c>
      <c r="C1067" t="s">
        <v>51</v>
      </c>
      <c r="D1067" t="s">
        <v>52</v>
      </c>
      <c r="E1067">
        <v>4</v>
      </c>
      <c r="F1067">
        <v>93.33</v>
      </c>
      <c r="G1067">
        <v>6.67</v>
      </c>
      <c r="H1067">
        <v>0</v>
      </c>
      <c r="I1067">
        <v>0</v>
      </c>
      <c r="J1067" s="1">
        <v>45928.071925902776</v>
      </c>
      <c r="K1067" t="s">
        <v>681</v>
      </c>
      <c r="L1067">
        <f t="shared" si="16"/>
        <v>1066</v>
      </c>
      <c r="M1067">
        <f>COUNTIF($A$2:A1067,A1067)</f>
        <v>7</v>
      </c>
    </row>
    <row r="1068" spans="1:13" x14ac:dyDescent="0.3">
      <c r="A1068">
        <v>16127</v>
      </c>
      <c r="B1068" t="s">
        <v>680</v>
      </c>
      <c r="C1068" t="s">
        <v>682</v>
      </c>
      <c r="D1068" t="s">
        <v>683</v>
      </c>
      <c r="E1068">
        <v>3</v>
      </c>
      <c r="F1068">
        <v>93.33</v>
      </c>
      <c r="G1068">
        <v>6.67</v>
      </c>
      <c r="H1068">
        <v>0</v>
      </c>
      <c r="I1068">
        <v>0</v>
      </c>
      <c r="J1068" s="1">
        <v>45928.071973078702</v>
      </c>
      <c r="K1068" t="s">
        <v>681</v>
      </c>
      <c r="L1068">
        <f t="shared" si="16"/>
        <v>1067</v>
      </c>
      <c r="M1068">
        <f>COUNTIF($A$2:A1068,A1068)</f>
        <v>8</v>
      </c>
    </row>
    <row r="1069" spans="1:13" x14ac:dyDescent="0.3">
      <c r="A1069">
        <v>16127</v>
      </c>
      <c r="B1069" t="s">
        <v>680</v>
      </c>
      <c r="C1069" t="s">
        <v>684</v>
      </c>
      <c r="D1069" t="s">
        <v>685</v>
      </c>
      <c r="E1069">
        <v>19</v>
      </c>
      <c r="F1069">
        <v>70</v>
      </c>
      <c r="G1069">
        <v>26.67</v>
      </c>
      <c r="H1069">
        <v>3.33</v>
      </c>
      <c r="I1069">
        <v>0</v>
      </c>
      <c r="J1069" s="1">
        <v>45928.072017314815</v>
      </c>
      <c r="K1069" t="s">
        <v>681</v>
      </c>
      <c r="L1069">
        <f t="shared" si="16"/>
        <v>1068</v>
      </c>
      <c r="M1069">
        <f>COUNTIF($A$2:A1069,A1069)</f>
        <v>9</v>
      </c>
    </row>
    <row r="1070" spans="1:13" x14ac:dyDescent="0.3">
      <c r="A1070">
        <v>16127</v>
      </c>
      <c r="B1070" t="s">
        <v>680</v>
      </c>
      <c r="C1070" t="s">
        <v>686</v>
      </c>
      <c r="D1070" t="s">
        <v>687</v>
      </c>
      <c r="E1070">
        <v>18</v>
      </c>
      <c r="F1070">
        <v>70</v>
      </c>
      <c r="G1070">
        <v>26.67</v>
      </c>
      <c r="H1070">
        <v>3.33</v>
      </c>
      <c r="I1070">
        <v>0</v>
      </c>
      <c r="J1070" s="1">
        <v>45928.072063321757</v>
      </c>
      <c r="K1070" t="s">
        <v>681</v>
      </c>
      <c r="L1070">
        <f t="shared" si="16"/>
        <v>1069</v>
      </c>
      <c r="M1070">
        <f>COUNTIF($A$2:A1070,A1070)</f>
        <v>10</v>
      </c>
    </row>
    <row r="1071" spans="1:13" x14ac:dyDescent="0.3">
      <c r="A1071">
        <v>16127</v>
      </c>
      <c r="B1071" t="s">
        <v>680</v>
      </c>
      <c r="C1071" t="s">
        <v>53</v>
      </c>
      <c r="D1071" t="s">
        <v>54</v>
      </c>
      <c r="E1071">
        <v>8</v>
      </c>
      <c r="F1071">
        <v>86.67</v>
      </c>
      <c r="G1071">
        <v>10</v>
      </c>
      <c r="H1071">
        <v>3.33</v>
      </c>
      <c r="I1071">
        <v>0</v>
      </c>
      <c r="J1071" s="1">
        <v>45928.07211228009</v>
      </c>
      <c r="K1071" t="s">
        <v>681</v>
      </c>
      <c r="L1071">
        <f t="shared" si="16"/>
        <v>1070</v>
      </c>
      <c r="M1071">
        <f>COUNTIF($A$2:A1071,A1071)</f>
        <v>11</v>
      </c>
    </row>
    <row r="1072" spans="1:13" x14ac:dyDescent="0.3">
      <c r="A1072">
        <v>16127</v>
      </c>
      <c r="B1072" t="s">
        <v>680</v>
      </c>
      <c r="C1072" t="s">
        <v>55</v>
      </c>
      <c r="D1072" t="s">
        <v>56</v>
      </c>
      <c r="E1072">
        <v>16</v>
      </c>
      <c r="F1072">
        <v>80</v>
      </c>
      <c r="G1072">
        <v>16.670000000000002</v>
      </c>
      <c r="H1072">
        <v>3.33</v>
      </c>
      <c r="I1072">
        <v>0</v>
      </c>
      <c r="J1072" s="1">
        <v>45928.072156168979</v>
      </c>
      <c r="K1072" t="s">
        <v>681</v>
      </c>
      <c r="L1072">
        <f t="shared" si="16"/>
        <v>1071</v>
      </c>
      <c r="M1072">
        <f>COUNTIF($A$2:A1072,A1072)</f>
        <v>12</v>
      </c>
    </row>
    <row r="1073" spans="1:13" x14ac:dyDescent="0.3">
      <c r="A1073">
        <v>16127</v>
      </c>
      <c r="B1073" t="s">
        <v>680</v>
      </c>
      <c r="C1073" t="s">
        <v>57</v>
      </c>
      <c r="D1073" t="s">
        <v>58</v>
      </c>
      <c r="E1073">
        <v>20</v>
      </c>
      <c r="F1073">
        <v>46.67</v>
      </c>
      <c r="G1073">
        <v>50</v>
      </c>
      <c r="H1073">
        <v>3.33</v>
      </c>
      <c r="I1073">
        <v>0</v>
      </c>
      <c r="J1073" s="1">
        <v>45928.072203252312</v>
      </c>
      <c r="K1073" t="s">
        <v>681</v>
      </c>
      <c r="L1073">
        <f t="shared" si="16"/>
        <v>1072</v>
      </c>
      <c r="M1073">
        <f>COUNTIF($A$2:A1073,A1073)</f>
        <v>13</v>
      </c>
    </row>
    <row r="1074" spans="1:13" x14ac:dyDescent="0.3">
      <c r="A1074">
        <v>16127</v>
      </c>
      <c r="B1074" t="s">
        <v>680</v>
      </c>
      <c r="C1074" t="s">
        <v>61</v>
      </c>
      <c r="D1074" t="s">
        <v>62</v>
      </c>
      <c r="E1074">
        <v>21</v>
      </c>
      <c r="F1074">
        <v>33.33</v>
      </c>
      <c r="G1074">
        <v>63.33</v>
      </c>
      <c r="H1074">
        <v>3.33</v>
      </c>
      <c r="I1074">
        <v>0.01</v>
      </c>
      <c r="J1074" s="1">
        <v>45928.072222789349</v>
      </c>
      <c r="K1074" t="s">
        <v>681</v>
      </c>
      <c r="L1074">
        <f t="shared" si="16"/>
        <v>1073</v>
      </c>
      <c r="M1074">
        <f>COUNTIF($A$2:A1074,A1074)</f>
        <v>14</v>
      </c>
    </row>
    <row r="1075" spans="1:13" x14ac:dyDescent="0.3">
      <c r="A1075">
        <v>16127</v>
      </c>
      <c r="B1075" t="s">
        <v>680</v>
      </c>
      <c r="C1075" t="s">
        <v>72</v>
      </c>
      <c r="D1075" t="s">
        <v>73</v>
      </c>
      <c r="E1075">
        <v>27</v>
      </c>
      <c r="F1075">
        <v>16.670000000000002</v>
      </c>
      <c r="G1075">
        <v>80</v>
      </c>
      <c r="H1075">
        <v>3.33</v>
      </c>
      <c r="I1075">
        <v>0</v>
      </c>
      <c r="J1075" s="1">
        <v>45928.072269166667</v>
      </c>
      <c r="K1075" t="s">
        <v>681</v>
      </c>
      <c r="L1075">
        <f t="shared" si="16"/>
        <v>1074</v>
      </c>
      <c r="M1075">
        <f>COUNTIF($A$2:A1075,A1075)</f>
        <v>15</v>
      </c>
    </row>
    <row r="1076" spans="1:13" x14ac:dyDescent="0.3">
      <c r="A1076">
        <v>16127</v>
      </c>
      <c r="B1076" t="s">
        <v>680</v>
      </c>
      <c r="C1076" t="s">
        <v>688</v>
      </c>
      <c r="D1076" t="s">
        <v>689</v>
      </c>
      <c r="E1076">
        <v>27</v>
      </c>
      <c r="F1076">
        <v>20</v>
      </c>
      <c r="G1076">
        <v>76.67</v>
      </c>
      <c r="H1076">
        <v>3.33</v>
      </c>
      <c r="I1076">
        <v>0</v>
      </c>
      <c r="J1076" s="1">
        <v>45928.072315752317</v>
      </c>
      <c r="K1076" t="s">
        <v>681</v>
      </c>
      <c r="L1076">
        <f t="shared" si="16"/>
        <v>1075</v>
      </c>
      <c r="M1076">
        <f>COUNTIF($A$2:A1076,A1076)</f>
        <v>16</v>
      </c>
    </row>
    <row r="1077" spans="1:13" x14ac:dyDescent="0.3">
      <c r="A1077">
        <v>16127</v>
      </c>
      <c r="B1077" t="s">
        <v>680</v>
      </c>
      <c r="C1077" t="s">
        <v>63</v>
      </c>
      <c r="D1077" t="s">
        <v>64</v>
      </c>
      <c r="E1077">
        <v>15</v>
      </c>
      <c r="F1077">
        <v>60</v>
      </c>
      <c r="G1077">
        <v>36.67</v>
      </c>
      <c r="H1077">
        <v>3.33</v>
      </c>
      <c r="I1077">
        <v>0</v>
      </c>
      <c r="J1077" s="1">
        <v>45928.072362928244</v>
      </c>
      <c r="K1077" t="s">
        <v>681</v>
      </c>
      <c r="L1077">
        <f t="shared" si="16"/>
        <v>1076</v>
      </c>
      <c r="M1077">
        <f>COUNTIF($A$2:A1077,A1077)</f>
        <v>17</v>
      </c>
    </row>
    <row r="1078" spans="1:13" x14ac:dyDescent="0.3">
      <c r="A1078">
        <v>16127</v>
      </c>
      <c r="B1078" t="s">
        <v>680</v>
      </c>
      <c r="C1078" t="s">
        <v>74</v>
      </c>
      <c r="D1078" t="s">
        <v>75</v>
      </c>
      <c r="E1078">
        <v>13</v>
      </c>
      <c r="F1078">
        <v>73.33</v>
      </c>
      <c r="G1078">
        <v>23.33</v>
      </c>
      <c r="H1078">
        <v>3.33</v>
      </c>
      <c r="I1078">
        <v>0.01</v>
      </c>
      <c r="J1078" s="1">
        <v>45928.072383472223</v>
      </c>
      <c r="K1078" t="s">
        <v>681</v>
      </c>
      <c r="L1078">
        <f t="shared" si="16"/>
        <v>1077</v>
      </c>
      <c r="M1078">
        <f>COUNTIF($A$2:A1078,A1078)</f>
        <v>18</v>
      </c>
    </row>
    <row r="1079" spans="1:13" x14ac:dyDescent="0.3">
      <c r="A1079">
        <v>16127</v>
      </c>
      <c r="B1079" t="s">
        <v>680</v>
      </c>
      <c r="C1079" t="s">
        <v>76</v>
      </c>
      <c r="D1079" t="s">
        <v>77</v>
      </c>
      <c r="E1079">
        <v>13</v>
      </c>
      <c r="F1079">
        <v>73.33</v>
      </c>
      <c r="G1079">
        <v>23.33</v>
      </c>
      <c r="H1079">
        <v>3.33</v>
      </c>
      <c r="I1079">
        <v>0.01</v>
      </c>
      <c r="J1079" s="1">
        <v>45928.072404791666</v>
      </c>
      <c r="K1079" t="s">
        <v>681</v>
      </c>
      <c r="L1079">
        <f t="shared" si="16"/>
        <v>1078</v>
      </c>
      <c r="M1079">
        <f>COUNTIF($A$2:A1079,A1079)</f>
        <v>19</v>
      </c>
    </row>
    <row r="1080" spans="1:13" x14ac:dyDescent="0.3">
      <c r="A1080">
        <v>16127</v>
      </c>
      <c r="B1080" t="s">
        <v>680</v>
      </c>
      <c r="C1080" t="s">
        <v>78</v>
      </c>
      <c r="D1080" t="s">
        <v>79</v>
      </c>
      <c r="E1080">
        <v>22</v>
      </c>
      <c r="F1080">
        <v>43.33</v>
      </c>
      <c r="G1080">
        <v>53.33</v>
      </c>
      <c r="H1080">
        <v>3.33</v>
      </c>
      <c r="I1080">
        <v>0.01</v>
      </c>
      <c r="J1080" s="1">
        <v>45928.072426284722</v>
      </c>
      <c r="K1080" t="s">
        <v>681</v>
      </c>
      <c r="L1080">
        <f t="shared" si="16"/>
        <v>1079</v>
      </c>
      <c r="M1080">
        <f>COUNTIF($A$2:A1080,A1080)</f>
        <v>20</v>
      </c>
    </row>
    <row r="1081" spans="1:13" x14ac:dyDescent="0.3">
      <c r="A1081">
        <v>16127</v>
      </c>
      <c r="B1081" t="s">
        <v>680</v>
      </c>
      <c r="C1081" t="s">
        <v>690</v>
      </c>
      <c r="D1081" t="s">
        <v>691</v>
      </c>
      <c r="E1081">
        <v>27</v>
      </c>
      <c r="F1081">
        <v>33.33</v>
      </c>
      <c r="G1081">
        <v>63.33</v>
      </c>
      <c r="H1081">
        <v>3.33</v>
      </c>
      <c r="I1081">
        <v>0.01</v>
      </c>
      <c r="J1081" s="1">
        <v>45928.072446365739</v>
      </c>
      <c r="K1081" t="s">
        <v>681</v>
      </c>
      <c r="L1081">
        <f t="shared" si="16"/>
        <v>1080</v>
      </c>
      <c r="M1081">
        <f>COUNTIF($A$2:A1081,A1081)</f>
        <v>21</v>
      </c>
    </row>
    <row r="1082" spans="1:13" x14ac:dyDescent="0.3">
      <c r="A1082">
        <v>16127</v>
      </c>
      <c r="B1082" t="s">
        <v>680</v>
      </c>
      <c r="C1082" t="s">
        <v>80</v>
      </c>
      <c r="D1082" t="s">
        <v>81</v>
      </c>
      <c r="E1082">
        <v>22</v>
      </c>
      <c r="F1082">
        <v>40</v>
      </c>
      <c r="G1082">
        <v>56.67</v>
      </c>
      <c r="H1082">
        <v>3.33</v>
      </c>
      <c r="I1082">
        <v>0</v>
      </c>
      <c r="J1082" s="1">
        <v>45928.072493888889</v>
      </c>
      <c r="K1082" t="s">
        <v>681</v>
      </c>
      <c r="L1082">
        <f t="shared" si="16"/>
        <v>1081</v>
      </c>
      <c r="M1082">
        <f>COUNTIF($A$2:A1082,A1082)</f>
        <v>22</v>
      </c>
    </row>
    <row r="1083" spans="1:13" x14ac:dyDescent="0.3">
      <c r="A1083">
        <v>16127</v>
      </c>
      <c r="B1083" t="s">
        <v>680</v>
      </c>
      <c r="C1083" t="s">
        <v>673</v>
      </c>
      <c r="D1083" t="s">
        <v>674</v>
      </c>
      <c r="E1083">
        <v>27</v>
      </c>
      <c r="F1083">
        <v>33.33</v>
      </c>
      <c r="G1083">
        <v>63.33</v>
      </c>
      <c r="H1083">
        <v>3.33</v>
      </c>
      <c r="I1083">
        <v>0.01</v>
      </c>
      <c r="J1083" s="1">
        <v>45928.072516458335</v>
      </c>
      <c r="K1083" t="s">
        <v>681</v>
      </c>
      <c r="L1083">
        <f t="shared" si="16"/>
        <v>1082</v>
      </c>
      <c r="M1083">
        <f>COUNTIF($A$2:A1083,A1083)</f>
        <v>23</v>
      </c>
    </row>
    <row r="1084" spans="1:13" x14ac:dyDescent="0.3">
      <c r="A1084">
        <v>16127</v>
      </c>
      <c r="B1084" t="s">
        <v>680</v>
      </c>
      <c r="C1084" t="s">
        <v>675</v>
      </c>
      <c r="D1084" t="s">
        <v>676</v>
      </c>
      <c r="E1084">
        <v>26</v>
      </c>
      <c r="F1084">
        <v>33.33</v>
      </c>
      <c r="G1084">
        <v>63.33</v>
      </c>
      <c r="H1084">
        <v>3.33</v>
      </c>
      <c r="I1084">
        <v>0.01</v>
      </c>
      <c r="J1084" s="1">
        <v>45928.072539224537</v>
      </c>
      <c r="K1084" t="s">
        <v>681</v>
      </c>
      <c r="L1084">
        <f t="shared" si="16"/>
        <v>1083</v>
      </c>
      <c r="M1084">
        <f>COUNTIF($A$2:A1084,A1084)</f>
        <v>24</v>
      </c>
    </row>
    <row r="1085" spans="1:13" x14ac:dyDescent="0.3">
      <c r="A1085">
        <v>16127</v>
      </c>
      <c r="B1085" t="s">
        <v>680</v>
      </c>
      <c r="C1085" t="s">
        <v>692</v>
      </c>
      <c r="D1085" t="s">
        <v>693</v>
      </c>
      <c r="E1085">
        <v>24</v>
      </c>
      <c r="F1085">
        <v>36.67</v>
      </c>
      <c r="G1085">
        <v>60</v>
      </c>
      <c r="H1085">
        <v>3.33</v>
      </c>
      <c r="I1085">
        <v>0</v>
      </c>
      <c r="J1085" s="1">
        <v>45928.072588009258</v>
      </c>
      <c r="K1085" t="s">
        <v>681</v>
      </c>
      <c r="L1085">
        <f t="shared" si="16"/>
        <v>1084</v>
      </c>
      <c r="M1085">
        <f>COUNTIF($A$2:A1085,A1085)</f>
        <v>25</v>
      </c>
    </row>
    <row r="1086" spans="1:13" x14ac:dyDescent="0.3">
      <c r="A1086">
        <v>16127</v>
      </c>
      <c r="B1086" t="s">
        <v>680</v>
      </c>
      <c r="C1086" t="s">
        <v>694</v>
      </c>
      <c r="D1086" t="s">
        <v>695</v>
      </c>
      <c r="E1086">
        <v>16</v>
      </c>
      <c r="F1086">
        <v>60</v>
      </c>
      <c r="G1086">
        <v>36.67</v>
      </c>
      <c r="H1086">
        <v>3.33</v>
      </c>
      <c r="I1086">
        <v>0</v>
      </c>
      <c r="J1086" s="1">
        <v>45928.072635474535</v>
      </c>
      <c r="K1086" t="s">
        <v>681</v>
      </c>
      <c r="L1086">
        <f t="shared" si="16"/>
        <v>1085</v>
      </c>
      <c r="M1086">
        <f>COUNTIF($A$2:A1086,A1086)</f>
        <v>26</v>
      </c>
    </row>
    <row r="1087" spans="1:13" x14ac:dyDescent="0.3">
      <c r="A1087">
        <v>16127</v>
      </c>
      <c r="B1087" t="s">
        <v>680</v>
      </c>
      <c r="C1087" t="s">
        <v>696</v>
      </c>
      <c r="D1087" t="s">
        <v>697</v>
      </c>
      <c r="F1087">
        <v>26.67</v>
      </c>
      <c r="G1087">
        <v>70</v>
      </c>
      <c r="H1087">
        <v>3.33</v>
      </c>
      <c r="I1087">
        <v>0</v>
      </c>
      <c r="J1087" s="1">
        <v>45928.072661631944</v>
      </c>
      <c r="K1087" t="s">
        <v>681</v>
      </c>
      <c r="L1087">
        <f t="shared" si="16"/>
        <v>1086</v>
      </c>
      <c r="M1087">
        <f>COUNTIF($A$2:A1087,A1087)</f>
        <v>27</v>
      </c>
    </row>
    <row r="1088" spans="1:13" x14ac:dyDescent="0.3">
      <c r="A1088">
        <v>16127</v>
      </c>
      <c r="B1088" t="s">
        <v>680</v>
      </c>
      <c r="C1088" t="s">
        <v>698</v>
      </c>
      <c r="D1088" t="s">
        <v>699</v>
      </c>
      <c r="E1088">
        <v>30</v>
      </c>
      <c r="F1088">
        <v>23.33</v>
      </c>
      <c r="G1088">
        <v>73.33</v>
      </c>
      <c r="H1088">
        <v>3.33</v>
      </c>
      <c r="I1088">
        <v>0.01</v>
      </c>
      <c r="J1088" s="1">
        <v>45928.072677175929</v>
      </c>
      <c r="K1088" t="s">
        <v>681</v>
      </c>
      <c r="L1088">
        <f t="shared" si="16"/>
        <v>1087</v>
      </c>
      <c r="M1088">
        <f>COUNTIF($A$2:A1088,A1088)</f>
        <v>28</v>
      </c>
    </row>
    <row r="1089" spans="1:13" x14ac:dyDescent="0.3">
      <c r="A1089">
        <v>16127</v>
      </c>
      <c r="B1089" t="s">
        <v>680</v>
      </c>
      <c r="C1089" t="s">
        <v>700</v>
      </c>
      <c r="D1089" t="s">
        <v>701</v>
      </c>
      <c r="F1089">
        <v>10</v>
      </c>
      <c r="G1089">
        <v>83.33</v>
      </c>
      <c r="H1089">
        <v>6.67</v>
      </c>
      <c r="I1089">
        <v>0</v>
      </c>
      <c r="J1089" s="1">
        <v>45928.072698356482</v>
      </c>
      <c r="K1089" t="s">
        <v>681</v>
      </c>
      <c r="L1089">
        <f t="shared" si="16"/>
        <v>1088</v>
      </c>
      <c r="M1089">
        <f>COUNTIF($A$2:A1089,A1089)</f>
        <v>29</v>
      </c>
    </row>
    <row r="1090" spans="1:13" x14ac:dyDescent="0.3">
      <c r="A1090">
        <v>16127</v>
      </c>
      <c r="B1090" t="s">
        <v>680</v>
      </c>
      <c r="C1090" t="s">
        <v>240</v>
      </c>
      <c r="D1090" t="s">
        <v>241</v>
      </c>
      <c r="E1090">
        <v>30</v>
      </c>
      <c r="F1090">
        <v>20</v>
      </c>
      <c r="G1090">
        <v>73.33</v>
      </c>
      <c r="H1090">
        <v>6.67</v>
      </c>
      <c r="I1090">
        <v>0</v>
      </c>
      <c r="J1090" s="1">
        <v>45928.072740208336</v>
      </c>
      <c r="K1090" t="s">
        <v>681</v>
      </c>
      <c r="L1090">
        <f t="shared" ref="L1090:L1153" si="17">ROW()-1</f>
        <v>1089</v>
      </c>
      <c r="M1090">
        <f>COUNTIF($A$2:A1090,A1090)</f>
        <v>30</v>
      </c>
    </row>
    <row r="1091" spans="1:13" x14ac:dyDescent="0.3">
      <c r="A1091">
        <v>16127</v>
      </c>
      <c r="B1091" t="s">
        <v>680</v>
      </c>
      <c r="C1091" t="s">
        <v>702</v>
      </c>
      <c r="D1091" t="s">
        <v>703</v>
      </c>
      <c r="E1091">
        <v>14</v>
      </c>
      <c r="F1091">
        <v>80</v>
      </c>
      <c r="G1091">
        <v>6.67</v>
      </c>
      <c r="H1091">
        <v>13.33</v>
      </c>
      <c r="I1091">
        <v>0</v>
      </c>
      <c r="J1091" s="1">
        <v>45928.072755532405</v>
      </c>
      <c r="K1091" t="s">
        <v>681</v>
      </c>
      <c r="L1091">
        <f t="shared" si="17"/>
        <v>1090</v>
      </c>
      <c r="M1091">
        <f>COUNTIF($A$2:A1091,A1091)</f>
        <v>31</v>
      </c>
    </row>
    <row r="1092" spans="1:13" x14ac:dyDescent="0.3">
      <c r="A1092">
        <v>16127</v>
      </c>
      <c r="B1092" t="s">
        <v>680</v>
      </c>
      <c r="C1092" t="s">
        <v>704</v>
      </c>
      <c r="D1092" t="s">
        <v>705</v>
      </c>
      <c r="E1092">
        <v>53</v>
      </c>
      <c r="F1092">
        <v>6.67</v>
      </c>
      <c r="G1092">
        <v>70</v>
      </c>
      <c r="H1092">
        <v>23.33</v>
      </c>
      <c r="I1092">
        <v>0</v>
      </c>
      <c r="J1092" s="1">
        <v>45928.072772245374</v>
      </c>
      <c r="K1092" t="s">
        <v>681</v>
      </c>
      <c r="L1092">
        <f t="shared" si="17"/>
        <v>1091</v>
      </c>
      <c r="M1092">
        <f>COUNTIF($A$2:A1092,A1092)</f>
        <v>32</v>
      </c>
    </row>
    <row r="1093" spans="1:13" x14ac:dyDescent="0.3">
      <c r="A1093">
        <v>16127</v>
      </c>
      <c r="B1093" t="s">
        <v>680</v>
      </c>
      <c r="C1093" t="s">
        <v>243</v>
      </c>
      <c r="D1093" t="s">
        <v>244</v>
      </c>
      <c r="F1093">
        <v>10</v>
      </c>
      <c r="G1093">
        <v>66.67</v>
      </c>
      <c r="H1093">
        <v>23.33</v>
      </c>
      <c r="I1093">
        <v>0</v>
      </c>
      <c r="J1093" s="1">
        <v>45928.072798043984</v>
      </c>
      <c r="K1093" t="s">
        <v>681</v>
      </c>
      <c r="L1093">
        <f t="shared" si="17"/>
        <v>1092</v>
      </c>
      <c r="M1093">
        <f>COUNTIF($A$2:A1093,A1093)</f>
        <v>33</v>
      </c>
    </row>
    <row r="1094" spans="1:13" x14ac:dyDescent="0.3">
      <c r="A1094">
        <v>16127</v>
      </c>
      <c r="B1094" t="s">
        <v>680</v>
      </c>
      <c r="C1094" t="s">
        <v>706</v>
      </c>
      <c r="D1094" t="s">
        <v>707</v>
      </c>
      <c r="E1094">
        <v>59</v>
      </c>
      <c r="F1094">
        <v>6.67</v>
      </c>
      <c r="G1094">
        <v>60</v>
      </c>
      <c r="H1094">
        <v>33.33</v>
      </c>
      <c r="I1094">
        <v>0</v>
      </c>
      <c r="J1094" s="1">
        <v>45928.07281755787</v>
      </c>
      <c r="K1094" t="s">
        <v>681</v>
      </c>
      <c r="L1094">
        <f t="shared" si="17"/>
        <v>1093</v>
      </c>
      <c r="M1094">
        <f>COUNTIF($A$2:A1094,A1094)</f>
        <v>34</v>
      </c>
    </row>
    <row r="1095" spans="1:13" x14ac:dyDescent="0.3">
      <c r="A1095">
        <v>16127</v>
      </c>
      <c r="B1095" t="s">
        <v>680</v>
      </c>
      <c r="C1095" t="s">
        <v>245</v>
      </c>
      <c r="D1095" t="s">
        <v>246</v>
      </c>
      <c r="E1095">
        <v>59</v>
      </c>
      <c r="F1095">
        <v>13.33</v>
      </c>
      <c r="G1095">
        <v>53.33</v>
      </c>
      <c r="H1095">
        <v>33.33</v>
      </c>
      <c r="I1095">
        <v>0.01</v>
      </c>
      <c r="J1095" s="1">
        <v>45928.072845428243</v>
      </c>
      <c r="K1095" t="s">
        <v>681</v>
      </c>
      <c r="L1095">
        <f t="shared" si="17"/>
        <v>1094</v>
      </c>
      <c r="M1095">
        <f>COUNTIF($A$2:A1095,A1095)</f>
        <v>35</v>
      </c>
    </row>
    <row r="1096" spans="1:13" x14ac:dyDescent="0.3">
      <c r="A1096">
        <v>16127</v>
      </c>
      <c r="B1096" t="s">
        <v>680</v>
      </c>
      <c r="C1096" t="s">
        <v>247</v>
      </c>
      <c r="D1096" t="s">
        <v>248</v>
      </c>
      <c r="E1096">
        <v>69</v>
      </c>
      <c r="F1096">
        <v>0</v>
      </c>
      <c r="G1096">
        <v>50</v>
      </c>
      <c r="H1096">
        <v>50</v>
      </c>
      <c r="I1096">
        <v>0</v>
      </c>
      <c r="J1096" s="1">
        <v>45928.072865138885</v>
      </c>
      <c r="K1096" t="s">
        <v>681</v>
      </c>
      <c r="L1096">
        <f t="shared" si="17"/>
        <v>1095</v>
      </c>
      <c r="M1096">
        <f>COUNTIF($A$2:A1096,A1096)</f>
        <v>36</v>
      </c>
    </row>
    <row r="1097" spans="1:13" x14ac:dyDescent="0.3">
      <c r="A1097">
        <v>16127</v>
      </c>
      <c r="B1097" t="s">
        <v>680</v>
      </c>
      <c r="C1097" t="s">
        <v>708</v>
      </c>
      <c r="D1097" t="s">
        <v>709</v>
      </c>
      <c r="E1097">
        <v>70</v>
      </c>
      <c r="F1097">
        <v>0</v>
      </c>
      <c r="G1097">
        <v>46.67</v>
      </c>
      <c r="H1097">
        <v>53.33</v>
      </c>
      <c r="I1097">
        <v>0</v>
      </c>
      <c r="J1097" s="1">
        <v>45928.072884918984</v>
      </c>
      <c r="K1097" t="s">
        <v>681</v>
      </c>
      <c r="L1097">
        <f t="shared" si="17"/>
        <v>1096</v>
      </c>
      <c r="M1097">
        <f>COUNTIF($A$2:A1097,A1097)</f>
        <v>37</v>
      </c>
    </row>
    <row r="1098" spans="1:13" x14ac:dyDescent="0.3">
      <c r="A1098">
        <v>16127</v>
      </c>
      <c r="B1098" t="s">
        <v>680</v>
      </c>
      <c r="C1098" t="s">
        <v>710</v>
      </c>
      <c r="D1098" t="s">
        <v>711</v>
      </c>
      <c r="E1098">
        <v>73</v>
      </c>
      <c r="F1098">
        <v>0</v>
      </c>
      <c r="G1098">
        <v>36.67</v>
      </c>
      <c r="H1098">
        <v>63.33</v>
      </c>
      <c r="I1098">
        <v>0</v>
      </c>
      <c r="J1098" s="1">
        <v>45928.07290324074</v>
      </c>
      <c r="K1098" t="s">
        <v>681</v>
      </c>
      <c r="L1098">
        <f t="shared" si="17"/>
        <v>1097</v>
      </c>
      <c r="M1098">
        <f>COUNTIF($A$2:A1098,A1098)</f>
        <v>38</v>
      </c>
    </row>
    <row r="1099" spans="1:13" x14ac:dyDescent="0.3">
      <c r="A1099">
        <v>16127</v>
      </c>
      <c r="B1099" t="s">
        <v>680</v>
      </c>
      <c r="C1099" t="s">
        <v>712</v>
      </c>
      <c r="D1099" t="s">
        <v>713</v>
      </c>
      <c r="E1099">
        <v>77</v>
      </c>
      <c r="F1099">
        <v>0</v>
      </c>
      <c r="G1099">
        <v>30</v>
      </c>
      <c r="H1099">
        <v>70</v>
      </c>
      <c r="I1099">
        <v>0</v>
      </c>
      <c r="J1099" s="1">
        <v>45928.072924768516</v>
      </c>
      <c r="K1099" t="s">
        <v>681</v>
      </c>
      <c r="L1099">
        <f t="shared" si="17"/>
        <v>1098</v>
      </c>
      <c r="M1099">
        <f>COUNTIF($A$2:A1099,A1099)</f>
        <v>39</v>
      </c>
    </row>
    <row r="1100" spans="1:13" x14ac:dyDescent="0.3">
      <c r="A1100">
        <v>16127</v>
      </c>
      <c r="B1100" t="s">
        <v>680</v>
      </c>
      <c r="C1100" t="s">
        <v>714</v>
      </c>
      <c r="D1100" t="s">
        <v>715</v>
      </c>
      <c r="E1100">
        <v>43</v>
      </c>
      <c r="F1100">
        <v>16.670000000000002</v>
      </c>
      <c r="G1100">
        <v>60</v>
      </c>
      <c r="H1100">
        <v>23.33</v>
      </c>
      <c r="I1100">
        <v>0</v>
      </c>
      <c r="J1100" s="1">
        <v>45928.072943287036</v>
      </c>
      <c r="K1100" t="s">
        <v>681</v>
      </c>
      <c r="L1100">
        <f t="shared" si="17"/>
        <v>1099</v>
      </c>
      <c r="M1100">
        <f>COUNTIF($A$2:A1100,A1100)</f>
        <v>40</v>
      </c>
    </row>
    <row r="1101" spans="1:13" x14ac:dyDescent="0.3">
      <c r="A1101">
        <v>16127</v>
      </c>
      <c r="B1101" t="s">
        <v>680</v>
      </c>
      <c r="C1101" t="s">
        <v>261</v>
      </c>
      <c r="D1101" t="s">
        <v>262</v>
      </c>
      <c r="E1101">
        <v>45</v>
      </c>
      <c r="F1101">
        <v>10</v>
      </c>
      <c r="G1101">
        <v>66.67</v>
      </c>
      <c r="H1101">
        <v>23.33</v>
      </c>
      <c r="I1101">
        <v>0</v>
      </c>
      <c r="J1101" s="1">
        <v>45928.072960648147</v>
      </c>
      <c r="K1101" t="s">
        <v>681</v>
      </c>
      <c r="L1101">
        <f t="shared" si="17"/>
        <v>1100</v>
      </c>
      <c r="M1101">
        <f>COUNTIF($A$2:A1101,A1101)</f>
        <v>41</v>
      </c>
    </row>
    <row r="1102" spans="1:13" x14ac:dyDescent="0.3">
      <c r="A1102">
        <v>16127</v>
      </c>
      <c r="B1102" t="s">
        <v>680</v>
      </c>
      <c r="C1102" t="s">
        <v>263</v>
      </c>
      <c r="D1102" t="s">
        <v>264</v>
      </c>
      <c r="E1102">
        <v>42</v>
      </c>
      <c r="F1102">
        <v>10</v>
      </c>
      <c r="G1102">
        <v>66.67</v>
      </c>
      <c r="H1102">
        <v>23.33</v>
      </c>
      <c r="I1102">
        <v>0</v>
      </c>
      <c r="J1102" s="1">
        <v>45928.07297681713</v>
      </c>
      <c r="K1102" t="s">
        <v>681</v>
      </c>
      <c r="L1102">
        <f t="shared" si="17"/>
        <v>1101</v>
      </c>
      <c r="M1102">
        <f>COUNTIF($A$2:A1102,A1102)</f>
        <v>42</v>
      </c>
    </row>
    <row r="1103" spans="1:13" x14ac:dyDescent="0.3">
      <c r="A1103">
        <v>16127</v>
      </c>
      <c r="B1103" t="s">
        <v>680</v>
      </c>
      <c r="C1103" t="s">
        <v>716</v>
      </c>
      <c r="D1103" t="s">
        <v>717</v>
      </c>
      <c r="E1103">
        <v>46</v>
      </c>
      <c r="F1103">
        <v>6.67</v>
      </c>
      <c r="G1103">
        <v>70</v>
      </c>
      <c r="H1103">
        <v>23.33</v>
      </c>
      <c r="I1103">
        <v>0</v>
      </c>
      <c r="J1103" s="1">
        <v>45928.072997256946</v>
      </c>
      <c r="K1103" t="s">
        <v>681</v>
      </c>
      <c r="L1103">
        <f t="shared" si="17"/>
        <v>1102</v>
      </c>
      <c r="M1103">
        <f>COUNTIF($A$2:A1103,A1103)</f>
        <v>43</v>
      </c>
    </row>
    <row r="1104" spans="1:13" x14ac:dyDescent="0.3">
      <c r="A1104">
        <v>16127</v>
      </c>
      <c r="B1104" t="s">
        <v>680</v>
      </c>
      <c r="C1104" t="s">
        <v>718</v>
      </c>
      <c r="D1104" t="s">
        <v>719</v>
      </c>
      <c r="F1104">
        <v>6.67</v>
      </c>
      <c r="G1104">
        <v>63.33</v>
      </c>
      <c r="H1104">
        <v>30</v>
      </c>
      <c r="I1104">
        <v>0</v>
      </c>
      <c r="J1104" s="1">
        <v>45928.073024710648</v>
      </c>
      <c r="K1104" t="s">
        <v>681</v>
      </c>
      <c r="L1104">
        <f t="shared" si="17"/>
        <v>1103</v>
      </c>
      <c r="M1104">
        <f>COUNTIF($A$2:A1104,A1104)</f>
        <v>44</v>
      </c>
    </row>
    <row r="1105" spans="1:13" x14ac:dyDescent="0.3">
      <c r="A1105">
        <v>16127</v>
      </c>
      <c r="B1105" t="s">
        <v>680</v>
      </c>
      <c r="C1105" t="s">
        <v>720</v>
      </c>
      <c r="D1105" t="s">
        <v>721</v>
      </c>
      <c r="E1105">
        <v>54</v>
      </c>
      <c r="F1105">
        <v>6.67</v>
      </c>
      <c r="G1105">
        <v>63.33</v>
      </c>
      <c r="H1105">
        <v>30</v>
      </c>
      <c r="I1105">
        <v>0</v>
      </c>
      <c r="J1105" s="1">
        <v>45928.073043842589</v>
      </c>
      <c r="K1105" t="s">
        <v>681</v>
      </c>
      <c r="L1105">
        <f t="shared" si="17"/>
        <v>1104</v>
      </c>
      <c r="M1105">
        <f>COUNTIF($A$2:A1105,A1105)</f>
        <v>45</v>
      </c>
    </row>
    <row r="1106" spans="1:13" x14ac:dyDescent="0.3">
      <c r="A1106">
        <v>16127</v>
      </c>
      <c r="B1106" t="s">
        <v>680</v>
      </c>
      <c r="C1106" t="s">
        <v>265</v>
      </c>
      <c r="D1106" t="s">
        <v>266</v>
      </c>
      <c r="E1106">
        <v>30</v>
      </c>
      <c r="F1106">
        <v>53.33</v>
      </c>
      <c r="G1106">
        <v>20</v>
      </c>
      <c r="H1106">
        <v>26.67</v>
      </c>
      <c r="I1106">
        <v>0</v>
      </c>
      <c r="J1106" s="1">
        <v>45928.073065219905</v>
      </c>
      <c r="K1106" t="s">
        <v>681</v>
      </c>
      <c r="L1106">
        <f t="shared" si="17"/>
        <v>1105</v>
      </c>
      <c r="M1106">
        <f>COUNTIF($A$2:A1106,A1106)</f>
        <v>46</v>
      </c>
    </row>
    <row r="1107" spans="1:13" x14ac:dyDescent="0.3">
      <c r="A1107">
        <v>16127</v>
      </c>
      <c r="B1107" t="s">
        <v>680</v>
      </c>
      <c r="C1107" t="s">
        <v>722</v>
      </c>
      <c r="D1107" t="s">
        <v>723</v>
      </c>
      <c r="E1107">
        <v>36</v>
      </c>
      <c r="F1107">
        <v>43.33</v>
      </c>
      <c r="G1107">
        <v>26.67</v>
      </c>
      <c r="H1107">
        <v>30</v>
      </c>
      <c r="I1107">
        <v>0</v>
      </c>
      <c r="J1107" s="1">
        <v>45928.073091990744</v>
      </c>
      <c r="K1107" t="s">
        <v>681</v>
      </c>
      <c r="L1107">
        <f t="shared" si="17"/>
        <v>1106</v>
      </c>
      <c r="M1107">
        <f>COUNTIF($A$2:A1107,A1107)</f>
        <v>47</v>
      </c>
    </row>
    <row r="1108" spans="1:13" x14ac:dyDescent="0.3">
      <c r="A1108">
        <v>16127</v>
      </c>
      <c r="B1108" t="s">
        <v>680</v>
      </c>
      <c r="C1108" t="s">
        <v>724</v>
      </c>
      <c r="D1108" t="s">
        <v>725</v>
      </c>
      <c r="E1108">
        <v>22</v>
      </c>
      <c r="F1108">
        <v>70</v>
      </c>
      <c r="G1108">
        <v>13.33</v>
      </c>
      <c r="H1108">
        <v>16.670000000000002</v>
      </c>
      <c r="I1108">
        <v>0</v>
      </c>
      <c r="J1108" s="1">
        <v>45928.073111111109</v>
      </c>
      <c r="K1108" t="s">
        <v>681</v>
      </c>
      <c r="L1108">
        <f t="shared" si="17"/>
        <v>1107</v>
      </c>
      <c r="M1108">
        <f>COUNTIF($A$2:A1108,A1108)</f>
        <v>48</v>
      </c>
    </row>
    <row r="1109" spans="1:13" x14ac:dyDescent="0.3">
      <c r="A1109">
        <v>16128</v>
      </c>
      <c r="B1109" t="s">
        <v>680</v>
      </c>
      <c r="C1109" t="s">
        <v>724</v>
      </c>
      <c r="D1109" t="s">
        <v>725</v>
      </c>
      <c r="F1109">
        <v>100</v>
      </c>
      <c r="G1109">
        <v>0</v>
      </c>
      <c r="H1109">
        <v>0</v>
      </c>
      <c r="I1109">
        <v>0</v>
      </c>
      <c r="J1109" s="1">
        <v>45928.073186944443</v>
      </c>
      <c r="K1109" t="s">
        <v>726</v>
      </c>
      <c r="L1109">
        <f t="shared" si="17"/>
        <v>1108</v>
      </c>
      <c r="M1109">
        <f>COUNTIF($A$2:A1109,A1109)</f>
        <v>1</v>
      </c>
    </row>
    <row r="1110" spans="1:13" x14ac:dyDescent="0.3">
      <c r="A1110">
        <v>16128</v>
      </c>
      <c r="B1110" t="s">
        <v>680</v>
      </c>
      <c r="C1110" t="s">
        <v>722</v>
      </c>
      <c r="D1110" t="s">
        <v>723</v>
      </c>
      <c r="E1110">
        <v>8</v>
      </c>
      <c r="F1110">
        <v>90</v>
      </c>
      <c r="G1110">
        <v>10</v>
      </c>
      <c r="H1110">
        <v>0</v>
      </c>
      <c r="I1110">
        <v>0</v>
      </c>
      <c r="J1110" s="1">
        <v>45928.073206793983</v>
      </c>
      <c r="K1110" t="s">
        <v>726</v>
      </c>
      <c r="L1110">
        <f t="shared" si="17"/>
        <v>1109</v>
      </c>
      <c r="M1110">
        <f>COUNTIF($A$2:A1110,A1110)</f>
        <v>2</v>
      </c>
    </row>
    <row r="1111" spans="1:13" x14ac:dyDescent="0.3">
      <c r="A1111">
        <v>16128</v>
      </c>
      <c r="B1111" t="s">
        <v>680</v>
      </c>
      <c r="C1111" t="s">
        <v>265</v>
      </c>
      <c r="D1111" t="s">
        <v>266</v>
      </c>
      <c r="E1111">
        <v>11</v>
      </c>
      <c r="F1111">
        <v>83.33</v>
      </c>
      <c r="G1111">
        <v>16.670000000000002</v>
      </c>
      <c r="H1111">
        <v>0</v>
      </c>
      <c r="I1111">
        <v>0</v>
      </c>
      <c r="J1111" s="1">
        <v>45928.073225185188</v>
      </c>
      <c r="K1111" t="s">
        <v>726</v>
      </c>
      <c r="L1111">
        <f t="shared" si="17"/>
        <v>1110</v>
      </c>
      <c r="M1111">
        <f>COUNTIF($A$2:A1111,A1111)</f>
        <v>3</v>
      </c>
    </row>
    <row r="1112" spans="1:13" x14ac:dyDescent="0.3">
      <c r="A1112">
        <v>16128</v>
      </c>
      <c r="B1112" t="s">
        <v>680</v>
      </c>
      <c r="C1112" t="s">
        <v>720</v>
      </c>
      <c r="D1112" t="s">
        <v>721</v>
      </c>
      <c r="E1112">
        <v>17</v>
      </c>
      <c r="F1112">
        <v>60</v>
      </c>
      <c r="G1112">
        <v>40</v>
      </c>
      <c r="H1112">
        <v>0</v>
      </c>
      <c r="I1112">
        <v>0</v>
      </c>
      <c r="J1112" s="1">
        <v>45928.073243981482</v>
      </c>
      <c r="K1112" t="s">
        <v>726</v>
      </c>
      <c r="L1112">
        <f t="shared" si="17"/>
        <v>1111</v>
      </c>
      <c r="M1112">
        <f>COUNTIF($A$2:A1112,A1112)</f>
        <v>4</v>
      </c>
    </row>
    <row r="1113" spans="1:13" x14ac:dyDescent="0.3">
      <c r="A1113">
        <v>16128</v>
      </c>
      <c r="B1113" t="s">
        <v>680</v>
      </c>
      <c r="C1113" t="s">
        <v>718</v>
      </c>
      <c r="D1113" t="s">
        <v>719</v>
      </c>
      <c r="F1113">
        <v>50</v>
      </c>
      <c r="G1113">
        <v>50</v>
      </c>
      <c r="H1113">
        <v>0</v>
      </c>
      <c r="I1113">
        <v>0</v>
      </c>
      <c r="J1113" s="1">
        <v>45928.073272986112</v>
      </c>
      <c r="K1113" t="s">
        <v>726</v>
      </c>
      <c r="L1113">
        <f t="shared" si="17"/>
        <v>1112</v>
      </c>
      <c r="M1113">
        <f>COUNTIF($A$2:A1113,A1113)</f>
        <v>5</v>
      </c>
    </row>
    <row r="1114" spans="1:13" x14ac:dyDescent="0.3">
      <c r="A1114">
        <v>16128</v>
      </c>
      <c r="B1114" t="s">
        <v>680</v>
      </c>
      <c r="C1114" t="s">
        <v>716</v>
      </c>
      <c r="D1114" t="s">
        <v>717</v>
      </c>
      <c r="E1114">
        <v>23</v>
      </c>
      <c r="F1114">
        <v>26.67</v>
      </c>
      <c r="G1114">
        <v>70</v>
      </c>
      <c r="H1114">
        <v>3.33</v>
      </c>
      <c r="I1114">
        <v>0</v>
      </c>
      <c r="J1114" s="1">
        <v>45928.073319120369</v>
      </c>
      <c r="K1114" t="s">
        <v>726</v>
      </c>
      <c r="L1114">
        <f t="shared" si="17"/>
        <v>1113</v>
      </c>
      <c r="M1114">
        <f>COUNTIF($A$2:A1114,A1114)</f>
        <v>6</v>
      </c>
    </row>
    <row r="1115" spans="1:13" x14ac:dyDescent="0.3">
      <c r="A1115">
        <v>16128</v>
      </c>
      <c r="B1115" t="s">
        <v>680</v>
      </c>
      <c r="C1115" t="s">
        <v>263</v>
      </c>
      <c r="D1115" t="s">
        <v>264</v>
      </c>
      <c r="E1115">
        <v>29</v>
      </c>
      <c r="F1115">
        <v>6.67</v>
      </c>
      <c r="G1115">
        <v>90</v>
      </c>
      <c r="H1115">
        <v>3.33</v>
      </c>
      <c r="I1115">
        <v>0</v>
      </c>
      <c r="J1115" s="1">
        <v>45928.073365532407</v>
      </c>
      <c r="K1115" t="s">
        <v>726</v>
      </c>
      <c r="L1115">
        <f t="shared" si="17"/>
        <v>1114</v>
      </c>
      <c r="M1115">
        <f>COUNTIF($A$2:A1115,A1115)</f>
        <v>7</v>
      </c>
    </row>
    <row r="1116" spans="1:13" x14ac:dyDescent="0.3">
      <c r="A1116">
        <v>16128</v>
      </c>
      <c r="B1116" t="s">
        <v>680</v>
      </c>
      <c r="C1116" t="s">
        <v>261</v>
      </c>
      <c r="D1116" t="s">
        <v>262</v>
      </c>
      <c r="E1116">
        <v>29</v>
      </c>
      <c r="F1116">
        <v>6.67</v>
      </c>
      <c r="G1116">
        <v>90</v>
      </c>
      <c r="H1116">
        <v>3.33</v>
      </c>
      <c r="I1116">
        <v>0</v>
      </c>
      <c r="J1116" s="1">
        <v>45928.073416192128</v>
      </c>
      <c r="K1116" t="s">
        <v>726</v>
      </c>
      <c r="L1116">
        <f t="shared" si="17"/>
        <v>1115</v>
      </c>
      <c r="M1116">
        <f>COUNTIF($A$2:A1116,A1116)</f>
        <v>8</v>
      </c>
    </row>
    <row r="1117" spans="1:13" x14ac:dyDescent="0.3">
      <c r="A1117">
        <v>16128</v>
      </c>
      <c r="B1117" t="s">
        <v>680</v>
      </c>
      <c r="C1117" t="s">
        <v>714</v>
      </c>
      <c r="D1117" t="s">
        <v>715</v>
      </c>
      <c r="E1117">
        <v>27</v>
      </c>
      <c r="F1117">
        <v>13.33</v>
      </c>
      <c r="G1117">
        <v>83.33</v>
      </c>
      <c r="H1117">
        <v>3.33</v>
      </c>
      <c r="I1117">
        <v>0.01</v>
      </c>
      <c r="J1117" s="1">
        <v>45928.073435578706</v>
      </c>
      <c r="K1117" t="s">
        <v>726</v>
      </c>
      <c r="L1117">
        <f t="shared" si="17"/>
        <v>1116</v>
      </c>
      <c r="M1117">
        <f>COUNTIF($A$2:A1117,A1117)</f>
        <v>9</v>
      </c>
    </row>
    <row r="1118" spans="1:13" x14ac:dyDescent="0.3">
      <c r="A1118">
        <v>16128</v>
      </c>
      <c r="B1118" t="s">
        <v>680</v>
      </c>
      <c r="C1118" t="s">
        <v>712</v>
      </c>
      <c r="D1118" t="s">
        <v>713</v>
      </c>
      <c r="E1118">
        <v>29</v>
      </c>
      <c r="F1118">
        <v>10</v>
      </c>
      <c r="G1118">
        <v>86.67</v>
      </c>
      <c r="H1118">
        <v>3.33</v>
      </c>
      <c r="I1118">
        <v>0</v>
      </c>
      <c r="J1118" s="1">
        <v>45928.073481712963</v>
      </c>
      <c r="K1118" t="s">
        <v>726</v>
      </c>
      <c r="L1118">
        <f t="shared" si="17"/>
        <v>1117</v>
      </c>
      <c r="M1118">
        <f>COUNTIF($A$2:A1118,A1118)</f>
        <v>10</v>
      </c>
    </row>
    <row r="1119" spans="1:13" x14ac:dyDescent="0.3">
      <c r="A1119">
        <v>16128</v>
      </c>
      <c r="B1119" t="s">
        <v>680</v>
      </c>
      <c r="C1119" t="s">
        <v>710</v>
      </c>
      <c r="D1119" t="s">
        <v>711</v>
      </c>
      <c r="E1119">
        <v>31</v>
      </c>
      <c r="F1119">
        <v>6.67</v>
      </c>
      <c r="G1119">
        <v>90</v>
      </c>
      <c r="H1119">
        <v>3.33</v>
      </c>
      <c r="I1119">
        <v>0</v>
      </c>
      <c r="J1119" s="1">
        <v>45928.073524085645</v>
      </c>
      <c r="K1119" t="s">
        <v>726</v>
      </c>
      <c r="L1119">
        <f t="shared" si="17"/>
        <v>1118</v>
      </c>
      <c r="M1119">
        <f>COUNTIF($A$2:A1119,A1119)</f>
        <v>11</v>
      </c>
    </row>
    <row r="1120" spans="1:13" x14ac:dyDescent="0.3">
      <c r="A1120">
        <v>16128</v>
      </c>
      <c r="B1120" t="s">
        <v>680</v>
      </c>
      <c r="C1120" t="s">
        <v>708</v>
      </c>
      <c r="D1120" t="s">
        <v>709</v>
      </c>
      <c r="E1120">
        <v>33</v>
      </c>
      <c r="F1120">
        <v>6.67</v>
      </c>
      <c r="G1120">
        <v>90</v>
      </c>
      <c r="H1120">
        <v>3.33</v>
      </c>
      <c r="I1120">
        <v>0</v>
      </c>
      <c r="J1120" s="1">
        <v>45928.073563796293</v>
      </c>
      <c r="K1120" t="s">
        <v>726</v>
      </c>
      <c r="L1120">
        <f t="shared" si="17"/>
        <v>1119</v>
      </c>
      <c r="M1120">
        <f>COUNTIF($A$2:A1120,A1120)</f>
        <v>12</v>
      </c>
    </row>
    <row r="1121" spans="1:13" x14ac:dyDescent="0.3">
      <c r="A1121">
        <v>16128</v>
      </c>
      <c r="B1121" t="s">
        <v>680</v>
      </c>
      <c r="C1121" t="s">
        <v>247</v>
      </c>
      <c r="D1121" t="s">
        <v>248</v>
      </c>
      <c r="E1121">
        <v>33</v>
      </c>
      <c r="F1121">
        <v>6.67</v>
      </c>
      <c r="G1121">
        <v>90</v>
      </c>
      <c r="H1121">
        <v>3.33</v>
      </c>
      <c r="I1121">
        <v>0</v>
      </c>
      <c r="J1121" s="1">
        <v>45928.073607002312</v>
      </c>
      <c r="K1121" t="s">
        <v>726</v>
      </c>
      <c r="L1121">
        <f t="shared" si="17"/>
        <v>1120</v>
      </c>
      <c r="M1121">
        <f>COUNTIF($A$2:A1121,A1121)</f>
        <v>13</v>
      </c>
    </row>
    <row r="1122" spans="1:13" x14ac:dyDescent="0.3">
      <c r="A1122">
        <v>16128</v>
      </c>
      <c r="B1122" t="s">
        <v>680</v>
      </c>
      <c r="C1122" t="s">
        <v>245</v>
      </c>
      <c r="D1122" t="s">
        <v>246</v>
      </c>
      <c r="F1122">
        <v>10</v>
      </c>
      <c r="G1122">
        <v>86.67</v>
      </c>
      <c r="H1122">
        <v>3.33</v>
      </c>
      <c r="I1122">
        <v>0</v>
      </c>
      <c r="J1122" s="1">
        <v>45928.073632916668</v>
      </c>
      <c r="K1122" t="s">
        <v>726</v>
      </c>
      <c r="L1122">
        <f t="shared" si="17"/>
        <v>1121</v>
      </c>
      <c r="M1122">
        <f>COUNTIF($A$2:A1122,A1122)</f>
        <v>14</v>
      </c>
    </row>
    <row r="1123" spans="1:13" x14ac:dyDescent="0.3">
      <c r="A1123">
        <v>16128</v>
      </c>
      <c r="B1123" t="s">
        <v>680</v>
      </c>
      <c r="C1123" t="s">
        <v>706</v>
      </c>
      <c r="D1123" t="s">
        <v>707</v>
      </c>
      <c r="E1123">
        <v>33</v>
      </c>
      <c r="F1123">
        <v>6.67</v>
      </c>
      <c r="G1123">
        <v>90</v>
      </c>
      <c r="H1123">
        <v>3.33</v>
      </c>
      <c r="I1123">
        <v>0</v>
      </c>
      <c r="J1123" s="1">
        <v>45928.07367607639</v>
      </c>
      <c r="K1123" t="s">
        <v>726</v>
      </c>
      <c r="L1123">
        <f t="shared" si="17"/>
        <v>1122</v>
      </c>
      <c r="M1123">
        <f>COUNTIF($A$2:A1123,A1123)</f>
        <v>15</v>
      </c>
    </row>
    <row r="1124" spans="1:13" x14ac:dyDescent="0.3">
      <c r="A1124">
        <v>16128</v>
      </c>
      <c r="B1124" t="s">
        <v>680</v>
      </c>
      <c r="C1124" t="s">
        <v>243</v>
      </c>
      <c r="D1124" t="s">
        <v>244</v>
      </c>
      <c r="E1124">
        <v>38</v>
      </c>
      <c r="F1124">
        <v>6.67</v>
      </c>
      <c r="G1124">
        <v>86.67</v>
      </c>
      <c r="H1124">
        <v>6.67</v>
      </c>
      <c r="I1124">
        <v>0</v>
      </c>
      <c r="J1124" s="1">
        <v>45928.073721990739</v>
      </c>
      <c r="K1124" t="s">
        <v>726</v>
      </c>
      <c r="L1124">
        <f t="shared" si="17"/>
        <v>1123</v>
      </c>
      <c r="M1124">
        <f>COUNTIF($A$2:A1124,A1124)</f>
        <v>16</v>
      </c>
    </row>
    <row r="1125" spans="1:13" x14ac:dyDescent="0.3">
      <c r="A1125">
        <v>16128</v>
      </c>
      <c r="B1125" t="s">
        <v>680</v>
      </c>
      <c r="C1125" t="s">
        <v>702</v>
      </c>
      <c r="D1125" t="s">
        <v>703</v>
      </c>
      <c r="E1125">
        <v>8</v>
      </c>
      <c r="F1125">
        <v>86.67</v>
      </c>
      <c r="G1125">
        <v>13.33</v>
      </c>
      <c r="H1125">
        <v>0</v>
      </c>
      <c r="I1125">
        <v>0</v>
      </c>
      <c r="J1125" s="1">
        <v>45928.073769432871</v>
      </c>
      <c r="K1125" t="s">
        <v>726</v>
      </c>
      <c r="L1125">
        <f t="shared" si="17"/>
        <v>1124</v>
      </c>
      <c r="M1125">
        <f>COUNTIF($A$2:A1125,A1125)</f>
        <v>17</v>
      </c>
    </row>
    <row r="1126" spans="1:13" x14ac:dyDescent="0.3">
      <c r="A1126">
        <v>16128</v>
      </c>
      <c r="B1126" t="s">
        <v>680</v>
      </c>
      <c r="C1126" t="s">
        <v>240</v>
      </c>
      <c r="D1126" t="s">
        <v>241</v>
      </c>
      <c r="E1126">
        <v>29</v>
      </c>
      <c r="F1126">
        <v>0</v>
      </c>
      <c r="G1126">
        <v>96.67</v>
      </c>
      <c r="H1126">
        <v>3.33</v>
      </c>
      <c r="I1126">
        <v>0</v>
      </c>
      <c r="J1126" s="1">
        <v>45928.073813055555</v>
      </c>
      <c r="K1126" t="s">
        <v>726</v>
      </c>
      <c r="L1126">
        <f t="shared" si="17"/>
        <v>1125</v>
      </c>
      <c r="M1126">
        <f>COUNTIF($A$2:A1126,A1126)</f>
        <v>18</v>
      </c>
    </row>
    <row r="1127" spans="1:13" x14ac:dyDescent="0.3">
      <c r="A1127">
        <v>16128</v>
      </c>
      <c r="B1127" t="s">
        <v>680</v>
      </c>
      <c r="C1127" t="s">
        <v>700</v>
      </c>
      <c r="D1127" t="s">
        <v>701</v>
      </c>
      <c r="E1127">
        <v>36</v>
      </c>
      <c r="F1127">
        <v>0</v>
      </c>
      <c r="G1127">
        <v>96.67</v>
      </c>
      <c r="H1127">
        <v>3.33</v>
      </c>
      <c r="I1127">
        <v>0</v>
      </c>
      <c r="J1127" s="1">
        <v>45928.073855613424</v>
      </c>
      <c r="K1127" t="s">
        <v>726</v>
      </c>
      <c r="L1127">
        <f t="shared" si="17"/>
        <v>1126</v>
      </c>
      <c r="M1127">
        <f>COUNTIF($A$2:A1127,A1127)</f>
        <v>19</v>
      </c>
    </row>
    <row r="1128" spans="1:13" x14ac:dyDescent="0.3">
      <c r="A1128">
        <v>16128</v>
      </c>
      <c r="B1128" t="s">
        <v>680</v>
      </c>
      <c r="C1128" t="s">
        <v>698</v>
      </c>
      <c r="D1128" t="s">
        <v>699</v>
      </c>
      <c r="E1128">
        <v>39</v>
      </c>
      <c r="F1128">
        <v>0</v>
      </c>
      <c r="G1128">
        <v>93.33</v>
      </c>
      <c r="H1128">
        <v>6.67</v>
      </c>
      <c r="I1128">
        <v>0</v>
      </c>
      <c r="J1128" s="1">
        <v>45928.073900844909</v>
      </c>
      <c r="K1128" t="s">
        <v>726</v>
      </c>
      <c r="L1128">
        <f t="shared" si="17"/>
        <v>1127</v>
      </c>
      <c r="M1128">
        <f>COUNTIF($A$2:A1128,A1128)</f>
        <v>20</v>
      </c>
    </row>
    <row r="1129" spans="1:13" x14ac:dyDescent="0.3">
      <c r="A1129">
        <v>16128</v>
      </c>
      <c r="B1129" t="s">
        <v>680</v>
      </c>
      <c r="C1129" t="s">
        <v>696</v>
      </c>
      <c r="D1129" t="s">
        <v>697</v>
      </c>
      <c r="E1129">
        <v>49</v>
      </c>
      <c r="F1129">
        <v>0</v>
      </c>
      <c r="G1129">
        <v>93.33</v>
      </c>
      <c r="H1129">
        <v>6.67</v>
      </c>
      <c r="I1129">
        <v>0</v>
      </c>
      <c r="J1129" s="1">
        <v>45928.073943229167</v>
      </c>
      <c r="K1129" t="s">
        <v>726</v>
      </c>
      <c r="L1129">
        <f t="shared" si="17"/>
        <v>1128</v>
      </c>
      <c r="M1129">
        <f>COUNTIF($A$2:A1129,A1129)</f>
        <v>21</v>
      </c>
    </row>
    <row r="1130" spans="1:13" x14ac:dyDescent="0.3">
      <c r="A1130">
        <v>16128</v>
      </c>
      <c r="B1130" t="s">
        <v>680</v>
      </c>
      <c r="C1130" t="s">
        <v>694</v>
      </c>
      <c r="D1130" t="s">
        <v>695</v>
      </c>
      <c r="E1130">
        <v>50</v>
      </c>
      <c r="F1130">
        <v>0</v>
      </c>
      <c r="G1130">
        <v>93.33</v>
      </c>
      <c r="H1130">
        <v>6.67</v>
      </c>
      <c r="I1130">
        <v>0</v>
      </c>
      <c r="J1130" s="1">
        <v>45928.073989143515</v>
      </c>
      <c r="K1130" t="s">
        <v>726</v>
      </c>
      <c r="L1130">
        <f t="shared" si="17"/>
        <v>1129</v>
      </c>
      <c r="M1130">
        <f>COUNTIF($A$2:A1130,A1130)</f>
        <v>22</v>
      </c>
    </row>
    <row r="1131" spans="1:13" x14ac:dyDescent="0.3">
      <c r="A1131">
        <v>16128</v>
      </c>
      <c r="B1131" t="s">
        <v>680</v>
      </c>
      <c r="C1131" t="s">
        <v>692</v>
      </c>
      <c r="D1131" t="s">
        <v>693</v>
      </c>
      <c r="F1131">
        <v>3.33</v>
      </c>
      <c r="G1131">
        <v>93.33</v>
      </c>
      <c r="H1131">
        <v>3.33</v>
      </c>
      <c r="I1131">
        <v>0</v>
      </c>
      <c r="J1131" s="1">
        <v>45928.074014756945</v>
      </c>
      <c r="K1131" t="s">
        <v>726</v>
      </c>
      <c r="L1131">
        <f t="shared" si="17"/>
        <v>1130</v>
      </c>
      <c r="M1131">
        <f>COUNTIF($A$2:A1131,A1131)</f>
        <v>23</v>
      </c>
    </row>
    <row r="1132" spans="1:13" x14ac:dyDescent="0.3">
      <c r="A1132">
        <v>16128</v>
      </c>
      <c r="B1132" t="s">
        <v>680</v>
      </c>
      <c r="C1132" t="s">
        <v>675</v>
      </c>
      <c r="D1132" t="s">
        <v>676</v>
      </c>
      <c r="E1132">
        <v>34</v>
      </c>
      <c r="F1132">
        <v>0</v>
      </c>
      <c r="G1132">
        <v>96.67</v>
      </c>
      <c r="H1132">
        <v>3.33</v>
      </c>
      <c r="I1132">
        <v>0</v>
      </c>
      <c r="J1132" s="1">
        <v>45928.074056006946</v>
      </c>
      <c r="K1132" t="s">
        <v>726</v>
      </c>
      <c r="L1132">
        <f t="shared" si="17"/>
        <v>1131</v>
      </c>
      <c r="M1132">
        <f>COUNTIF($A$2:A1132,A1132)</f>
        <v>24</v>
      </c>
    </row>
    <row r="1133" spans="1:13" x14ac:dyDescent="0.3">
      <c r="A1133">
        <v>16128</v>
      </c>
      <c r="B1133" t="s">
        <v>680</v>
      </c>
      <c r="C1133" t="s">
        <v>673</v>
      </c>
      <c r="D1133" t="s">
        <v>674</v>
      </c>
      <c r="E1133">
        <v>36</v>
      </c>
      <c r="F1133">
        <v>0</v>
      </c>
      <c r="G1133">
        <v>96.67</v>
      </c>
      <c r="H1133">
        <v>3.33</v>
      </c>
      <c r="I1133">
        <v>0</v>
      </c>
      <c r="J1133" s="1">
        <v>45928.074098067133</v>
      </c>
      <c r="K1133" t="s">
        <v>726</v>
      </c>
      <c r="L1133">
        <f t="shared" si="17"/>
        <v>1132</v>
      </c>
      <c r="M1133">
        <f>COUNTIF($A$2:A1133,A1133)</f>
        <v>25</v>
      </c>
    </row>
    <row r="1134" spans="1:13" x14ac:dyDescent="0.3">
      <c r="A1134">
        <v>16128</v>
      </c>
      <c r="B1134" t="s">
        <v>680</v>
      </c>
      <c r="C1134" t="s">
        <v>80</v>
      </c>
      <c r="D1134" t="s">
        <v>81</v>
      </c>
      <c r="E1134">
        <v>5</v>
      </c>
      <c r="F1134">
        <v>93.33</v>
      </c>
      <c r="G1134">
        <v>6.67</v>
      </c>
      <c r="H1134">
        <v>0</v>
      </c>
      <c r="I1134">
        <v>0</v>
      </c>
      <c r="J1134" s="1">
        <v>45928.074142118057</v>
      </c>
      <c r="K1134" t="s">
        <v>726</v>
      </c>
      <c r="L1134">
        <f t="shared" si="17"/>
        <v>1133</v>
      </c>
      <c r="M1134">
        <f>COUNTIF($A$2:A1134,A1134)</f>
        <v>26</v>
      </c>
    </row>
    <row r="1135" spans="1:13" x14ac:dyDescent="0.3">
      <c r="A1135">
        <v>16128</v>
      </c>
      <c r="B1135" t="s">
        <v>680</v>
      </c>
      <c r="C1135" t="s">
        <v>690</v>
      </c>
      <c r="D1135" t="s">
        <v>691</v>
      </c>
      <c r="E1135">
        <v>8</v>
      </c>
      <c r="F1135">
        <v>86.67</v>
      </c>
      <c r="G1135">
        <v>13.33</v>
      </c>
      <c r="H1135">
        <v>0</v>
      </c>
      <c r="I1135">
        <v>0</v>
      </c>
      <c r="J1135" s="1">
        <v>45928.074187268518</v>
      </c>
      <c r="K1135" t="s">
        <v>726</v>
      </c>
      <c r="L1135">
        <f t="shared" si="17"/>
        <v>1134</v>
      </c>
      <c r="M1135">
        <f>COUNTIF($A$2:A1135,A1135)</f>
        <v>27</v>
      </c>
    </row>
    <row r="1136" spans="1:13" x14ac:dyDescent="0.3">
      <c r="A1136">
        <v>16128</v>
      </c>
      <c r="B1136" t="s">
        <v>680</v>
      </c>
      <c r="C1136" t="s">
        <v>78</v>
      </c>
      <c r="D1136" t="s">
        <v>79</v>
      </c>
      <c r="E1136">
        <v>11</v>
      </c>
      <c r="F1136">
        <v>83.33</v>
      </c>
      <c r="G1136">
        <v>16.670000000000002</v>
      </c>
      <c r="H1136">
        <v>0</v>
      </c>
      <c r="I1136">
        <v>0</v>
      </c>
      <c r="J1136" s="1">
        <v>45928.074206064812</v>
      </c>
      <c r="K1136" t="s">
        <v>726</v>
      </c>
      <c r="L1136">
        <f t="shared" si="17"/>
        <v>1135</v>
      </c>
      <c r="M1136">
        <f>COUNTIF($A$2:A1136,A1136)</f>
        <v>28</v>
      </c>
    </row>
    <row r="1137" spans="1:13" x14ac:dyDescent="0.3">
      <c r="A1137">
        <v>16128</v>
      </c>
      <c r="B1137" t="s">
        <v>680</v>
      </c>
      <c r="C1137" t="s">
        <v>76</v>
      </c>
      <c r="D1137" t="s">
        <v>77</v>
      </c>
      <c r="E1137">
        <v>14</v>
      </c>
      <c r="F1137">
        <v>66.67</v>
      </c>
      <c r="G1137">
        <v>33.33</v>
      </c>
      <c r="H1137">
        <v>0</v>
      </c>
      <c r="I1137">
        <v>0</v>
      </c>
      <c r="J1137" s="1">
        <v>45928.074222824071</v>
      </c>
      <c r="K1137" t="s">
        <v>726</v>
      </c>
      <c r="L1137">
        <f t="shared" si="17"/>
        <v>1136</v>
      </c>
      <c r="M1137">
        <f>COUNTIF($A$2:A1137,A1137)</f>
        <v>29</v>
      </c>
    </row>
    <row r="1138" spans="1:13" x14ac:dyDescent="0.3">
      <c r="A1138">
        <v>16128</v>
      </c>
      <c r="B1138" t="s">
        <v>680</v>
      </c>
      <c r="C1138" t="s">
        <v>74</v>
      </c>
      <c r="D1138" t="s">
        <v>75</v>
      </c>
      <c r="E1138">
        <v>20</v>
      </c>
      <c r="F1138">
        <v>40</v>
      </c>
      <c r="G1138">
        <v>60</v>
      </c>
      <c r="H1138">
        <v>0</v>
      </c>
      <c r="I1138">
        <v>0</v>
      </c>
      <c r="J1138" s="1">
        <v>45928.074242314811</v>
      </c>
      <c r="K1138" t="s">
        <v>726</v>
      </c>
      <c r="L1138">
        <f t="shared" si="17"/>
        <v>1137</v>
      </c>
      <c r="M1138">
        <f>COUNTIF($A$2:A1138,A1138)</f>
        <v>30</v>
      </c>
    </row>
    <row r="1139" spans="1:13" x14ac:dyDescent="0.3">
      <c r="A1139">
        <v>16128</v>
      </c>
      <c r="B1139" t="s">
        <v>680</v>
      </c>
      <c r="C1139" t="s">
        <v>63</v>
      </c>
      <c r="D1139" t="s">
        <v>64</v>
      </c>
      <c r="E1139">
        <v>5</v>
      </c>
      <c r="F1139">
        <v>90</v>
      </c>
      <c r="G1139">
        <v>10</v>
      </c>
      <c r="H1139">
        <v>0</v>
      </c>
      <c r="I1139">
        <v>0</v>
      </c>
      <c r="J1139" s="1">
        <v>45928.074262314818</v>
      </c>
      <c r="K1139" t="s">
        <v>726</v>
      </c>
      <c r="L1139">
        <f t="shared" si="17"/>
        <v>1138</v>
      </c>
      <c r="M1139">
        <f>COUNTIF($A$2:A1139,A1139)</f>
        <v>31</v>
      </c>
    </row>
    <row r="1140" spans="1:13" x14ac:dyDescent="0.3">
      <c r="A1140">
        <v>16128</v>
      </c>
      <c r="B1140" t="s">
        <v>680</v>
      </c>
      <c r="C1140" t="s">
        <v>72</v>
      </c>
      <c r="D1140" t="s">
        <v>73</v>
      </c>
      <c r="E1140">
        <v>8</v>
      </c>
      <c r="F1140">
        <v>76.67</v>
      </c>
      <c r="G1140">
        <v>23.33</v>
      </c>
      <c r="H1140">
        <v>0</v>
      </c>
      <c r="I1140">
        <v>0</v>
      </c>
      <c r="J1140" s="1">
        <v>45928.074279351851</v>
      </c>
      <c r="K1140" t="s">
        <v>726</v>
      </c>
      <c r="L1140">
        <f t="shared" si="17"/>
        <v>1139</v>
      </c>
      <c r="M1140">
        <f>COUNTIF($A$2:A1140,A1140)</f>
        <v>32</v>
      </c>
    </row>
    <row r="1141" spans="1:13" x14ac:dyDescent="0.3">
      <c r="A1141">
        <v>16128</v>
      </c>
      <c r="B1141" t="s">
        <v>680</v>
      </c>
      <c r="C1141" t="s">
        <v>61</v>
      </c>
      <c r="D1141" t="s">
        <v>62</v>
      </c>
      <c r="E1141">
        <v>8</v>
      </c>
      <c r="F1141">
        <v>73.33</v>
      </c>
      <c r="G1141">
        <v>26.67</v>
      </c>
      <c r="H1141">
        <v>0</v>
      </c>
      <c r="I1141">
        <v>0</v>
      </c>
      <c r="J1141" s="1">
        <v>45928.074295416664</v>
      </c>
      <c r="K1141" t="s">
        <v>726</v>
      </c>
      <c r="L1141">
        <f t="shared" si="17"/>
        <v>1140</v>
      </c>
      <c r="M1141">
        <f>COUNTIF($A$2:A1141,A1141)</f>
        <v>33</v>
      </c>
    </row>
    <row r="1142" spans="1:13" x14ac:dyDescent="0.3">
      <c r="A1142">
        <v>16128</v>
      </c>
      <c r="B1142" t="s">
        <v>680</v>
      </c>
      <c r="C1142" t="s">
        <v>57</v>
      </c>
      <c r="D1142" t="s">
        <v>58</v>
      </c>
      <c r="E1142">
        <v>7</v>
      </c>
      <c r="F1142">
        <v>76.67</v>
      </c>
      <c r="G1142">
        <v>23.33</v>
      </c>
      <c r="H1142">
        <v>0</v>
      </c>
      <c r="I1142">
        <v>0</v>
      </c>
      <c r="J1142" s="1">
        <v>45928.074313993056</v>
      </c>
      <c r="K1142" t="s">
        <v>726</v>
      </c>
      <c r="L1142">
        <f t="shared" si="17"/>
        <v>1141</v>
      </c>
      <c r="M1142">
        <f>COUNTIF($A$2:A1142,A1142)</f>
        <v>34</v>
      </c>
    </row>
    <row r="1143" spans="1:13" x14ac:dyDescent="0.3">
      <c r="A1143">
        <v>16128</v>
      </c>
      <c r="B1143" t="s">
        <v>680</v>
      </c>
      <c r="C1143" t="s">
        <v>55</v>
      </c>
      <c r="D1143" t="s">
        <v>56</v>
      </c>
      <c r="E1143">
        <v>7</v>
      </c>
      <c r="F1143">
        <v>80</v>
      </c>
      <c r="G1143">
        <v>20</v>
      </c>
      <c r="H1143">
        <v>0</v>
      </c>
      <c r="I1143">
        <v>0</v>
      </c>
      <c r="J1143" s="1">
        <v>45928.07433398148</v>
      </c>
      <c r="K1143" t="s">
        <v>726</v>
      </c>
      <c r="L1143">
        <f t="shared" si="17"/>
        <v>1142</v>
      </c>
      <c r="M1143">
        <f>COUNTIF($A$2:A1143,A1143)</f>
        <v>35</v>
      </c>
    </row>
    <row r="1144" spans="1:13" x14ac:dyDescent="0.3">
      <c r="A1144">
        <v>16128</v>
      </c>
      <c r="B1144" t="s">
        <v>680</v>
      </c>
      <c r="C1144" t="s">
        <v>53</v>
      </c>
      <c r="D1144" t="s">
        <v>54</v>
      </c>
      <c r="E1144">
        <v>37</v>
      </c>
      <c r="F1144">
        <v>16.670000000000002</v>
      </c>
      <c r="G1144">
        <v>73.33</v>
      </c>
      <c r="H1144">
        <v>10</v>
      </c>
      <c r="I1144">
        <v>0</v>
      </c>
      <c r="J1144" s="1">
        <v>45928.074349444447</v>
      </c>
      <c r="K1144" t="s">
        <v>726</v>
      </c>
      <c r="L1144">
        <f t="shared" si="17"/>
        <v>1143</v>
      </c>
      <c r="M1144">
        <f>COUNTIF($A$2:A1144,A1144)</f>
        <v>36</v>
      </c>
    </row>
    <row r="1145" spans="1:13" x14ac:dyDescent="0.3">
      <c r="A1145">
        <v>16128</v>
      </c>
      <c r="B1145" t="s">
        <v>680</v>
      </c>
      <c r="C1145" t="s">
        <v>686</v>
      </c>
      <c r="D1145" t="s">
        <v>687</v>
      </c>
      <c r="E1145">
        <v>38</v>
      </c>
      <c r="F1145">
        <v>16.670000000000002</v>
      </c>
      <c r="G1145">
        <v>66.67</v>
      </c>
      <c r="H1145">
        <v>16.670000000000002</v>
      </c>
      <c r="I1145">
        <v>0</v>
      </c>
      <c r="J1145" s="1">
        <v>45928.07438943287</v>
      </c>
      <c r="K1145" t="s">
        <v>726</v>
      </c>
      <c r="L1145">
        <f t="shared" si="17"/>
        <v>1144</v>
      </c>
      <c r="M1145">
        <f>COUNTIF($A$2:A1145,A1145)</f>
        <v>37</v>
      </c>
    </row>
    <row r="1146" spans="1:13" x14ac:dyDescent="0.3">
      <c r="A1146">
        <v>16128</v>
      </c>
      <c r="B1146" t="s">
        <v>680</v>
      </c>
      <c r="C1146" t="s">
        <v>684</v>
      </c>
      <c r="D1146" t="s">
        <v>685</v>
      </c>
      <c r="E1146">
        <v>43</v>
      </c>
      <c r="F1146">
        <v>6.67</v>
      </c>
      <c r="G1146">
        <v>76.67</v>
      </c>
      <c r="H1146">
        <v>16.670000000000002</v>
      </c>
      <c r="I1146">
        <v>0</v>
      </c>
      <c r="J1146" s="1">
        <v>45928.074433252317</v>
      </c>
      <c r="K1146" t="s">
        <v>726</v>
      </c>
      <c r="L1146">
        <f t="shared" si="17"/>
        <v>1145</v>
      </c>
      <c r="M1146">
        <f>COUNTIF($A$2:A1146,A1146)</f>
        <v>38</v>
      </c>
    </row>
    <row r="1147" spans="1:13" x14ac:dyDescent="0.3">
      <c r="A1147">
        <v>16128</v>
      </c>
      <c r="B1147" t="s">
        <v>680</v>
      </c>
      <c r="C1147" t="s">
        <v>682</v>
      </c>
      <c r="D1147" t="s">
        <v>683</v>
      </c>
      <c r="E1147">
        <v>24</v>
      </c>
      <c r="F1147">
        <v>36.67</v>
      </c>
      <c r="G1147">
        <v>60</v>
      </c>
      <c r="H1147">
        <v>3.33</v>
      </c>
      <c r="I1147">
        <v>0</v>
      </c>
      <c r="J1147" s="1">
        <v>45928.074480173615</v>
      </c>
      <c r="K1147" t="s">
        <v>726</v>
      </c>
      <c r="L1147">
        <f t="shared" si="17"/>
        <v>1146</v>
      </c>
      <c r="M1147">
        <f>COUNTIF($A$2:A1147,A1147)</f>
        <v>39</v>
      </c>
    </row>
    <row r="1148" spans="1:13" x14ac:dyDescent="0.3">
      <c r="A1148">
        <v>16128</v>
      </c>
      <c r="B1148" t="s">
        <v>680</v>
      </c>
      <c r="C1148" t="s">
        <v>51</v>
      </c>
      <c r="D1148" t="s">
        <v>52</v>
      </c>
      <c r="F1148">
        <v>0</v>
      </c>
      <c r="G1148">
        <v>60</v>
      </c>
      <c r="H1148">
        <v>40</v>
      </c>
      <c r="I1148">
        <v>0</v>
      </c>
      <c r="J1148" s="1">
        <v>45928.074503935182</v>
      </c>
      <c r="K1148" t="s">
        <v>726</v>
      </c>
      <c r="L1148">
        <f t="shared" si="17"/>
        <v>1147</v>
      </c>
      <c r="M1148">
        <f>COUNTIF($A$2:A1148,A1148)</f>
        <v>40</v>
      </c>
    </row>
    <row r="1149" spans="1:13" x14ac:dyDescent="0.3">
      <c r="A1149">
        <v>16128</v>
      </c>
      <c r="B1149" t="s">
        <v>680</v>
      </c>
      <c r="C1149" t="s">
        <v>49</v>
      </c>
      <c r="D1149" t="s">
        <v>50</v>
      </c>
      <c r="E1149">
        <v>10</v>
      </c>
      <c r="F1149">
        <v>76.67</v>
      </c>
      <c r="G1149">
        <v>23.33</v>
      </c>
      <c r="H1149">
        <v>0</v>
      </c>
      <c r="I1149">
        <v>0</v>
      </c>
      <c r="J1149" s="1">
        <v>45928.07452047454</v>
      </c>
      <c r="K1149" t="s">
        <v>726</v>
      </c>
      <c r="L1149">
        <f t="shared" si="17"/>
        <v>1148</v>
      </c>
      <c r="M1149">
        <f>COUNTIF($A$2:A1149,A1149)</f>
        <v>41</v>
      </c>
    </row>
    <row r="1150" spans="1:13" x14ac:dyDescent="0.3">
      <c r="A1150">
        <v>16128</v>
      </c>
      <c r="B1150" t="s">
        <v>680</v>
      </c>
      <c r="C1150" t="s">
        <v>70</v>
      </c>
      <c r="D1150" t="s">
        <v>71</v>
      </c>
      <c r="E1150">
        <v>16</v>
      </c>
      <c r="F1150">
        <v>60</v>
      </c>
      <c r="G1150">
        <v>40</v>
      </c>
      <c r="H1150">
        <v>0</v>
      </c>
      <c r="I1150">
        <v>0</v>
      </c>
      <c r="J1150" s="1">
        <v>45928.074541655093</v>
      </c>
      <c r="K1150" t="s">
        <v>726</v>
      </c>
      <c r="L1150">
        <f t="shared" si="17"/>
        <v>1149</v>
      </c>
      <c r="M1150">
        <f>COUNTIF($A$2:A1150,A1150)</f>
        <v>42</v>
      </c>
    </row>
    <row r="1151" spans="1:13" x14ac:dyDescent="0.3">
      <c r="A1151">
        <v>16128</v>
      </c>
      <c r="B1151" t="s">
        <v>680</v>
      </c>
      <c r="C1151" t="s">
        <v>47</v>
      </c>
      <c r="D1151" t="s">
        <v>48</v>
      </c>
      <c r="E1151">
        <v>14</v>
      </c>
      <c r="F1151">
        <v>60</v>
      </c>
      <c r="G1151">
        <v>40</v>
      </c>
      <c r="H1151">
        <v>0</v>
      </c>
      <c r="I1151">
        <v>0</v>
      </c>
      <c r="J1151" s="1">
        <v>45928.07456212963</v>
      </c>
      <c r="K1151" t="s">
        <v>726</v>
      </c>
      <c r="L1151">
        <f t="shared" si="17"/>
        <v>1150</v>
      </c>
      <c r="M1151">
        <f>COUNTIF($A$2:A1151,A1151)</f>
        <v>43</v>
      </c>
    </row>
    <row r="1152" spans="1:13" x14ac:dyDescent="0.3">
      <c r="A1152">
        <v>16128</v>
      </c>
      <c r="B1152" t="s">
        <v>680</v>
      </c>
      <c r="C1152" t="s">
        <v>45</v>
      </c>
      <c r="D1152" t="s">
        <v>46</v>
      </c>
      <c r="E1152">
        <v>13</v>
      </c>
      <c r="F1152">
        <v>60</v>
      </c>
      <c r="G1152">
        <v>40</v>
      </c>
      <c r="H1152">
        <v>0</v>
      </c>
      <c r="I1152">
        <v>0</v>
      </c>
      <c r="J1152" s="1">
        <v>45928.074580381945</v>
      </c>
      <c r="K1152" t="s">
        <v>726</v>
      </c>
      <c r="L1152">
        <f t="shared" si="17"/>
        <v>1151</v>
      </c>
      <c r="M1152">
        <f>COUNTIF($A$2:A1152,A1152)</f>
        <v>44</v>
      </c>
    </row>
    <row r="1153" spans="1:13" x14ac:dyDescent="0.3">
      <c r="A1153">
        <v>16128</v>
      </c>
      <c r="B1153" t="s">
        <v>680</v>
      </c>
      <c r="C1153" t="s">
        <v>43</v>
      </c>
      <c r="D1153" t="s">
        <v>44</v>
      </c>
      <c r="E1153">
        <v>19</v>
      </c>
      <c r="F1153">
        <v>36.67</v>
      </c>
      <c r="G1153">
        <v>63.33</v>
      </c>
      <c r="H1153">
        <v>0</v>
      </c>
      <c r="I1153">
        <v>0</v>
      </c>
      <c r="J1153" s="1">
        <v>45928.074596157407</v>
      </c>
      <c r="K1153" t="s">
        <v>726</v>
      </c>
      <c r="L1153">
        <f t="shared" si="17"/>
        <v>1152</v>
      </c>
      <c r="M1153">
        <f>COUNTIF($A$2:A1153,A1153)</f>
        <v>45</v>
      </c>
    </row>
    <row r="1154" spans="1:13" x14ac:dyDescent="0.3">
      <c r="A1154">
        <v>16128</v>
      </c>
      <c r="B1154" t="s">
        <v>680</v>
      </c>
      <c r="C1154" t="s">
        <v>66</v>
      </c>
      <c r="D1154" t="s">
        <v>67</v>
      </c>
      <c r="E1154">
        <v>0</v>
      </c>
      <c r="F1154">
        <v>100</v>
      </c>
      <c r="G1154">
        <v>0</v>
      </c>
      <c r="H1154">
        <v>0</v>
      </c>
      <c r="I1154">
        <v>0</v>
      </c>
      <c r="J1154" s="1">
        <v>45928.074615219906</v>
      </c>
      <c r="K1154" t="s">
        <v>726</v>
      </c>
      <c r="L1154">
        <f t="shared" ref="L1154:L1217" si="18">ROW()-1</f>
        <v>1153</v>
      </c>
      <c r="M1154">
        <f>COUNTIF($A$2:A1154,A1154)</f>
        <v>46</v>
      </c>
    </row>
    <row r="1155" spans="1:13" x14ac:dyDescent="0.3">
      <c r="A1155">
        <v>16128</v>
      </c>
      <c r="B1155" t="s">
        <v>680</v>
      </c>
      <c r="C1155" t="s">
        <v>40</v>
      </c>
      <c r="D1155" t="s">
        <v>41</v>
      </c>
      <c r="E1155">
        <v>1</v>
      </c>
      <c r="F1155">
        <v>100</v>
      </c>
      <c r="G1155">
        <v>0</v>
      </c>
      <c r="H1155">
        <v>0</v>
      </c>
      <c r="I1155">
        <v>0</v>
      </c>
      <c r="J1155" s="1">
        <v>45928.074633194447</v>
      </c>
      <c r="K1155" t="s">
        <v>726</v>
      </c>
      <c r="L1155">
        <f t="shared" si="18"/>
        <v>1154</v>
      </c>
      <c r="M1155">
        <f>COUNTIF($A$2:A1155,A1155)</f>
        <v>47</v>
      </c>
    </row>
    <row r="1156" spans="1:13" x14ac:dyDescent="0.3">
      <c r="A1156">
        <v>22601</v>
      </c>
      <c r="B1156" t="s">
        <v>727</v>
      </c>
      <c r="C1156" t="s">
        <v>12</v>
      </c>
      <c r="D1156" t="s">
        <v>13</v>
      </c>
      <c r="E1156">
        <v>1</v>
      </c>
      <c r="F1156">
        <v>100</v>
      </c>
      <c r="G1156">
        <v>0</v>
      </c>
      <c r="H1156">
        <v>0</v>
      </c>
      <c r="I1156">
        <v>0</v>
      </c>
      <c r="J1156" s="1">
        <v>45928.074687141205</v>
      </c>
      <c r="K1156" t="s">
        <v>728</v>
      </c>
      <c r="L1156">
        <f t="shared" si="18"/>
        <v>1155</v>
      </c>
      <c r="M1156">
        <f>COUNTIF($A$2:A1156,A1156)</f>
        <v>1</v>
      </c>
    </row>
    <row r="1157" spans="1:13" x14ac:dyDescent="0.3">
      <c r="A1157">
        <v>22601</v>
      </c>
      <c r="B1157" t="s">
        <v>727</v>
      </c>
      <c r="C1157" t="s">
        <v>17</v>
      </c>
      <c r="D1157" t="s">
        <v>18</v>
      </c>
      <c r="F1157">
        <v>75</v>
      </c>
      <c r="G1157">
        <v>0</v>
      </c>
      <c r="H1157">
        <v>25</v>
      </c>
      <c r="I1157">
        <v>0</v>
      </c>
      <c r="J1157" s="1">
        <v>45928.074711099536</v>
      </c>
      <c r="K1157" t="s">
        <v>728</v>
      </c>
      <c r="L1157">
        <f t="shared" si="18"/>
        <v>1156</v>
      </c>
      <c r="M1157">
        <f>COUNTIF($A$2:A1157,A1157)</f>
        <v>2</v>
      </c>
    </row>
    <row r="1158" spans="1:13" x14ac:dyDescent="0.3">
      <c r="A1158">
        <v>22601</v>
      </c>
      <c r="B1158" t="s">
        <v>727</v>
      </c>
      <c r="C1158" t="s">
        <v>19</v>
      </c>
      <c r="D1158" t="s">
        <v>20</v>
      </c>
      <c r="E1158">
        <v>55</v>
      </c>
      <c r="F1158">
        <v>75</v>
      </c>
      <c r="G1158">
        <v>0</v>
      </c>
      <c r="H1158">
        <v>25</v>
      </c>
      <c r="I1158">
        <v>0</v>
      </c>
      <c r="J1158" s="1">
        <v>45928.074732326386</v>
      </c>
      <c r="K1158" t="s">
        <v>728</v>
      </c>
      <c r="L1158">
        <f t="shared" si="18"/>
        <v>1157</v>
      </c>
      <c r="M1158">
        <f>COUNTIF($A$2:A1158,A1158)</f>
        <v>3</v>
      </c>
    </row>
    <row r="1159" spans="1:13" x14ac:dyDescent="0.3">
      <c r="A1159">
        <v>22601</v>
      </c>
      <c r="B1159" t="s">
        <v>727</v>
      </c>
      <c r="C1159" t="s">
        <v>21</v>
      </c>
      <c r="D1159" t="s">
        <v>22</v>
      </c>
      <c r="F1159">
        <v>75</v>
      </c>
      <c r="G1159">
        <v>0</v>
      </c>
      <c r="H1159">
        <v>25</v>
      </c>
      <c r="I1159">
        <v>0</v>
      </c>
      <c r="J1159" s="1">
        <v>45928.074757256945</v>
      </c>
      <c r="K1159" t="s">
        <v>728</v>
      </c>
      <c r="L1159">
        <f t="shared" si="18"/>
        <v>1158</v>
      </c>
      <c r="M1159">
        <f>COUNTIF($A$2:A1159,A1159)</f>
        <v>4</v>
      </c>
    </row>
    <row r="1160" spans="1:13" x14ac:dyDescent="0.3">
      <c r="A1160">
        <v>22601</v>
      </c>
      <c r="B1160" t="s">
        <v>727</v>
      </c>
      <c r="C1160" t="s">
        <v>194</v>
      </c>
      <c r="D1160" t="s">
        <v>195</v>
      </c>
      <c r="E1160">
        <v>59</v>
      </c>
      <c r="F1160">
        <v>75</v>
      </c>
      <c r="G1160">
        <v>0</v>
      </c>
      <c r="H1160">
        <v>25</v>
      </c>
      <c r="I1160">
        <v>0</v>
      </c>
      <c r="J1160" s="1">
        <v>45928.074779189817</v>
      </c>
      <c r="K1160" t="s">
        <v>728</v>
      </c>
      <c r="L1160">
        <f t="shared" si="18"/>
        <v>1159</v>
      </c>
      <c r="M1160">
        <f>COUNTIF($A$2:A1160,A1160)</f>
        <v>5</v>
      </c>
    </row>
    <row r="1161" spans="1:13" x14ac:dyDescent="0.3">
      <c r="A1161">
        <v>22601</v>
      </c>
      <c r="B1161" t="s">
        <v>727</v>
      </c>
      <c r="C1161" t="s">
        <v>192</v>
      </c>
      <c r="D1161" t="s">
        <v>193</v>
      </c>
      <c r="E1161">
        <v>63</v>
      </c>
      <c r="F1161">
        <v>50</v>
      </c>
      <c r="G1161">
        <v>25</v>
      </c>
      <c r="H1161">
        <v>25</v>
      </c>
      <c r="I1161">
        <v>0</v>
      </c>
      <c r="J1161" s="1">
        <v>45928.074795162036</v>
      </c>
      <c r="K1161" t="s">
        <v>728</v>
      </c>
      <c r="L1161">
        <f t="shared" si="18"/>
        <v>1160</v>
      </c>
      <c r="M1161">
        <f>COUNTIF($A$2:A1161,A1161)</f>
        <v>6</v>
      </c>
    </row>
    <row r="1162" spans="1:13" x14ac:dyDescent="0.3">
      <c r="A1162">
        <v>22601</v>
      </c>
      <c r="B1162" t="s">
        <v>727</v>
      </c>
      <c r="C1162" t="s">
        <v>729</v>
      </c>
      <c r="D1162" t="s">
        <v>730</v>
      </c>
      <c r="E1162">
        <v>59</v>
      </c>
      <c r="F1162">
        <v>50</v>
      </c>
      <c r="G1162">
        <v>25</v>
      </c>
      <c r="H1162">
        <v>25</v>
      </c>
      <c r="I1162">
        <v>0</v>
      </c>
      <c r="J1162" s="1">
        <v>45928.07481096065</v>
      </c>
      <c r="K1162" t="s">
        <v>728</v>
      </c>
      <c r="L1162">
        <f t="shared" si="18"/>
        <v>1161</v>
      </c>
      <c r="M1162">
        <f>COUNTIF($A$2:A1162,A1162)</f>
        <v>7</v>
      </c>
    </row>
    <row r="1163" spans="1:13" x14ac:dyDescent="0.3">
      <c r="A1163">
        <v>22601</v>
      </c>
      <c r="B1163" t="s">
        <v>727</v>
      </c>
      <c r="C1163" t="s">
        <v>190</v>
      </c>
      <c r="D1163" t="s">
        <v>191</v>
      </c>
      <c r="E1163">
        <v>73</v>
      </c>
      <c r="F1163">
        <v>25</v>
      </c>
      <c r="G1163">
        <v>50</v>
      </c>
      <c r="H1163">
        <v>25</v>
      </c>
      <c r="I1163">
        <v>0</v>
      </c>
      <c r="J1163" s="1">
        <v>45928.074827384262</v>
      </c>
      <c r="K1163" t="s">
        <v>728</v>
      </c>
      <c r="L1163">
        <f t="shared" si="18"/>
        <v>1162</v>
      </c>
      <c r="M1163">
        <f>COUNTIF($A$2:A1163,A1163)</f>
        <v>8</v>
      </c>
    </row>
    <row r="1164" spans="1:13" x14ac:dyDescent="0.3">
      <c r="A1164">
        <v>22601</v>
      </c>
      <c r="B1164" t="s">
        <v>727</v>
      </c>
      <c r="C1164" t="s">
        <v>731</v>
      </c>
      <c r="D1164" t="s">
        <v>732</v>
      </c>
      <c r="E1164">
        <v>59</v>
      </c>
      <c r="F1164">
        <v>75</v>
      </c>
      <c r="G1164">
        <v>0</v>
      </c>
      <c r="H1164">
        <v>25</v>
      </c>
      <c r="I1164">
        <v>0</v>
      </c>
      <c r="J1164" s="1">
        <v>45928.074846377312</v>
      </c>
      <c r="K1164" t="s">
        <v>728</v>
      </c>
      <c r="L1164">
        <f t="shared" si="18"/>
        <v>1163</v>
      </c>
      <c r="M1164">
        <f>COUNTIF($A$2:A1164,A1164)</f>
        <v>9</v>
      </c>
    </row>
    <row r="1165" spans="1:13" x14ac:dyDescent="0.3">
      <c r="A1165">
        <v>22601</v>
      </c>
      <c r="B1165" t="s">
        <v>727</v>
      </c>
      <c r="C1165" t="s">
        <v>733</v>
      </c>
      <c r="D1165" t="s">
        <v>734</v>
      </c>
      <c r="E1165">
        <v>62</v>
      </c>
      <c r="F1165">
        <v>75</v>
      </c>
      <c r="G1165">
        <v>0</v>
      </c>
      <c r="H1165">
        <v>25</v>
      </c>
      <c r="I1165">
        <v>0</v>
      </c>
      <c r="J1165" s="1">
        <v>45928.074862326386</v>
      </c>
      <c r="K1165" t="s">
        <v>728</v>
      </c>
      <c r="L1165">
        <f t="shared" si="18"/>
        <v>1164</v>
      </c>
      <c r="M1165">
        <f>COUNTIF($A$2:A1165,A1165)</f>
        <v>10</v>
      </c>
    </row>
    <row r="1166" spans="1:13" x14ac:dyDescent="0.3">
      <c r="A1166">
        <v>22601</v>
      </c>
      <c r="B1166" t="s">
        <v>727</v>
      </c>
      <c r="C1166" t="s">
        <v>735</v>
      </c>
      <c r="D1166" t="s">
        <v>736</v>
      </c>
      <c r="F1166">
        <v>75</v>
      </c>
      <c r="G1166">
        <v>0</v>
      </c>
      <c r="H1166">
        <v>25</v>
      </c>
      <c r="I1166">
        <v>0</v>
      </c>
      <c r="J1166" s="1">
        <v>45928.074883657406</v>
      </c>
      <c r="K1166" t="s">
        <v>728</v>
      </c>
      <c r="L1166">
        <f t="shared" si="18"/>
        <v>1165</v>
      </c>
      <c r="M1166">
        <f>COUNTIF($A$2:A1166,A1166)</f>
        <v>11</v>
      </c>
    </row>
    <row r="1167" spans="1:13" x14ac:dyDescent="0.3">
      <c r="A1167">
        <v>22601</v>
      </c>
      <c r="B1167" t="s">
        <v>727</v>
      </c>
      <c r="C1167" t="s">
        <v>661</v>
      </c>
      <c r="D1167" t="s">
        <v>662</v>
      </c>
      <c r="E1167">
        <v>65</v>
      </c>
      <c r="F1167">
        <v>75</v>
      </c>
      <c r="G1167">
        <v>0</v>
      </c>
      <c r="H1167">
        <v>25</v>
      </c>
      <c r="I1167">
        <v>0</v>
      </c>
      <c r="J1167" s="1">
        <v>45928.0749005787</v>
      </c>
      <c r="K1167" t="s">
        <v>728</v>
      </c>
      <c r="L1167">
        <f t="shared" si="18"/>
        <v>1166</v>
      </c>
      <c r="M1167">
        <f>COUNTIF($A$2:A1167,A1167)</f>
        <v>12</v>
      </c>
    </row>
    <row r="1168" spans="1:13" x14ac:dyDescent="0.3">
      <c r="A1168">
        <v>22601</v>
      </c>
      <c r="B1168" t="s">
        <v>727</v>
      </c>
      <c r="C1168" t="s">
        <v>659</v>
      </c>
      <c r="D1168" t="s">
        <v>660</v>
      </c>
      <c r="E1168">
        <v>64</v>
      </c>
      <c r="F1168">
        <v>75</v>
      </c>
      <c r="G1168">
        <v>0</v>
      </c>
      <c r="H1168">
        <v>25</v>
      </c>
      <c r="I1168">
        <v>0</v>
      </c>
      <c r="J1168" s="1">
        <v>45928.074920069441</v>
      </c>
      <c r="K1168" t="s">
        <v>728</v>
      </c>
      <c r="L1168">
        <f t="shared" si="18"/>
        <v>1167</v>
      </c>
      <c r="M1168">
        <f>COUNTIF($A$2:A1168,A1168)</f>
        <v>13</v>
      </c>
    </row>
    <row r="1169" spans="1:13" x14ac:dyDescent="0.3">
      <c r="A1169">
        <v>22601</v>
      </c>
      <c r="B1169" t="s">
        <v>727</v>
      </c>
      <c r="C1169" t="s">
        <v>487</v>
      </c>
      <c r="D1169" t="s">
        <v>488</v>
      </c>
      <c r="E1169">
        <v>70</v>
      </c>
      <c r="F1169">
        <v>75</v>
      </c>
      <c r="G1169">
        <v>0</v>
      </c>
      <c r="H1169">
        <v>25</v>
      </c>
      <c r="I1169">
        <v>0</v>
      </c>
      <c r="J1169" s="1">
        <v>45928.074940833336</v>
      </c>
      <c r="K1169" t="s">
        <v>728</v>
      </c>
      <c r="L1169">
        <f t="shared" si="18"/>
        <v>1168</v>
      </c>
      <c r="M1169">
        <f>COUNTIF($A$2:A1169,A1169)</f>
        <v>14</v>
      </c>
    </row>
    <row r="1170" spans="1:13" x14ac:dyDescent="0.3">
      <c r="A1170">
        <v>22601</v>
      </c>
      <c r="B1170" t="s">
        <v>727</v>
      </c>
      <c r="C1170" t="s">
        <v>485</v>
      </c>
      <c r="D1170" t="s">
        <v>486</v>
      </c>
      <c r="E1170">
        <v>66</v>
      </c>
      <c r="F1170">
        <v>75</v>
      </c>
      <c r="G1170">
        <v>0</v>
      </c>
      <c r="H1170">
        <v>25</v>
      </c>
      <c r="I1170">
        <v>0</v>
      </c>
      <c r="J1170" s="1">
        <v>45928.074960231483</v>
      </c>
      <c r="K1170" t="s">
        <v>728</v>
      </c>
      <c r="L1170">
        <f t="shared" si="18"/>
        <v>1169</v>
      </c>
      <c r="M1170">
        <f>COUNTIF($A$2:A1170,A1170)</f>
        <v>15</v>
      </c>
    </row>
    <row r="1171" spans="1:13" x14ac:dyDescent="0.3">
      <c r="A1171">
        <v>22601</v>
      </c>
      <c r="B1171" t="s">
        <v>727</v>
      </c>
      <c r="C1171" t="s">
        <v>483</v>
      </c>
      <c r="D1171" t="s">
        <v>484</v>
      </c>
      <c r="E1171">
        <v>61</v>
      </c>
      <c r="F1171">
        <v>75</v>
      </c>
      <c r="G1171">
        <v>0</v>
      </c>
      <c r="H1171">
        <v>25</v>
      </c>
      <c r="I1171">
        <v>0</v>
      </c>
      <c r="J1171" s="1">
        <v>45928.074975393516</v>
      </c>
      <c r="K1171" t="s">
        <v>728</v>
      </c>
      <c r="L1171">
        <f t="shared" si="18"/>
        <v>1170</v>
      </c>
      <c r="M1171">
        <f>COUNTIF($A$2:A1171,A1171)</f>
        <v>16</v>
      </c>
    </row>
    <row r="1172" spans="1:13" x14ac:dyDescent="0.3">
      <c r="A1172">
        <v>22601</v>
      </c>
      <c r="B1172" t="s">
        <v>727</v>
      </c>
      <c r="C1172" t="s">
        <v>481</v>
      </c>
      <c r="D1172" t="s">
        <v>482</v>
      </c>
      <c r="E1172">
        <v>61</v>
      </c>
      <c r="F1172">
        <v>75</v>
      </c>
      <c r="G1172">
        <v>0</v>
      </c>
      <c r="H1172">
        <v>25</v>
      </c>
      <c r="I1172">
        <v>0</v>
      </c>
      <c r="J1172" s="1">
        <v>45928.074993912036</v>
      </c>
      <c r="K1172" t="s">
        <v>728</v>
      </c>
      <c r="L1172">
        <f t="shared" si="18"/>
        <v>1171</v>
      </c>
      <c r="M1172">
        <f>COUNTIF($A$2:A1172,A1172)</f>
        <v>17</v>
      </c>
    </row>
    <row r="1173" spans="1:13" x14ac:dyDescent="0.3">
      <c r="A1173">
        <v>22601</v>
      </c>
      <c r="B1173" t="s">
        <v>727</v>
      </c>
      <c r="C1173" t="s">
        <v>476</v>
      </c>
      <c r="D1173" t="s">
        <v>476</v>
      </c>
      <c r="E1173">
        <v>54</v>
      </c>
      <c r="F1173">
        <v>50</v>
      </c>
      <c r="G1173">
        <v>25</v>
      </c>
      <c r="H1173">
        <v>25</v>
      </c>
      <c r="I1173">
        <v>0</v>
      </c>
      <c r="J1173" s="1">
        <v>45928.075010439818</v>
      </c>
      <c r="K1173" t="s">
        <v>728</v>
      </c>
      <c r="L1173">
        <f t="shared" si="18"/>
        <v>1172</v>
      </c>
      <c r="M1173">
        <f>COUNTIF($A$2:A1173,A1173)</f>
        <v>18</v>
      </c>
    </row>
    <row r="1174" spans="1:13" x14ac:dyDescent="0.3">
      <c r="A1174">
        <v>22601</v>
      </c>
      <c r="B1174" t="s">
        <v>727</v>
      </c>
      <c r="C1174" t="s">
        <v>474</v>
      </c>
      <c r="D1174" t="s">
        <v>475</v>
      </c>
      <c r="E1174">
        <v>67</v>
      </c>
      <c r="F1174">
        <v>25</v>
      </c>
      <c r="G1174">
        <v>50</v>
      </c>
      <c r="H1174">
        <v>25</v>
      </c>
      <c r="I1174">
        <v>0</v>
      </c>
      <c r="J1174" s="1">
        <v>45928.075027060186</v>
      </c>
      <c r="K1174" t="s">
        <v>728</v>
      </c>
      <c r="L1174">
        <f t="shared" si="18"/>
        <v>1173</v>
      </c>
      <c r="M1174">
        <f>COUNTIF($A$2:A1174,A1174)</f>
        <v>19</v>
      </c>
    </row>
    <row r="1175" spans="1:13" x14ac:dyDescent="0.3">
      <c r="A1175">
        <v>22601</v>
      </c>
      <c r="B1175" t="s">
        <v>727</v>
      </c>
      <c r="C1175" t="s">
        <v>472</v>
      </c>
      <c r="D1175" t="s">
        <v>473</v>
      </c>
      <c r="E1175">
        <v>66</v>
      </c>
      <c r="F1175">
        <v>0</v>
      </c>
      <c r="G1175">
        <v>75</v>
      </c>
      <c r="H1175">
        <v>25</v>
      </c>
      <c r="I1175">
        <v>0</v>
      </c>
      <c r="J1175" s="1">
        <v>45928.075044675927</v>
      </c>
      <c r="K1175" t="s">
        <v>728</v>
      </c>
      <c r="L1175">
        <f t="shared" si="18"/>
        <v>1174</v>
      </c>
      <c r="M1175">
        <f>COUNTIF($A$2:A1175,A1175)</f>
        <v>20</v>
      </c>
    </row>
    <row r="1176" spans="1:13" x14ac:dyDescent="0.3">
      <c r="A1176">
        <v>22601</v>
      </c>
      <c r="B1176" t="s">
        <v>727</v>
      </c>
      <c r="C1176" t="s">
        <v>653</v>
      </c>
      <c r="D1176" t="s">
        <v>654</v>
      </c>
      <c r="E1176">
        <v>59</v>
      </c>
      <c r="F1176">
        <v>25</v>
      </c>
      <c r="G1176">
        <v>50</v>
      </c>
      <c r="H1176">
        <v>25</v>
      </c>
      <c r="I1176">
        <v>0</v>
      </c>
      <c r="J1176" s="1">
        <v>45928.075064907411</v>
      </c>
      <c r="K1176" t="s">
        <v>728</v>
      </c>
      <c r="L1176">
        <f t="shared" si="18"/>
        <v>1175</v>
      </c>
      <c r="M1176">
        <f>COUNTIF($A$2:A1176,A1176)</f>
        <v>21</v>
      </c>
    </row>
    <row r="1177" spans="1:13" x14ac:dyDescent="0.3">
      <c r="A1177">
        <v>22601</v>
      </c>
      <c r="B1177" t="s">
        <v>727</v>
      </c>
      <c r="C1177" t="s">
        <v>737</v>
      </c>
      <c r="D1177" t="s">
        <v>738</v>
      </c>
      <c r="E1177">
        <v>90</v>
      </c>
      <c r="F1177">
        <v>0</v>
      </c>
      <c r="G1177">
        <v>50</v>
      </c>
      <c r="H1177">
        <v>50</v>
      </c>
      <c r="I1177">
        <v>0</v>
      </c>
      <c r="J1177" s="1">
        <v>45928.075086006946</v>
      </c>
      <c r="K1177" t="s">
        <v>728</v>
      </c>
      <c r="L1177">
        <f t="shared" si="18"/>
        <v>1176</v>
      </c>
      <c r="M1177">
        <f>COUNTIF($A$2:A1177,A1177)</f>
        <v>22</v>
      </c>
    </row>
    <row r="1178" spans="1:13" x14ac:dyDescent="0.3">
      <c r="A1178">
        <v>22601</v>
      </c>
      <c r="B1178" t="s">
        <v>727</v>
      </c>
      <c r="C1178" t="s">
        <v>739</v>
      </c>
      <c r="D1178" t="s">
        <v>740</v>
      </c>
      <c r="E1178">
        <v>40</v>
      </c>
      <c r="F1178">
        <v>75</v>
      </c>
      <c r="G1178">
        <v>0</v>
      </c>
      <c r="H1178">
        <v>25</v>
      </c>
      <c r="I1178">
        <v>0</v>
      </c>
      <c r="J1178" s="1">
        <v>45928.075100902781</v>
      </c>
      <c r="K1178" t="s">
        <v>728</v>
      </c>
      <c r="L1178">
        <f t="shared" si="18"/>
        <v>1177</v>
      </c>
      <c r="M1178">
        <f>COUNTIF($A$2:A1178,A1178)</f>
        <v>23</v>
      </c>
    </row>
    <row r="1179" spans="1:13" x14ac:dyDescent="0.3">
      <c r="A1179">
        <v>22602</v>
      </c>
      <c r="B1179" t="s">
        <v>727</v>
      </c>
      <c r="C1179" t="s">
        <v>739</v>
      </c>
      <c r="D1179" t="s">
        <v>740</v>
      </c>
      <c r="E1179">
        <v>2</v>
      </c>
      <c r="F1179">
        <v>100</v>
      </c>
      <c r="G1179">
        <v>0</v>
      </c>
      <c r="H1179">
        <v>0</v>
      </c>
      <c r="I1179">
        <v>0</v>
      </c>
      <c r="J1179" s="1">
        <v>45928.075155578706</v>
      </c>
      <c r="K1179" t="s">
        <v>741</v>
      </c>
      <c r="L1179">
        <f t="shared" si="18"/>
        <v>1178</v>
      </c>
      <c r="M1179">
        <f>COUNTIF($A$2:A1179,A1179)</f>
        <v>1</v>
      </c>
    </row>
    <row r="1180" spans="1:13" x14ac:dyDescent="0.3">
      <c r="A1180">
        <v>22602</v>
      </c>
      <c r="B1180" t="s">
        <v>727</v>
      </c>
      <c r="C1180" t="s">
        <v>737</v>
      </c>
      <c r="D1180" t="s">
        <v>738</v>
      </c>
      <c r="F1180">
        <v>0</v>
      </c>
      <c r="G1180">
        <v>100</v>
      </c>
      <c r="H1180">
        <v>0</v>
      </c>
      <c r="I1180">
        <v>0</v>
      </c>
      <c r="J1180" s="1">
        <v>45928.075175300924</v>
      </c>
      <c r="K1180" t="s">
        <v>741</v>
      </c>
      <c r="L1180">
        <f t="shared" si="18"/>
        <v>1179</v>
      </c>
      <c r="M1180">
        <f>COUNTIF($A$2:A1180,A1180)</f>
        <v>2</v>
      </c>
    </row>
    <row r="1181" spans="1:13" x14ac:dyDescent="0.3">
      <c r="A1181">
        <v>22602</v>
      </c>
      <c r="B1181" t="s">
        <v>727</v>
      </c>
      <c r="C1181" t="s">
        <v>653</v>
      </c>
      <c r="D1181" t="s">
        <v>654</v>
      </c>
      <c r="E1181">
        <v>18</v>
      </c>
      <c r="F1181">
        <v>50</v>
      </c>
      <c r="G1181">
        <v>50</v>
      </c>
      <c r="H1181">
        <v>0</v>
      </c>
      <c r="I1181">
        <v>0</v>
      </c>
      <c r="J1181" s="1">
        <v>45928.075192766206</v>
      </c>
      <c r="K1181" t="s">
        <v>741</v>
      </c>
      <c r="L1181">
        <f t="shared" si="18"/>
        <v>1180</v>
      </c>
      <c r="M1181">
        <f>COUNTIF($A$2:A1181,A1181)</f>
        <v>3</v>
      </c>
    </row>
    <row r="1182" spans="1:13" x14ac:dyDescent="0.3">
      <c r="A1182">
        <v>22602</v>
      </c>
      <c r="B1182" t="s">
        <v>727</v>
      </c>
      <c r="C1182" t="s">
        <v>472</v>
      </c>
      <c r="D1182" t="s">
        <v>473</v>
      </c>
      <c r="E1182">
        <v>30</v>
      </c>
      <c r="F1182">
        <v>25</v>
      </c>
      <c r="G1182">
        <v>75</v>
      </c>
      <c r="H1182">
        <v>0</v>
      </c>
      <c r="I1182">
        <v>0</v>
      </c>
      <c r="J1182" s="1">
        <v>45928.075209305556</v>
      </c>
      <c r="K1182" t="s">
        <v>741</v>
      </c>
      <c r="L1182">
        <f t="shared" si="18"/>
        <v>1181</v>
      </c>
      <c r="M1182">
        <f>COUNTIF($A$2:A1182,A1182)</f>
        <v>4</v>
      </c>
    </row>
    <row r="1183" spans="1:13" x14ac:dyDescent="0.3">
      <c r="A1183">
        <v>22602</v>
      </c>
      <c r="B1183" t="s">
        <v>727</v>
      </c>
      <c r="C1183" t="s">
        <v>474</v>
      </c>
      <c r="D1183" t="s">
        <v>475</v>
      </c>
      <c r="E1183">
        <v>26</v>
      </c>
      <c r="F1183">
        <v>0</v>
      </c>
      <c r="G1183">
        <v>100</v>
      </c>
      <c r="H1183">
        <v>0</v>
      </c>
      <c r="I1183">
        <v>0</v>
      </c>
      <c r="J1183" s="1">
        <v>45928.075230902781</v>
      </c>
      <c r="K1183" t="s">
        <v>741</v>
      </c>
      <c r="L1183">
        <f t="shared" si="18"/>
        <v>1182</v>
      </c>
      <c r="M1183">
        <f>COUNTIF($A$2:A1183,A1183)</f>
        <v>5</v>
      </c>
    </row>
    <row r="1184" spans="1:13" x14ac:dyDescent="0.3">
      <c r="A1184">
        <v>22602</v>
      </c>
      <c r="B1184" t="s">
        <v>727</v>
      </c>
      <c r="C1184" t="s">
        <v>476</v>
      </c>
      <c r="D1184" t="s">
        <v>476</v>
      </c>
      <c r="F1184">
        <v>100</v>
      </c>
      <c r="G1184">
        <v>0</v>
      </c>
      <c r="H1184">
        <v>0</v>
      </c>
      <c r="I1184">
        <v>0</v>
      </c>
      <c r="J1184" s="1">
        <v>45928.075251863425</v>
      </c>
      <c r="K1184" t="s">
        <v>741</v>
      </c>
      <c r="L1184">
        <f t="shared" si="18"/>
        <v>1183</v>
      </c>
      <c r="M1184">
        <f>COUNTIF($A$2:A1184,A1184)</f>
        <v>6</v>
      </c>
    </row>
    <row r="1185" spans="1:13" x14ac:dyDescent="0.3">
      <c r="A1185">
        <v>22602</v>
      </c>
      <c r="B1185" t="s">
        <v>727</v>
      </c>
      <c r="C1185" t="s">
        <v>481</v>
      </c>
      <c r="D1185" t="s">
        <v>482</v>
      </c>
      <c r="E1185">
        <v>13</v>
      </c>
      <c r="F1185">
        <v>50</v>
      </c>
      <c r="G1185">
        <v>50</v>
      </c>
      <c r="H1185">
        <v>0</v>
      </c>
      <c r="I1185">
        <v>0</v>
      </c>
      <c r="J1185" s="1">
        <v>45928.075268553242</v>
      </c>
      <c r="K1185" t="s">
        <v>741</v>
      </c>
      <c r="L1185">
        <f t="shared" si="18"/>
        <v>1184</v>
      </c>
      <c r="M1185">
        <f>COUNTIF($A$2:A1185,A1185)</f>
        <v>7</v>
      </c>
    </row>
    <row r="1186" spans="1:13" x14ac:dyDescent="0.3">
      <c r="A1186">
        <v>22602</v>
      </c>
      <c r="B1186" t="s">
        <v>727</v>
      </c>
      <c r="C1186" t="s">
        <v>483</v>
      </c>
      <c r="D1186" t="s">
        <v>484</v>
      </c>
      <c r="F1186">
        <v>50</v>
      </c>
      <c r="G1186">
        <v>50</v>
      </c>
      <c r="H1186">
        <v>0</v>
      </c>
      <c r="I1186">
        <v>0</v>
      </c>
      <c r="J1186" s="1">
        <v>45928.075293252317</v>
      </c>
      <c r="K1186" t="s">
        <v>741</v>
      </c>
      <c r="L1186">
        <f t="shared" si="18"/>
        <v>1185</v>
      </c>
      <c r="M1186">
        <f>COUNTIF($A$2:A1186,A1186)</f>
        <v>8</v>
      </c>
    </row>
    <row r="1187" spans="1:13" x14ac:dyDescent="0.3">
      <c r="A1187">
        <v>22602</v>
      </c>
      <c r="B1187" t="s">
        <v>727</v>
      </c>
      <c r="C1187" t="s">
        <v>485</v>
      </c>
      <c r="D1187" t="s">
        <v>486</v>
      </c>
      <c r="E1187">
        <v>17</v>
      </c>
      <c r="F1187">
        <v>75</v>
      </c>
      <c r="G1187">
        <v>25</v>
      </c>
      <c r="H1187">
        <v>0</v>
      </c>
      <c r="I1187">
        <v>0</v>
      </c>
      <c r="J1187" s="1">
        <v>45928.075314247682</v>
      </c>
      <c r="K1187" t="s">
        <v>741</v>
      </c>
      <c r="L1187">
        <f t="shared" si="18"/>
        <v>1186</v>
      </c>
      <c r="M1187">
        <f>COUNTIF($A$2:A1187,A1187)</f>
        <v>9</v>
      </c>
    </row>
    <row r="1188" spans="1:13" x14ac:dyDescent="0.3">
      <c r="A1188">
        <v>22602</v>
      </c>
      <c r="B1188" t="s">
        <v>727</v>
      </c>
      <c r="C1188" t="s">
        <v>487</v>
      </c>
      <c r="D1188" t="s">
        <v>488</v>
      </c>
      <c r="E1188">
        <v>15</v>
      </c>
      <c r="F1188">
        <v>50</v>
      </c>
      <c r="G1188">
        <v>50</v>
      </c>
      <c r="H1188">
        <v>0</v>
      </c>
      <c r="I1188">
        <v>0</v>
      </c>
      <c r="J1188" s="1">
        <v>45928.075331840279</v>
      </c>
      <c r="K1188" t="s">
        <v>741</v>
      </c>
      <c r="L1188">
        <f t="shared" si="18"/>
        <v>1187</v>
      </c>
      <c r="M1188">
        <f>COUNTIF($A$2:A1188,A1188)</f>
        <v>10</v>
      </c>
    </row>
    <row r="1189" spans="1:13" x14ac:dyDescent="0.3">
      <c r="A1189">
        <v>22602</v>
      </c>
      <c r="B1189" t="s">
        <v>727</v>
      </c>
      <c r="C1189" t="s">
        <v>659</v>
      </c>
      <c r="D1189" t="s">
        <v>660</v>
      </c>
      <c r="E1189">
        <v>21</v>
      </c>
      <c r="F1189">
        <v>50</v>
      </c>
      <c r="G1189">
        <v>50</v>
      </c>
      <c r="H1189">
        <v>0</v>
      </c>
      <c r="I1189">
        <v>0</v>
      </c>
      <c r="J1189" s="1">
        <v>45928.075351446758</v>
      </c>
      <c r="K1189" t="s">
        <v>741</v>
      </c>
      <c r="L1189">
        <f t="shared" si="18"/>
        <v>1188</v>
      </c>
      <c r="M1189">
        <f>COUNTIF($A$2:A1189,A1189)</f>
        <v>11</v>
      </c>
    </row>
    <row r="1190" spans="1:13" x14ac:dyDescent="0.3">
      <c r="A1190">
        <v>22602</v>
      </c>
      <c r="B1190" t="s">
        <v>727</v>
      </c>
      <c r="C1190" t="s">
        <v>661</v>
      </c>
      <c r="D1190" t="s">
        <v>662</v>
      </c>
      <c r="E1190">
        <v>0</v>
      </c>
      <c r="F1190">
        <v>100</v>
      </c>
      <c r="G1190">
        <v>0</v>
      </c>
      <c r="H1190">
        <v>0</v>
      </c>
      <c r="I1190">
        <v>0</v>
      </c>
      <c r="J1190" s="1">
        <v>45928.075371851854</v>
      </c>
      <c r="K1190" t="s">
        <v>741</v>
      </c>
      <c r="L1190">
        <f t="shared" si="18"/>
        <v>1189</v>
      </c>
      <c r="M1190">
        <f>COUNTIF($A$2:A1190,A1190)</f>
        <v>12</v>
      </c>
    </row>
    <row r="1191" spans="1:13" x14ac:dyDescent="0.3">
      <c r="A1191">
        <v>22602</v>
      </c>
      <c r="B1191" t="s">
        <v>727</v>
      </c>
      <c r="C1191" t="s">
        <v>735</v>
      </c>
      <c r="D1191" t="s">
        <v>736</v>
      </c>
      <c r="E1191">
        <v>13</v>
      </c>
      <c r="F1191">
        <v>50</v>
      </c>
      <c r="G1191">
        <v>50</v>
      </c>
      <c r="H1191">
        <v>0</v>
      </c>
      <c r="I1191">
        <v>0</v>
      </c>
      <c r="J1191" s="1">
        <v>45928.075390983795</v>
      </c>
      <c r="K1191" t="s">
        <v>741</v>
      </c>
      <c r="L1191">
        <f t="shared" si="18"/>
        <v>1190</v>
      </c>
      <c r="M1191">
        <f>COUNTIF($A$2:A1191,A1191)</f>
        <v>13</v>
      </c>
    </row>
    <row r="1192" spans="1:13" x14ac:dyDescent="0.3">
      <c r="A1192">
        <v>22602</v>
      </c>
      <c r="B1192" t="s">
        <v>727</v>
      </c>
      <c r="C1192" t="s">
        <v>733</v>
      </c>
      <c r="D1192" t="s">
        <v>734</v>
      </c>
      <c r="E1192">
        <v>12</v>
      </c>
      <c r="F1192">
        <v>75</v>
      </c>
      <c r="G1192">
        <v>25</v>
      </c>
      <c r="H1192">
        <v>0</v>
      </c>
      <c r="I1192">
        <v>0</v>
      </c>
      <c r="J1192" s="1">
        <v>45928.075413657411</v>
      </c>
      <c r="K1192" t="s">
        <v>741</v>
      </c>
      <c r="L1192">
        <f t="shared" si="18"/>
        <v>1191</v>
      </c>
      <c r="M1192">
        <f>COUNTIF($A$2:A1192,A1192)</f>
        <v>14</v>
      </c>
    </row>
    <row r="1193" spans="1:13" x14ac:dyDescent="0.3">
      <c r="A1193">
        <v>22602</v>
      </c>
      <c r="B1193" t="s">
        <v>727</v>
      </c>
      <c r="C1193" t="s">
        <v>731</v>
      </c>
      <c r="D1193" t="s">
        <v>732</v>
      </c>
      <c r="E1193">
        <v>19</v>
      </c>
      <c r="F1193">
        <v>25</v>
      </c>
      <c r="G1193">
        <v>75</v>
      </c>
      <c r="H1193">
        <v>0</v>
      </c>
      <c r="I1193">
        <v>0</v>
      </c>
      <c r="J1193" s="1">
        <v>45928.075440694447</v>
      </c>
      <c r="K1193" t="s">
        <v>741</v>
      </c>
      <c r="L1193">
        <f t="shared" si="18"/>
        <v>1192</v>
      </c>
      <c r="M1193">
        <f>COUNTIF($A$2:A1193,A1193)</f>
        <v>15</v>
      </c>
    </row>
    <row r="1194" spans="1:13" x14ac:dyDescent="0.3">
      <c r="A1194">
        <v>22602</v>
      </c>
      <c r="B1194" t="s">
        <v>727</v>
      </c>
      <c r="C1194" t="s">
        <v>190</v>
      </c>
      <c r="D1194" t="s">
        <v>191</v>
      </c>
      <c r="E1194">
        <v>4</v>
      </c>
      <c r="F1194">
        <v>75</v>
      </c>
      <c r="G1194">
        <v>25</v>
      </c>
      <c r="H1194">
        <v>0</v>
      </c>
      <c r="I1194">
        <v>0</v>
      </c>
      <c r="J1194" s="1">
        <v>45928.075460208333</v>
      </c>
      <c r="K1194" t="s">
        <v>741</v>
      </c>
      <c r="L1194">
        <f t="shared" si="18"/>
        <v>1193</v>
      </c>
      <c r="M1194">
        <f>COUNTIF($A$2:A1194,A1194)</f>
        <v>16</v>
      </c>
    </row>
    <row r="1195" spans="1:13" x14ac:dyDescent="0.3">
      <c r="A1195">
        <v>22602</v>
      </c>
      <c r="B1195" t="s">
        <v>727</v>
      </c>
      <c r="C1195" t="s">
        <v>729</v>
      </c>
      <c r="D1195" t="s">
        <v>730</v>
      </c>
      <c r="E1195">
        <v>8</v>
      </c>
      <c r="F1195">
        <v>75</v>
      </c>
      <c r="G1195">
        <v>25</v>
      </c>
      <c r="H1195">
        <v>0</v>
      </c>
      <c r="I1195">
        <v>0</v>
      </c>
      <c r="J1195" s="1">
        <v>45928.075477106482</v>
      </c>
      <c r="K1195" t="s">
        <v>741</v>
      </c>
      <c r="L1195">
        <f t="shared" si="18"/>
        <v>1194</v>
      </c>
      <c r="M1195">
        <f>COUNTIF($A$2:A1195,A1195)</f>
        <v>17</v>
      </c>
    </row>
    <row r="1196" spans="1:13" x14ac:dyDescent="0.3">
      <c r="A1196">
        <v>22602</v>
      </c>
      <c r="B1196" t="s">
        <v>727</v>
      </c>
      <c r="C1196" t="s">
        <v>192</v>
      </c>
      <c r="D1196" t="s">
        <v>193</v>
      </c>
      <c r="E1196">
        <v>8</v>
      </c>
      <c r="F1196">
        <v>75</v>
      </c>
      <c r="G1196">
        <v>25</v>
      </c>
      <c r="H1196">
        <v>0</v>
      </c>
      <c r="I1196">
        <v>0</v>
      </c>
      <c r="J1196" s="1">
        <v>45928.075495381941</v>
      </c>
      <c r="K1196" t="s">
        <v>741</v>
      </c>
      <c r="L1196">
        <f t="shared" si="18"/>
        <v>1195</v>
      </c>
      <c r="M1196">
        <f>COUNTIF($A$2:A1196,A1196)</f>
        <v>18</v>
      </c>
    </row>
    <row r="1197" spans="1:13" x14ac:dyDescent="0.3">
      <c r="A1197">
        <v>22602</v>
      </c>
      <c r="B1197" t="s">
        <v>727</v>
      </c>
      <c r="C1197" t="s">
        <v>194</v>
      </c>
      <c r="D1197" t="s">
        <v>195</v>
      </c>
      <c r="E1197">
        <v>12</v>
      </c>
      <c r="F1197">
        <v>50</v>
      </c>
      <c r="G1197">
        <v>50</v>
      </c>
      <c r="H1197">
        <v>0</v>
      </c>
      <c r="I1197">
        <v>0</v>
      </c>
      <c r="J1197" s="1">
        <v>45928.075513055555</v>
      </c>
      <c r="K1197" t="s">
        <v>741</v>
      </c>
      <c r="L1197">
        <f t="shared" si="18"/>
        <v>1196</v>
      </c>
      <c r="M1197">
        <f>COUNTIF($A$2:A1197,A1197)</f>
        <v>19</v>
      </c>
    </row>
    <row r="1198" spans="1:13" x14ac:dyDescent="0.3">
      <c r="A1198">
        <v>22602</v>
      </c>
      <c r="B1198" t="s">
        <v>727</v>
      </c>
      <c r="C1198" t="s">
        <v>21</v>
      </c>
      <c r="D1198" t="s">
        <v>22</v>
      </c>
      <c r="E1198">
        <v>2</v>
      </c>
      <c r="F1198">
        <v>100</v>
      </c>
      <c r="G1198">
        <v>0</v>
      </c>
      <c r="H1198">
        <v>0</v>
      </c>
      <c r="I1198">
        <v>0</v>
      </c>
      <c r="J1198" s="1">
        <v>45928.075533113428</v>
      </c>
      <c r="K1198" t="s">
        <v>741</v>
      </c>
      <c r="L1198">
        <f t="shared" si="18"/>
        <v>1197</v>
      </c>
      <c r="M1198">
        <f>COUNTIF($A$2:A1198,A1198)</f>
        <v>20</v>
      </c>
    </row>
    <row r="1199" spans="1:13" x14ac:dyDescent="0.3">
      <c r="A1199">
        <v>22602</v>
      </c>
      <c r="B1199" t="s">
        <v>727</v>
      </c>
      <c r="C1199" t="s">
        <v>19</v>
      </c>
      <c r="D1199" t="s">
        <v>20</v>
      </c>
      <c r="E1199">
        <v>5</v>
      </c>
      <c r="F1199">
        <v>100</v>
      </c>
      <c r="G1199">
        <v>0</v>
      </c>
      <c r="H1199">
        <v>0</v>
      </c>
      <c r="I1199">
        <v>0</v>
      </c>
      <c r="J1199" s="1">
        <v>45928.075551724534</v>
      </c>
      <c r="K1199" t="s">
        <v>741</v>
      </c>
      <c r="L1199">
        <f t="shared" si="18"/>
        <v>1198</v>
      </c>
      <c r="M1199">
        <f>COUNTIF($A$2:A1199,A1199)</f>
        <v>21</v>
      </c>
    </row>
    <row r="1200" spans="1:13" x14ac:dyDescent="0.3">
      <c r="A1200">
        <v>22602</v>
      </c>
      <c r="B1200" t="s">
        <v>727</v>
      </c>
      <c r="C1200" t="s">
        <v>17</v>
      </c>
      <c r="D1200" t="s">
        <v>18</v>
      </c>
      <c r="F1200">
        <v>100</v>
      </c>
      <c r="G1200">
        <v>0</v>
      </c>
      <c r="H1200">
        <v>0</v>
      </c>
      <c r="I1200">
        <v>0</v>
      </c>
      <c r="J1200" s="1">
        <v>45928.075572453701</v>
      </c>
      <c r="K1200" t="s">
        <v>741</v>
      </c>
      <c r="L1200">
        <f t="shared" si="18"/>
        <v>1199</v>
      </c>
      <c r="M1200">
        <f>COUNTIF($A$2:A1200,A1200)</f>
        <v>22</v>
      </c>
    </row>
    <row r="1201" spans="1:13" x14ac:dyDescent="0.3">
      <c r="A1201">
        <v>22602</v>
      </c>
      <c r="B1201" t="s">
        <v>727</v>
      </c>
      <c r="C1201" t="s">
        <v>34</v>
      </c>
      <c r="D1201" t="s">
        <v>35</v>
      </c>
      <c r="E1201">
        <v>19</v>
      </c>
      <c r="F1201">
        <v>50</v>
      </c>
      <c r="G1201">
        <v>50</v>
      </c>
      <c r="H1201">
        <v>0</v>
      </c>
      <c r="I1201">
        <v>0</v>
      </c>
      <c r="J1201" s="1">
        <v>45928.075592951391</v>
      </c>
      <c r="K1201" t="s">
        <v>741</v>
      </c>
      <c r="L1201">
        <f t="shared" si="18"/>
        <v>1200</v>
      </c>
      <c r="M1201">
        <f>COUNTIF($A$2:A1201,A1201)</f>
        <v>23</v>
      </c>
    </row>
    <row r="1202" spans="1:13" x14ac:dyDescent="0.3">
      <c r="A1202">
        <v>22602</v>
      </c>
      <c r="B1202" t="s">
        <v>727</v>
      </c>
      <c r="C1202" t="s">
        <v>12</v>
      </c>
      <c r="D1202" t="s">
        <v>13</v>
      </c>
      <c r="E1202">
        <v>10</v>
      </c>
      <c r="F1202">
        <v>75</v>
      </c>
      <c r="G1202">
        <v>25</v>
      </c>
      <c r="H1202">
        <v>0</v>
      </c>
      <c r="I1202">
        <v>0</v>
      </c>
      <c r="J1202" s="1">
        <v>45928.075613969908</v>
      </c>
      <c r="K1202" t="s">
        <v>741</v>
      </c>
      <c r="L1202">
        <f t="shared" si="18"/>
        <v>1201</v>
      </c>
      <c r="M1202">
        <f>COUNTIF($A$2:A1202,A1202)</f>
        <v>24</v>
      </c>
    </row>
    <row r="1203" spans="1:13" x14ac:dyDescent="0.3">
      <c r="A1203">
        <v>12009</v>
      </c>
      <c r="B1203" t="s">
        <v>315</v>
      </c>
      <c r="C1203" t="s">
        <v>287</v>
      </c>
      <c r="D1203" t="s">
        <v>288</v>
      </c>
      <c r="E1203">
        <v>1</v>
      </c>
      <c r="F1203">
        <v>100</v>
      </c>
      <c r="G1203">
        <v>0</v>
      </c>
      <c r="H1203">
        <v>0</v>
      </c>
      <c r="I1203">
        <v>0</v>
      </c>
      <c r="J1203" s="1">
        <v>45928.07566328704</v>
      </c>
      <c r="K1203" t="s">
        <v>742</v>
      </c>
      <c r="L1203">
        <f t="shared" si="18"/>
        <v>1202</v>
      </c>
      <c r="M1203">
        <f>COUNTIF($A$2:A1203,A1203)</f>
        <v>1</v>
      </c>
    </row>
    <row r="1204" spans="1:13" x14ac:dyDescent="0.3">
      <c r="A1204">
        <v>12009</v>
      </c>
      <c r="B1204" t="s">
        <v>315</v>
      </c>
      <c r="C1204" t="s">
        <v>290</v>
      </c>
      <c r="D1204" t="s">
        <v>291</v>
      </c>
      <c r="E1204">
        <v>13</v>
      </c>
      <c r="F1204">
        <v>72</v>
      </c>
      <c r="G1204">
        <v>28</v>
      </c>
      <c r="H1204">
        <v>0</v>
      </c>
      <c r="I1204">
        <v>0</v>
      </c>
      <c r="J1204" s="1">
        <v>45928.075678402776</v>
      </c>
      <c r="K1204" t="s">
        <v>742</v>
      </c>
      <c r="L1204">
        <f t="shared" si="18"/>
        <v>1203</v>
      </c>
      <c r="M1204">
        <f>COUNTIF($A$2:A1204,A1204)</f>
        <v>2</v>
      </c>
    </row>
    <row r="1205" spans="1:13" x14ac:dyDescent="0.3">
      <c r="A1205">
        <v>12009</v>
      </c>
      <c r="B1205" t="s">
        <v>315</v>
      </c>
      <c r="C1205" t="s">
        <v>519</v>
      </c>
      <c r="D1205" t="s">
        <v>519</v>
      </c>
      <c r="E1205">
        <v>19</v>
      </c>
      <c r="F1205">
        <v>16</v>
      </c>
      <c r="G1205">
        <v>84</v>
      </c>
      <c r="H1205">
        <v>0</v>
      </c>
      <c r="I1205">
        <v>0</v>
      </c>
      <c r="J1205" s="1">
        <v>45928.075699456022</v>
      </c>
      <c r="K1205" t="s">
        <v>742</v>
      </c>
      <c r="L1205">
        <f t="shared" si="18"/>
        <v>1204</v>
      </c>
      <c r="M1205">
        <f>COUNTIF($A$2:A1205,A1205)</f>
        <v>3</v>
      </c>
    </row>
    <row r="1206" spans="1:13" x14ac:dyDescent="0.3">
      <c r="A1206">
        <v>12009</v>
      </c>
      <c r="B1206" t="s">
        <v>315</v>
      </c>
      <c r="C1206" t="s">
        <v>292</v>
      </c>
      <c r="D1206" t="s">
        <v>293</v>
      </c>
      <c r="E1206">
        <v>10</v>
      </c>
      <c r="F1206">
        <v>84</v>
      </c>
      <c r="G1206">
        <v>16</v>
      </c>
      <c r="H1206">
        <v>0</v>
      </c>
      <c r="I1206">
        <v>0</v>
      </c>
      <c r="J1206" s="1">
        <v>45928.075717708336</v>
      </c>
      <c r="K1206" t="s">
        <v>742</v>
      </c>
      <c r="L1206">
        <f t="shared" si="18"/>
        <v>1205</v>
      </c>
      <c r="M1206">
        <f>COUNTIF($A$2:A1206,A1206)</f>
        <v>4</v>
      </c>
    </row>
    <row r="1207" spans="1:13" x14ac:dyDescent="0.3">
      <c r="A1207">
        <v>12009</v>
      </c>
      <c r="B1207" t="s">
        <v>315</v>
      </c>
      <c r="C1207" t="s">
        <v>524</v>
      </c>
      <c r="D1207" t="s">
        <v>525</v>
      </c>
      <c r="E1207">
        <v>13</v>
      </c>
      <c r="F1207">
        <v>72</v>
      </c>
      <c r="G1207">
        <v>28</v>
      </c>
      <c r="H1207">
        <v>0</v>
      </c>
      <c r="I1207">
        <v>0</v>
      </c>
      <c r="J1207" s="1">
        <v>45928.075736724539</v>
      </c>
      <c r="K1207" t="s">
        <v>742</v>
      </c>
      <c r="L1207">
        <f t="shared" si="18"/>
        <v>1206</v>
      </c>
      <c r="M1207">
        <f>COUNTIF($A$2:A1207,A1207)</f>
        <v>5</v>
      </c>
    </row>
    <row r="1208" spans="1:13" x14ac:dyDescent="0.3">
      <c r="A1208">
        <v>12009</v>
      </c>
      <c r="B1208" t="s">
        <v>315</v>
      </c>
      <c r="C1208" t="s">
        <v>294</v>
      </c>
      <c r="D1208" t="s">
        <v>295</v>
      </c>
      <c r="E1208">
        <v>7</v>
      </c>
      <c r="F1208">
        <v>96</v>
      </c>
      <c r="G1208">
        <v>4</v>
      </c>
      <c r="H1208">
        <v>0</v>
      </c>
      <c r="I1208">
        <v>0</v>
      </c>
      <c r="J1208" s="1">
        <v>45928.075754282407</v>
      </c>
      <c r="K1208" t="s">
        <v>742</v>
      </c>
      <c r="L1208">
        <f t="shared" si="18"/>
        <v>1207</v>
      </c>
      <c r="M1208">
        <f>COUNTIF($A$2:A1208,A1208)</f>
        <v>6</v>
      </c>
    </row>
    <row r="1209" spans="1:13" x14ac:dyDescent="0.3">
      <c r="A1209">
        <v>12009</v>
      </c>
      <c r="B1209" t="s">
        <v>315</v>
      </c>
      <c r="C1209" t="s">
        <v>743</v>
      </c>
      <c r="D1209" t="s">
        <v>744</v>
      </c>
      <c r="E1209">
        <v>8</v>
      </c>
      <c r="F1209">
        <v>92</v>
      </c>
      <c r="G1209">
        <v>8</v>
      </c>
      <c r="H1209">
        <v>0</v>
      </c>
      <c r="I1209">
        <v>0</v>
      </c>
      <c r="J1209" s="1">
        <v>45928.075773460645</v>
      </c>
      <c r="K1209" t="s">
        <v>742</v>
      </c>
      <c r="L1209">
        <f t="shared" si="18"/>
        <v>1208</v>
      </c>
      <c r="M1209">
        <f>COUNTIF($A$2:A1209,A1209)</f>
        <v>7</v>
      </c>
    </row>
    <row r="1210" spans="1:13" x14ac:dyDescent="0.3">
      <c r="A1210">
        <v>12009</v>
      </c>
      <c r="B1210" t="s">
        <v>315</v>
      </c>
      <c r="C1210" t="s">
        <v>745</v>
      </c>
      <c r="D1210" t="s">
        <v>746</v>
      </c>
      <c r="E1210">
        <v>7</v>
      </c>
      <c r="F1210">
        <v>96</v>
      </c>
      <c r="G1210">
        <v>4</v>
      </c>
      <c r="H1210">
        <v>0</v>
      </c>
      <c r="I1210">
        <v>0</v>
      </c>
      <c r="J1210" s="1">
        <v>45928.075789722221</v>
      </c>
      <c r="K1210" t="s">
        <v>742</v>
      </c>
      <c r="L1210">
        <f t="shared" si="18"/>
        <v>1209</v>
      </c>
      <c r="M1210">
        <f>COUNTIF($A$2:A1210,A1210)</f>
        <v>8</v>
      </c>
    </row>
    <row r="1211" spans="1:13" x14ac:dyDescent="0.3">
      <c r="A1211">
        <v>12009</v>
      </c>
      <c r="B1211" t="s">
        <v>315</v>
      </c>
      <c r="C1211" t="s">
        <v>747</v>
      </c>
      <c r="D1211" t="s">
        <v>748</v>
      </c>
      <c r="F1211">
        <v>92</v>
      </c>
      <c r="G1211">
        <v>8</v>
      </c>
      <c r="H1211">
        <v>0</v>
      </c>
      <c r="I1211">
        <v>0</v>
      </c>
      <c r="J1211" s="1">
        <v>45928.075809768518</v>
      </c>
      <c r="K1211" t="s">
        <v>742</v>
      </c>
      <c r="L1211">
        <f t="shared" si="18"/>
        <v>1210</v>
      </c>
      <c r="M1211">
        <f>COUNTIF($A$2:A1211,A1211)</f>
        <v>9</v>
      </c>
    </row>
    <row r="1212" spans="1:13" x14ac:dyDescent="0.3">
      <c r="A1212">
        <v>12010</v>
      </c>
      <c r="B1212" t="s">
        <v>315</v>
      </c>
      <c r="C1212" t="s">
        <v>747</v>
      </c>
      <c r="D1212" t="s">
        <v>748</v>
      </c>
      <c r="E1212">
        <v>0</v>
      </c>
      <c r="F1212">
        <v>100</v>
      </c>
      <c r="G1212">
        <v>0</v>
      </c>
      <c r="H1212">
        <v>0</v>
      </c>
      <c r="I1212">
        <v>0</v>
      </c>
      <c r="J1212" s="1">
        <v>45928.075851284724</v>
      </c>
      <c r="K1212" t="s">
        <v>749</v>
      </c>
      <c r="L1212">
        <f t="shared" si="18"/>
        <v>1211</v>
      </c>
      <c r="M1212">
        <f>COUNTIF($A$2:A1212,A1212)</f>
        <v>1</v>
      </c>
    </row>
    <row r="1213" spans="1:13" x14ac:dyDescent="0.3">
      <c r="A1213">
        <v>12010</v>
      </c>
      <c r="B1213" t="s">
        <v>315</v>
      </c>
      <c r="C1213" t="s">
        <v>745</v>
      </c>
      <c r="D1213" t="s">
        <v>746</v>
      </c>
      <c r="E1213">
        <v>9</v>
      </c>
      <c r="F1213">
        <v>84</v>
      </c>
      <c r="G1213">
        <v>16</v>
      </c>
      <c r="H1213">
        <v>0</v>
      </c>
      <c r="I1213">
        <v>0</v>
      </c>
      <c r="J1213" s="1">
        <v>45928.075869675929</v>
      </c>
      <c r="K1213" t="s">
        <v>749</v>
      </c>
      <c r="L1213">
        <f t="shared" si="18"/>
        <v>1212</v>
      </c>
      <c r="M1213">
        <f>COUNTIF($A$2:A1213,A1213)</f>
        <v>2</v>
      </c>
    </row>
    <row r="1214" spans="1:13" x14ac:dyDescent="0.3">
      <c r="A1214">
        <v>12010</v>
      </c>
      <c r="B1214" t="s">
        <v>315</v>
      </c>
      <c r="C1214" t="s">
        <v>743</v>
      </c>
      <c r="D1214" t="s">
        <v>744</v>
      </c>
      <c r="E1214">
        <v>5</v>
      </c>
      <c r="F1214">
        <v>96</v>
      </c>
      <c r="G1214">
        <v>4</v>
      </c>
      <c r="H1214">
        <v>0</v>
      </c>
      <c r="I1214">
        <v>0</v>
      </c>
      <c r="J1214" s="1">
        <v>45928.075884918981</v>
      </c>
      <c r="K1214" t="s">
        <v>749</v>
      </c>
      <c r="L1214">
        <f t="shared" si="18"/>
        <v>1213</v>
      </c>
      <c r="M1214">
        <f>COUNTIF($A$2:A1214,A1214)</f>
        <v>3</v>
      </c>
    </row>
    <row r="1215" spans="1:13" x14ac:dyDescent="0.3">
      <c r="A1215">
        <v>12010</v>
      </c>
      <c r="B1215" t="s">
        <v>315</v>
      </c>
      <c r="C1215" t="s">
        <v>294</v>
      </c>
      <c r="D1215" t="s">
        <v>295</v>
      </c>
      <c r="E1215">
        <v>5</v>
      </c>
      <c r="F1215">
        <v>96</v>
      </c>
      <c r="G1215">
        <v>4</v>
      </c>
      <c r="H1215">
        <v>0</v>
      </c>
      <c r="I1215">
        <v>0</v>
      </c>
      <c r="J1215" s="1">
        <v>45928.075902164353</v>
      </c>
      <c r="K1215" t="s">
        <v>749</v>
      </c>
      <c r="L1215">
        <f t="shared" si="18"/>
        <v>1214</v>
      </c>
      <c r="M1215">
        <f>COUNTIF($A$2:A1215,A1215)</f>
        <v>4</v>
      </c>
    </row>
    <row r="1216" spans="1:13" x14ac:dyDescent="0.3">
      <c r="A1216">
        <v>12010</v>
      </c>
      <c r="B1216" t="s">
        <v>315</v>
      </c>
      <c r="C1216" t="s">
        <v>524</v>
      </c>
      <c r="D1216" t="s">
        <v>525</v>
      </c>
      <c r="F1216">
        <v>100</v>
      </c>
      <c r="G1216">
        <v>0</v>
      </c>
      <c r="H1216">
        <v>0</v>
      </c>
      <c r="I1216">
        <v>0</v>
      </c>
      <c r="J1216" s="1">
        <v>45928.075924722223</v>
      </c>
      <c r="K1216" t="s">
        <v>749</v>
      </c>
      <c r="L1216">
        <f t="shared" si="18"/>
        <v>1215</v>
      </c>
      <c r="M1216">
        <f>COUNTIF($A$2:A1216,A1216)</f>
        <v>5</v>
      </c>
    </row>
    <row r="1217" spans="1:13" x14ac:dyDescent="0.3">
      <c r="A1217">
        <v>12010</v>
      </c>
      <c r="B1217" t="s">
        <v>315</v>
      </c>
      <c r="C1217" t="s">
        <v>292</v>
      </c>
      <c r="D1217" t="s">
        <v>293</v>
      </c>
      <c r="E1217">
        <v>3</v>
      </c>
      <c r="F1217">
        <v>100</v>
      </c>
      <c r="G1217">
        <v>0</v>
      </c>
      <c r="H1217">
        <v>0</v>
      </c>
      <c r="I1217">
        <v>0</v>
      </c>
      <c r="J1217" s="1">
        <v>45928.075942523152</v>
      </c>
      <c r="K1217" t="s">
        <v>749</v>
      </c>
      <c r="L1217">
        <f t="shared" si="18"/>
        <v>1216</v>
      </c>
      <c r="M1217">
        <f>COUNTIF($A$2:A1217,A1217)</f>
        <v>6</v>
      </c>
    </row>
    <row r="1218" spans="1:13" x14ac:dyDescent="0.3">
      <c r="A1218">
        <v>12010</v>
      </c>
      <c r="B1218" t="s">
        <v>315</v>
      </c>
      <c r="C1218" t="s">
        <v>519</v>
      </c>
      <c r="D1218" t="s">
        <v>519</v>
      </c>
      <c r="F1218">
        <v>100</v>
      </c>
      <c r="G1218">
        <v>0</v>
      </c>
      <c r="H1218">
        <v>0</v>
      </c>
      <c r="I1218">
        <v>0</v>
      </c>
      <c r="J1218" s="1">
        <v>45928.07596548611</v>
      </c>
      <c r="K1218" t="s">
        <v>749</v>
      </c>
      <c r="L1218">
        <f t="shared" ref="L1218:L1281" si="19">ROW()-1</f>
        <v>1217</v>
      </c>
      <c r="M1218">
        <f>COUNTIF($A$2:A1218,A1218)</f>
        <v>7</v>
      </c>
    </row>
    <row r="1219" spans="1:13" x14ac:dyDescent="0.3">
      <c r="A1219">
        <v>12010</v>
      </c>
      <c r="B1219" t="s">
        <v>315</v>
      </c>
      <c r="C1219" t="s">
        <v>290</v>
      </c>
      <c r="D1219" t="s">
        <v>291</v>
      </c>
      <c r="E1219">
        <v>21</v>
      </c>
      <c r="F1219">
        <v>12</v>
      </c>
      <c r="G1219">
        <v>88</v>
      </c>
      <c r="H1219">
        <v>0</v>
      </c>
      <c r="I1219">
        <v>0</v>
      </c>
      <c r="J1219" s="1">
        <v>45928.075984409719</v>
      </c>
      <c r="K1219" t="s">
        <v>749</v>
      </c>
      <c r="L1219">
        <f t="shared" si="19"/>
        <v>1218</v>
      </c>
      <c r="M1219">
        <f>COUNTIF($A$2:A1219,A1219)</f>
        <v>8</v>
      </c>
    </row>
    <row r="1220" spans="1:13" x14ac:dyDescent="0.3">
      <c r="A1220">
        <v>12010</v>
      </c>
      <c r="B1220" t="s">
        <v>315</v>
      </c>
      <c r="C1220" t="s">
        <v>287</v>
      </c>
      <c r="D1220" t="s">
        <v>288</v>
      </c>
      <c r="E1220">
        <v>2</v>
      </c>
      <c r="F1220">
        <v>96</v>
      </c>
      <c r="G1220">
        <v>4</v>
      </c>
      <c r="H1220">
        <v>0</v>
      </c>
      <c r="I1220">
        <v>0</v>
      </c>
      <c r="J1220" s="1">
        <v>45928.076005092589</v>
      </c>
      <c r="K1220" t="s">
        <v>749</v>
      </c>
      <c r="L1220">
        <f t="shared" si="19"/>
        <v>1219</v>
      </c>
      <c r="M1220">
        <f>COUNTIF($A$2:A1220,A1220)</f>
        <v>9</v>
      </c>
    </row>
    <row r="1221" spans="1:13" x14ac:dyDescent="0.3">
      <c r="A1221">
        <v>12019</v>
      </c>
      <c r="B1221" t="s">
        <v>315</v>
      </c>
      <c r="C1221" t="s">
        <v>114</v>
      </c>
      <c r="D1221" t="s">
        <v>115</v>
      </c>
      <c r="E1221">
        <v>1</v>
      </c>
      <c r="F1221">
        <v>100</v>
      </c>
      <c r="G1221">
        <v>0</v>
      </c>
      <c r="H1221">
        <v>0</v>
      </c>
      <c r="I1221">
        <v>0</v>
      </c>
      <c r="J1221" s="1">
        <v>45928.076049363422</v>
      </c>
      <c r="K1221" t="s">
        <v>750</v>
      </c>
      <c r="L1221">
        <f t="shared" si="19"/>
        <v>1220</v>
      </c>
      <c r="M1221">
        <f>COUNTIF($A$2:A1221,A1221)</f>
        <v>1</v>
      </c>
    </row>
    <row r="1222" spans="1:13" x14ac:dyDescent="0.3">
      <c r="A1222">
        <v>12019</v>
      </c>
      <c r="B1222" t="s">
        <v>315</v>
      </c>
      <c r="C1222" t="s">
        <v>751</v>
      </c>
      <c r="D1222" t="s">
        <v>752</v>
      </c>
      <c r="E1222">
        <v>12</v>
      </c>
      <c r="F1222">
        <v>80</v>
      </c>
      <c r="G1222">
        <v>20</v>
      </c>
      <c r="H1222">
        <v>0</v>
      </c>
      <c r="I1222">
        <v>0</v>
      </c>
      <c r="J1222" s="1">
        <v>45928.076068576389</v>
      </c>
      <c r="K1222" t="s">
        <v>750</v>
      </c>
      <c r="L1222">
        <f t="shared" si="19"/>
        <v>1221</v>
      </c>
      <c r="M1222">
        <f>COUNTIF($A$2:A1222,A1222)</f>
        <v>2</v>
      </c>
    </row>
    <row r="1223" spans="1:13" x14ac:dyDescent="0.3">
      <c r="A1223">
        <v>12019</v>
      </c>
      <c r="B1223" t="s">
        <v>315</v>
      </c>
      <c r="C1223" t="s">
        <v>753</v>
      </c>
      <c r="D1223" t="s">
        <v>754</v>
      </c>
      <c r="E1223">
        <v>14</v>
      </c>
      <c r="F1223">
        <v>72</v>
      </c>
      <c r="G1223">
        <v>28</v>
      </c>
      <c r="H1223">
        <v>0</v>
      </c>
      <c r="I1223">
        <v>0</v>
      </c>
      <c r="J1223" s="1">
        <v>45928.076088344904</v>
      </c>
      <c r="K1223" t="s">
        <v>750</v>
      </c>
      <c r="L1223">
        <f t="shared" si="19"/>
        <v>1222</v>
      </c>
      <c r="M1223">
        <f>COUNTIF($A$2:A1223,A1223)</f>
        <v>3</v>
      </c>
    </row>
    <row r="1224" spans="1:13" x14ac:dyDescent="0.3">
      <c r="A1224">
        <v>12019</v>
      </c>
      <c r="B1224" t="s">
        <v>315</v>
      </c>
      <c r="C1224" t="s">
        <v>755</v>
      </c>
      <c r="D1224" t="s">
        <v>756</v>
      </c>
      <c r="E1224">
        <v>16</v>
      </c>
      <c r="F1224">
        <v>64</v>
      </c>
      <c r="G1224">
        <v>36</v>
      </c>
      <c r="H1224">
        <v>0</v>
      </c>
      <c r="I1224">
        <v>0</v>
      </c>
      <c r="J1224" s="1">
        <v>45928.0761074537</v>
      </c>
      <c r="K1224" t="s">
        <v>750</v>
      </c>
      <c r="L1224">
        <f t="shared" si="19"/>
        <v>1223</v>
      </c>
      <c r="M1224">
        <f>COUNTIF($A$2:A1224,A1224)</f>
        <v>4</v>
      </c>
    </row>
    <row r="1225" spans="1:13" x14ac:dyDescent="0.3">
      <c r="A1225">
        <v>12019</v>
      </c>
      <c r="B1225" t="s">
        <v>315</v>
      </c>
      <c r="C1225" t="s">
        <v>757</v>
      </c>
      <c r="D1225" t="s">
        <v>758</v>
      </c>
      <c r="E1225">
        <v>3</v>
      </c>
      <c r="F1225">
        <v>100</v>
      </c>
      <c r="G1225">
        <v>0</v>
      </c>
      <c r="H1225">
        <v>0</v>
      </c>
      <c r="I1225">
        <v>0</v>
      </c>
      <c r="J1225" s="1">
        <v>45928.076124837964</v>
      </c>
      <c r="K1225" t="s">
        <v>750</v>
      </c>
      <c r="L1225">
        <f t="shared" si="19"/>
        <v>1224</v>
      </c>
      <c r="M1225">
        <f>COUNTIF($A$2:A1225,A1225)</f>
        <v>5</v>
      </c>
    </row>
    <row r="1226" spans="1:13" x14ac:dyDescent="0.3">
      <c r="A1226">
        <v>12019</v>
      </c>
      <c r="B1226" t="s">
        <v>315</v>
      </c>
      <c r="C1226" t="s">
        <v>759</v>
      </c>
      <c r="D1226" t="s">
        <v>760</v>
      </c>
      <c r="E1226">
        <v>4</v>
      </c>
      <c r="F1226">
        <v>96</v>
      </c>
      <c r="G1226">
        <v>4</v>
      </c>
      <c r="H1226">
        <v>0</v>
      </c>
      <c r="I1226">
        <v>0</v>
      </c>
      <c r="J1226" s="1">
        <v>45928.076143032406</v>
      </c>
      <c r="K1226" t="s">
        <v>750</v>
      </c>
      <c r="L1226">
        <f t="shared" si="19"/>
        <v>1225</v>
      </c>
      <c r="M1226">
        <f>COUNTIF($A$2:A1226,A1226)</f>
        <v>6</v>
      </c>
    </row>
    <row r="1227" spans="1:13" x14ac:dyDescent="0.3">
      <c r="A1227">
        <v>12019</v>
      </c>
      <c r="B1227" t="s">
        <v>315</v>
      </c>
      <c r="C1227" t="s">
        <v>761</v>
      </c>
      <c r="D1227" t="s">
        <v>762</v>
      </c>
      <c r="E1227">
        <v>1</v>
      </c>
      <c r="F1227">
        <v>100</v>
      </c>
      <c r="G1227">
        <v>0</v>
      </c>
      <c r="H1227">
        <v>0</v>
      </c>
      <c r="I1227">
        <v>0</v>
      </c>
      <c r="J1227" s="1">
        <v>45928.076161712961</v>
      </c>
      <c r="K1227" t="s">
        <v>750</v>
      </c>
      <c r="L1227">
        <f t="shared" si="19"/>
        <v>1226</v>
      </c>
      <c r="M1227">
        <f>COUNTIF($A$2:A1227,A1227)</f>
        <v>7</v>
      </c>
    </row>
    <row r="1228" spans="1:13" x14ac:dyDescent="0.3">
      <c r="A1228">
        <v>12019</v>
      </c>
      <c r="B1228" t="s">
        <v>315</v>
      </c>
      <c r="C1228" t="s">
        <v>763</v>
      </c>
      <c r="D1228" t="s">
        <v>763</v>
      </c>
      <c r="E1228">
        <v>6</v>
      </c>
      <c r="F1228">
        <v>92</v>
      </c>
      <c r="G1228">
        <v>8</v>
      </c>
      <c r="H1228">
        <v>0</v>
      </c>
      <c r="I1228">
        <v>0</v>
      </c>
      <c r="J1228" s="1">
        <v>45928.076178067131</v>
      </c>
      <c r="K1228" t="s">
        <v>750</v>
      </c>
      <c r="L1228">
        <f t="shared" si="19"/>
        <v>1227</v>
      </c>
      <c r="M1228">
        <f>COUNTIF($A$2:A1228,A1228)</f>
        <v>8</v>
      </c>
    </row>
    <row r="1229" spans="1:13" x14ac:dyDescent="0.3">
      <c r="A1229">
        <v>12019</v>
      </c>
      <c r="B1229" t="s">
        <v>315</v>
      </c>
      <c r="C1229" t="s">
        <v>764</v>
      </c>
      <c r="D1229" t="s">
        <v>765</v>
      </c>
      <c r="F1229">
        <v>96</v>
      </c>
      <c r="G1229">
        <v>4</v>
      </c>
      <c r="H1229">
        <v>0</v>
      </c>
      <c r="I1229">
        <v>0</v>
      </c>
      <c r="J1229" s="1">
        <v>45928.076196805552</v>
      </c>
      <c r="K1229" t="s">
        <v>750</v>
      </c>
      <c r="L1229">
        <f t="shared" si="19"/>
        <v>1228</v>
      </c>
      <c r="M1229">
        <f>COUNTIF($A$2:A1229,A1229)</f>
        <v>9</v>
      </c>
    </row>
    <row r="1230" spans="1:13" x14ac:dyDescent="0.3">
      <c r="A1230">
        <v>12020</v>
      </c>
      <c r="B1230" t="s">
        <v>315</v>
      </c>
      <c r="C1230" t="s">
        <v>764</v>
      </c>
      <c r="D1230" t="s">
        <v>765</v>
      </c>
      <c r="E1230">
        <v>2</v>
      </c>
      <c r="F1230">
        <v>96</v>
      </c>
      <c r="G1230">
        <v>4</v>
      </c>
      <c r="H1230">
        <v>0</v>
      </c>
      <c r="I1230">
        <v>0</v>
      </c>
      <c r="J1230" s="1">
        <v>45928.076259791669</v>
      </c>
      <c r="K1230" t="s">
        <v>766</v>
      </c>
      <c r="L1230">
        <f t="shared" si="19"/>
        <v>1229</v>
      </c>
      <c r="M1230">
        <f>COUNTIF($A$2:A1230,A1230)</f>
        <v>1</v>
      </c>
    </row>
    <row r="1231" spans="1:13" x14ac:dyDescent="0.3">
      <c r="A1231">
        <v>12020</v>
      </c>
      <c r="B1231" t="s">
        <v>315</v>
      </c>
      <c r="C1231" t="s">
        <v>763</v>
      </c>
      <c r="D1231" t="s">
        <v>763</v>
      </c>
      <c r="F1231">
        <v>100</v>
      </c>
      <c r="G1231">
        <v>0</v>
      </c>
      <c r="H1231">
        <v>0</v>
      </c>
      <c r="I1231">
        <v>0</v>
      </c>
      <c r="J1231" s="1">
        <v>45928.076284189818</v>
      </c>
      <c r="K1231" t="s">
        <v>766</v>
      </c>
      <c r="L1231">
        <f t="shared" si="19"/>
        <v>1230</v>
      </c>
      <c r="M1231">
        <f>COUNTIF($A$2:A1231,A1231)</f>
        <v>2</v>
      </c>
    </row>
    <row r="1232" spans="1:13" x14ac:dyDescent="0.3">
      <c r="A1232">
        <v>12020</v>
      </c>
      <c r="B1232" t="s">
        <v>315</v>
      </c>
      <c r="C1232" t="s">
        <v>761</v>
      </c>
      <c r="D1232" t="s">
        <v>762</v>
      </c>
      <c r="F1232">
        <v>88</v>
      </c>
      <c r="G1232">
        <v>12</v>
      </c>
      <c r="H1232">
        <v>0</v>
      </c>
      <c r="I1232">
        <v>0</v>
      </c>
      <c r="J1232" s="1">
        <v>45928.076308761571</v>
      </c>
      <c r="K1232" t="s">
        <v>766</v>
      </c>
      <c r="L1232">
        <f t="shared" si="19"/>
        <v>1231</v>
      </c>
      <c r="M1232">
        <f>COUNTIF($A$2:A1232,A1232)</f>
        <v>3</v>
      </c>
    </row>
    <row r="1233" spans="1:13" x14ac:dyDescent="0.3">
      <c r="A1233">
        <v>12020</v>
      </c>
      <c r="B1233" t="s">
        <v>315</v>
      </c>
      <c r="C1233" t="s">
        <v>759</v>
      </c>
      <c r="D1233" t="s">
        <v>760</v>
      </c>
      <c r="E1233">
        <v>6</v>
      </c>
      <c r="F1233">
        <v>88</v>
      </c>
      <c r="G1233">
        <v>12</v>
      </c>
      <c r="H1233">
        <v>0</v>
      </c>
      <c r="I1233">
        <v>0</v>
      </c>
      <c r="J1233" s="1">
        <v>45928.076326192131</v>
      </c>
      <c r="K1233" t="s">
        <v>766</v>
      </c>
      <c r="L1233">
        <f t="shared" si="19"/>
        <v>1232</v>
      </c>
      <c r="M1233">
        <f>COUNTIF($A$2:A1233,A1233)</f>
        <v>4</v>
      </c>
    </row>
    <row r="1234" spans="1:13" x14ac:dyDescent="0.3">
      <c r="A1234">
        <v>12020</v>
      </c>
      <c r="B1234" t="s">
        <v>315</v>
      </c>
      <c r="C1234" t="s">
        <v>757</v>
      </c>
      <c r="D1234" t="s">
        <v>758</v>
      </c>
      <c r="E1234">
        <v>6</v>
      </c>
      <c r="F1234">
        <v>92</v>
      </c>
      <c r="G1234">
        <v>8</v>
      </c>
      <c r="H1234">
        <v>0</v>
      </c>
      <c r="I1234">
        <v>0</v>
      </c>
      <c r="J1234" s="1">
        <v>45928.076345138892</v>
      </c>
      <c r="K1234" t="s">
        <v>766</v>
      </c>
      <c r="L1234">
        <f t="shared" si="19"/>
        <v>1233</v>
      </c>
      <c r="M1234">
        <f>COUNTIF($A$2:A1234,A1234)</f>
        <v>5</v>
      </c>
    </row>
    <row r="1235" spans="1:13" x14ac:dyDescent="0.3">
      <c r="A1235">
        <v>12020</v>
      </c>
      <c r="B1235" t="s">
        <v>315</v>
      </c>
      <c r="C1235" t="s">
        <v>755</v>
      </c>
      <c r="D1235" t="s">
        <v>756</v>
      </c>
      <c r="E1235">
        <v>18</v>
      </c>
      <c r="F1235">
        <v>72</v>
      </c>
      <c r="G1235">
        <v>24</v>
      </c>
      <c r="H1235">
        <v>4</v>
      </c>
      <c r="I1235">
        <v>0</v>
      </c>
      <c r="J1235" s="1">
        <v>45928.076363460648</v>
      </c>
      <c r="K1235" t="s">
        <v>766</v>
      </c>
      <c r="L1235">
        <f t="shared" si="19"/>
        <v>1234</v>
      </c>
      <c r="M1235">
        <f>COUNTIF($A$2:A1235,A1235)</f>
        <v>6</v>
      </c>
    </row>
    <row r="1236" spans="1:13" x14ac:dyDescent="0.3">
      <c r="A1236">
        <v>12020</v>
      </c>
      <c r="B1236" t="s">
        <v>315</v>
      </c>
      <c r="C1236" t="s">
        <v>753</v>
      </c>
      <c r="D1236" t="s">
        <v>754</v>
      </c>
      <c r="E1236">
        <v>15</v>
      </c>
      <c r="F1236">
        <v>60</v>
      </c>
      <c r="G1236">
        <v>36</v>
      </c>
      <c r="H1236">
        <v>4</v>
      </c>
      <c r="I1236">
        <v>0</v>
      </c>
      <c r="J1236" s="1">
        <v>45928.076381412036</v>
      </c>
      <c r="K1236" t="s">
        <v>766</v>
      </c>
      <c r="L1236">
        <f t="shared" si="19"/>
        <v>1235</v>
      </c>
      <c r="M1236">
        <f>COUNTIF($A$2:A1236,A1236)</f>
        <v>7</v>
      </c>
    </row>
    <row r="1237" spans="1:13" x14ac:dyDescent="0.3">
      <c r="A1237">
        <v>12020</v>
      </c>
      <c r="B1237" t="s">
        <v>315</v>
      </c>
      <c r="C1237" t="s">
        <v>751</v>
      </c>
      <c r="D1237" t="s">
        <v>752</v>
      </c>
      <c r="F1237">
        <v>72</v>
      </c>
      <c r="G1237">
        <v>24</v>
      </c>
      <c r="H1237">
        <v>4</v>
      </c>
      <c r="I1237">
        <v>0</v>
      </c>
      <c r="J1237" s="1">
        <v>45928.076411666669</v>
      </c>
      <c r="K1237" t="s">
        <v>766</v>
      </c>
      <c r="L1237">
        <f t="shared" si="19"/>
        <v>1236</v>
      </c>
      <c r="M1237">
        <f>COUNTIF($A$2:A1237,A1237)</f>
        <v>8</v>
      </c>
    </row>
    <row r="1238" spans="1:13" x14ac:dyDescent="0.3">
      <c r="A1238">
        <v>12020</v>
      </c>
      <c r="B1238" t="s">
        <v>315</v>
      </c>
      <c r="C1238" t="s">
        <v>114</v>
      </c>
      <c r="D1238" t="s">
        <v>115</v>
      </c>
      <c r="E1238">
        <v>7</v>
      </c>
      <c r="F1238">
        <v>80</v>
      </c>
      <c r="G1238">
        <v>16</v>
      </c>
      <c r="H1238">
        <v>4</v>
      </c>
      <c r="I1238">
        <v>0</v>
      </c>
      <c r="J1238" s="1">
        <v>45928.076430613422</v>
      </c>
      <c r="K1238" t="s">
        <v>766</v>
      </c>
      <c r="L1238">
        <f t="shared" si="19"/>
        <v>1237</v>
      </c>
      <c r="M1238">
        <f>COUNTIF($A$2:A1238,A1238)</f>
        <v>9</v>
      </c>
    </row>
    <row r="1239" spans="1:13" x14ac:dyDescent="0.3">
      <c r="A1239">
        <v>12049</v>
      </c>
      <c r="B1239" t="s">
        <v>767</v>
      </c>
      <c r="C1239" t="s">
        <v>102</v>
      </c>
      <c r="D1239" t="s">
        <v>103</v>
      </c>
      <c r="F1239">
        <v>100</v>
      </c>
      <c r="G1239">
        <v>0</v>
      </c>
      <c r="H1239">
        <v>0</v>
      </c>
      <c r="I1239">
        <v>0</v>
      </c>
      <c r="J1239" s="1">
        <v>45928.07653244213</v>
      </c>
      <c r="K1239" t="s">
        <v>768</v>
      </c>
      <c r="L1239">
        <f t="shared" si="19"/>
        <v>1238</v>
      </c>
      <c r="M1239">
        <f>COUNTIF($A$2:A1239,A1239)</f>
        <v>1</v>
      </c>
    </row>
    <row r="1240" spans="1:13" x14ac:dyDescent="0.3">
      <c r="A1240">
        <v>12049</v>
      </c>
      <c r="B1240" t="s">
        <v>767</v>
      </c>
      <c r="C1240" t="s">
        <v>104</v>
      </c>
      <c r="D1240" t="s">
        <v>105</v>
      </c>
      <c r="E1240">
        <v>2</v>
      </c>
      <c r="F1240">
        <v>96.15</v>
      </c>
      <c r="G1240">
        <v>3.85</v>
      </c>
      <c r="H1240">
        <v>0</v>
      </c>
      <c r="I1240">
        <v>0</v>
      </c>
      <c r="J1240" s="1">
        <v>45928.076577314816</v>
      </c>
      <c r="K1240" t="s">
        <v>768</v>
      </c>
      <c r="L1240">
        <f t="shared" si="19"/>
        <v>1239</v>
      </c>
      <c r="M1240">
        <f>COUNTIF($A$2:A1240,A1240)</f>
        <v>2</v>
      </c>
    </row>
    <row r="1241" spans="1:13" x14ac:dyDescent="0.3">
      <c r="A1241">
        <v>12049</v>
      </c>
      <c r="B1241" t="s">
        <v>767</v>
      </c>
      <c r="C1241" t="s">
        <v>106</v>
      </c>
      <c r="D1241" t="s">
        <v>107</v>
      </c>
      <c r="E1241">
        <v>1</v>
      </c>
      <c r="F1241">
        <v>100</v>
      </c>
      <c r="G1241">
        <v>0</v>
      </c>
      <c r="H1241">
        <v>0</v>
      </c>
      <c r="I1241">
        <v>0</v>
      </c>
      <c r="J1241" s="1">
        <v>45928.076599340275</v>
      </c>
      <c r="K1241" t="s">
        <v>768</v>
      </c>
      <c r="L1241">
        <f t="shared" si="19"/>
        <v>1240</v>
      </c>
      <c r="M1241">
        <f>COUNTIF($A$2:A1241,A1241)</f>
        <v>3</v>
      </c>
    </row>
    <row r="1242" spans="1:13" x14ac:dyDescent="0.3">
      <c r="A1242">
        <v>12049</v>
      </c>
      <c r="B1242" t="s">
        <v>767</v>
      </c>
      <c r="C1242" t="s">
        <v>108</v>
      </c>
      <c r="D1242" t="s">
        <v>109</v>
      </c>
      <c r="F1242">
        <v>92.31</v>
      </c>
      <c r="G1242">
        <v>7.69</v>
      </c>
      <c r="H1242">
        <v>0</v>
      </c>
      <c r="I1242">
        <v>0</v>
      </c>
      <c r="J1242" s="1">
        <v>45928.076629560186</v>
      </c>
      <c r="K1242" t="s">
        <v>768</v>
      </c>
      <c r="L1242">
        <f t="shared" si="19"/>
        <v>1241</v>
      </c>
      <c r="M1242">
        <f>COUNTIF($A$2:A1242,A1242)</f>
        <v>4</v>
      </c>
    </row>
    <row r="1243" spans="1:13" x14ac:dyDescent="0.3">
      <c r="A1243">
        <v>12050</v>
      </c>
      <c r="B1243" t="s">
        <v>767</v>
      </c>
      <c r="C1243" t="s">
        <v>108</v>
      </c>
      <c r="D1243" t="s">
        <v>109</v>
      </c>
      <c r="F1243">
        <v>100</v>
      </c>
      <c r="G1243">
        <v>0</v>
      </c>
      <c r="H1243">
        <v>0</v>
      </c>
      <c r="I1243">
        <v>0</v>
      </c>
      <c r="J1243" s="1">
        <v>45928.0767199537</v>
      </c>
      <c r="K1243" t="s">
        <v>769</v>
      </c>
      <c r="L1243">
        <f t="shared" si="19"/>
        <v>1242</v>
      </c>
      <c r="M1243">
        <f>COUNTIF($A$2:A1243,A1243)</f>
        <v>1</v>
      </c>
    </row>
    <row r="1244" spans="1:13" x14ac:dyDescent="0.3">
      <c r="A1244">
        <v>12050</v>
      </c>
      <c r="B1244" t="s">
        <v>767</v>
      </c>
      <c r="C1244" t="s">
        <v>106</v>
      </c>
      <c r="D1244" t="s">
        <v>107</v>
      </c>
      <c r="E1244">
        <v>15</v>
      </c>
      <c r="F1244">
        <v>76.92</v>
      </c>
      <c r="G1244">
        <v>23.08</v>
      </c>
      <c r="H1244">
        <v>0</v>
      </c>
      <c r="I1244">
        <v>0</v>
      </c>
      <c r="J1244" s="1">
        <v>45928.076735555558</v>
      </c>
      <c r="K1244" t="s">
        <v>769</v>
      </c>
      <c r="L1244">
        <f t="shared" si="19"/>
        <v>1243</v>
      </c>
      <c r="M1244">
        <f>COUNTIF($A$2:A1244,A1244)</f>
        <v>2</v>
      </c>
    </row>
    <row r="1245" spans="1:13" x14ac:dyDescent="0.3">
      <c r="A1245">
        <v>12050</v>
      </c>
      <c r="B1245" t="s">
        <v>767</v>
      </c>
      <c r="C1245" t="s">
        <v>104</v>
      </c>
      <c r="D1245" t="s">
        <v>105</v>
      </c>
      <c r="E1245">
        <v>19</v>
      </c>
      <c r="F1245">
        <v>42.31</v>
      </c>
      <c r="G1245">
        <v>57.69</v>
      </c>
      <c r="H1245">
        <v>0</v>
      </c>
      <c r="I1245">
        <v>0</v>
      </c>
      <c r="J1245" s="1">
        <v>45928.076754699076</v>
      </c>
      <c r="K1245" t="s">
        <v>769</v>
      </c>
      <c r="L1245">
        <f t="shared" si="19"/>
        <v>1244</v>
      </c>
      <c r="M1245">
        <f>COUNTIF($A$2:A1245,A1245)</f>
        <v>3</v>
      </c>
    </row>
    <row r="1246" spans="1:13" x14ac:dyDescent="0.3">
      <c r="A1246">
        <v>12050</v>
      </c>
      <c r="B1246" t="s">
        <v>767</v>
      </c>
      <c r="C1246" t="s">
        <v>102</v>
      </c>
      <c r="D1246" t="s">
        <v>103</v>
      </c>
      <c r="E1246">
        <v>2</v>
      </c>
      <c r="F1246">
        <v>92.31</v>
      </c>
      <c r="G1246">
        <v>7.69</v>
      </c>
      <c r="H1246">
        <v>0</v>
      </c>
      <c r="I1246">
        <v>0</v>
      </c>
      <c r="J1246" s="1">
        <v>45928.076801724535</v>
      </c>
      <c r="K1246" t="s">
        <v>769</v>
      </c>
      <c r="L1246">
        <f t="shared" si="19"/>
        <v>1245</v>
      </c>
      <c r="M1246">
        <f>COUNTIF($A$2:A1246,A1246)</f>
        <v>4</v>
      </c>
    </row>
    <row r="1247" spans="1:13" x14ac:dyDescent="0.3">
      <c r="A1247">
        <v>12235</v>
      </c>
      <c r="B1247" t="s">
        <v>770</v>
      </c>
      <c r="C1247" t="s">
        <v>771</v>
      </c>
      <c r="D1247" t="s">
        <v>772</v>
      </c>
      <c r="E1247">
        <v>6</v>
      </c>
      <c r="F1247">
        <v>75</v>
      </c>
      <c r="G1247">
        <v>25</v>
      </c>
      <c r="H1247">
        <v>0</v>
      </c>
      <c r="I1247">
        <v>0</v>
      </c>
      <c r="J1247" s="1">
        <v>45928.076895243059</v>
      </c>
      <c r="K1247" t="s">
        <v>773</v>
      </c>
      <c r="L1247">
        <f t="shared" si="19"/>
        <v>1246</v>
      </c>
      <c r="M1247">
        <f>COUNTIF($A$2:A1247,A1247)</f>
        <v>1</v>
      </c>
    </row>
    <row r="1248" spans="1:13" x14ac:dyDescent="0.3">
      <c r="A1248">
        <v>12235</v>
      </c>
      <c r="B1248" t="s">
        <v>770</v>
      </c>
      <c r="C1248" t="s">
        <v>774</v>
      </c>
      <c r="D1248" t="s">
        <v>775</v>
      </c>
      <c r="E1248">
        <v>12</v>
      </c>
      <c r="F1248">
        <v>75</v>
      </c>
      <c r="G1248">
        <v>25</v>
      </c>
      <c r="H1248">
        <v>0</v>
      </c>
      <c r="I1248">
        <v>0</v>
      </c>
      <c r="J1248" s="1">
        <v>45928.076915057871</v>
      </c>
      <c r="K1248" t="s">
        <v>773</v>
      </c>
      <c r="L1248">
        <f t="shared" si="19"/>
        <v>1247</v>
      </c>
      <c r="M1248">
        <f>COUNTIF($A$2:A1248,A1248)</f>
        <v>2</v>
      </c>
    </row>
    <row r="1249" spans="1:13" x14ac:dyDescent="0.3">
      <c r="A1249">
        <v>12235</v>
      </c>
      <c r="B1249" t="s">
        <v>770</v>
      </c>
      <c r="C1249" t="s">
        <v>776</v>
      </c>
      <c r="D1249" t="s">
        <v>777</v>
      </c>
      <c r="E1249">
        <v>3</v>
      </c>
      <c r="F1249">
        <v>100</v>
      </c>
      <c r="G1249">
        <v>0</v>
      </c>
      <c r="H1249">
        <v>0</v>
      </c>
      <c r="I1249">
        <v>0</v>
      </c>
      <c r="J1249" s="1">
        <v>45928.076936238424</v>
      </c>
      <c r="K1249" t="s">
        <v>773</v>
      </c>
      <c r="L1249">
        <f t="shared" si="19"/>
        <v>1248</v>
      </c>
      <c r="M1249">
        <f>COUNTIF($A$2:A1249,A1249)</f>
        <v>3</v>
      </c>
    </row>
    <row r="1250" spans="1:13" x14ac:dyDescent="0.3">
      <c r="A1250">
        <v>12235</v>
      </c>
      <c r="B1250" t="s">
        <v>770</v>
      </c>
      <c r="C1250" t="s">
        <v>778</v>
      </c>
      <c r="D1250" t="s">
        <v>779</v>
      </c>
      <c r="F1250">
        <v>25</v>
      </c>
      <c r="G1250">
        <v>75</v>
      </c>
      <c r="H1250">
        <v>0</v>
      </c>
      <c r="I1250">
        <v>0</v>
      </c>
      <c r="J1250" s="1">
        <v>45928.076966377317</v>
      </c>
      <c r="K1250" t="s">
        <v>773</v>
      </c>
      <c r="L1250">
        <f t="shared" si="19"/>
        <v>1249</v>
      </c>
      <c r="M1250">
        <f>COUNTIF($A$2:A1250,A1250)</f>
        <v>4</v>
      </c>
    </row>
    <row r="1251" spans="1:13" x14ac:dyDescent="0.3">
      <c r="A1251">
        <v>12235</v>
      </c>
      <c r="B1251" t="s">
        <v>770</v>
      </c>
      <c r="C1251" t="s">
        <v>780</v>
      </c>
      <c r="D1251" t="s">
        <v>781</v>
      </c>
      <c r="E1251">
        <v>35</v>
      </c>
      <c r="F1251">
        <v>0</v>
      </c>
      <c r="G1251">
        <v>100</v>
      </c>
      <c r="H1251">
        <v>0</v>
      </c>
      <c r="I1251">
        <v>0</v>
      </c>
      <c r="J1251" s="1">
        <v>45928.076986157408</v>
      </c>
      <c r="K1251" t="s">
        <v>773</v>
      </c>
      <c r="L1251">
        <f t="shared" si="19"/>
        <v>1250</v>
      </c>
      <c r="M1251">
        <f>COUNTIF($A$2:A1251,A1251)</f>
        <v>5</v>
      </c>
    </row>
    <row r="1252" spans="1:13" x14ac:dyDescent="0.3">
      <c r="A1252">
        <v>12235</v>
      </c>
      <c r="B1252" t="s">
        <v>770</v>
      </c>
      <c r="C1252" t="s">
        <v>782</v>
      </c>
      <c r="D1252" t="s">
        <v>783</v>
      </c>
      <c r="E1252">
        <v>18</v>
      </c>
      <c r="F1252">
        <v>50</v>
      </c>
      <c r="G1252">
        <v>50</v>
      </c>
      <c r="H1252">
        <v>0</v>
      </c>
      <c r="I1252">
        <v>0</v>
      </c>
      <c r="J1252" s="1">
        <v>45928.077004907405</v>
      </c>
      <c r="K1252" t="s">
        <v>773</v>
      </c>
      <c r="L1252">
        <f t="shared" si="19"/>
        <v>1251</v>
      </c>
      <c r="M1252">
        <f>COUNTIF($A$2:A1252,A1252)</f>
        <v>6</v>
      </c>
    </row>
    <row r="1253" spans="1:13" x14ac:dyDescent="0.3">
      <c r="A1253">
        <v>12235</v>
      </c>
      <c r="B1253" t="s">
        <v>770</v>
      </c>
      <c r="C1253" t="s">
        <v>230</v>
      </c>
      <c r="D1253" t="s">
        <v>230</v>
      </c>
      <c r="E1253">
        <v>38</v>
      </c>
      <c r="F1253">
        <v>0</v>
      </c>
      <c r="G1253">
        <v>100</v>
      </c>
      <c r="H1253">
        <v>0</v>
      </c>
      <c r="I1253">
        <v>0</v>
      </c>
      <c r="J1253" s="1">
        <v>45928.077026620369</v>
      </c>
      <c r="K1253" t="s">
        <v>773</v>
      </c>
      <c r="L1253">
        <f t="shared" si="19"/>
        <v>1252</v>
      </c>
      <c r="M1253">
        <f>COUNTIF($A$2:A1253,A1253)</f>
        <v>7</v>
      </c>
    </row>
    <row r="1254" spans="1:13" x14ac:dyDescent="0.3">
      <c r="A1254">
        <v>12235</v>
      </c>
      <c r="B1254" t="s">
        <v>770</v>
      </c>
      <c r="C1254" t="s">
        <v>228</v>
      </c>
      <c r="D1254" t="s">
        <v>229</v>
      </c>
      <c r="E1254">
        <v>51</v>
      </c>
      <c r="F1254">
        <v>0</v>
      </c>
      <c r="G1254">
        <v>75</v>
      </c>
      <c r="H1254">
        <v>25</v>
      </c>
      <c r="I1254">
        <v>0</v>
      </c>
      <c r="J1254" s="1">
        <v>45928.07704733796</v>
      </c>
      <c r="K1254" t="s">
        <v>773</v>
      </c>
      <c r="L1254">
        <f t="shared" si="19"/>
        <v>1253</v>
      </c>
      <c r="M1254">
        <f>COUNTIF($A$2:A1254,A1254)</f>
        <v>8</v>
      </c>
    </row>
    <row r="1255" spans="1:13" x14ac:dyDescent="0.3">
      <c r="A1255">
        <v>12235</v>
      </c>
      <c r="B1255" t="s">
        <v>770</v>
      </c>
      <c r="C1255" t="s">
        <v>224</v>
      </c>
      <c r="D1255" t="s">
        <v>225</v>
      </c>
      <c r="E1255">
        <v>1</v>
      </c>
      <c r="F1255">
        <v>100</v>
      </c>
      <c r="G1255">
        <v>0</v>
      </c>
      <c r="H1255">
        <v>0</v>
      </c>
      <c r="I1255">
        <v>0</v>
      </c>
      <c r="J1255" s="1">
        <v>45928.077068206017</v>
      </c>
      <c r="K1255" t="s">
        <v>773</v>
      </c>
      <c r="L1255">
        <f t="shared" si="19"/>
        <v>1254</v>
      </c>
      <c r="M1255">
        <f>COUNTIF($A$2:A1255,A1255)</f>
        <v>9</v>
      </c>
    </row>
    <row r="1256" spans="1:13" x14ac:dyDescent="0.3">
      <c r="A1256">
        <v>12235</v>
      </c>
      <c r="B1256" t="s">
        <v>770</v>
      </c>
      <c r="C1256" t="s">
        <v>784</v>
      </c>
      <c r="D1256" t="s">
        <v>785</v>
      </c>
      <c r="E1256">
        <v>6</v>
      </c>
      <c r="F1256">
        <v>100</v>
      </c>
      <c r="G1256">
        <v>0</v>
      </c>
      <c r="H1256">
        <v>0</v>
      </c>
      <c r="I1256">
        <v>0</v>
      </c>
      <c r="J1256" s="1">
        <v>45928.077085567129</v>
      </c>
      <c r="K1256" t="s">
        <v>773</v>
      </c>
      <c r="L1256">
        <f t="shared" si="19"/>
        <v>1255</v>
      </c>
      <c r="M1256">
        <f>COUNTIF($A$2:A1256,A1256)</f>
        <v>10</v>
      </c>
    </row>
    <row r="1257" spans="1:13" x14ac:dyDescent="0.3">
      <c r="A1257">
        <v>12235</v>
      </c>
      <c r="B1257" t="s">
        <v>770</v>
      </c>
      <c r="C1257" t="s">
        <v>786</v>
      </c>
      <c r="D1257" t="s">
        <v>787</v>
      </c>
      <c r="E1257">
        <v>13</v>
      </c>
      <c r="F1257">
        <v>50</v>
      </c>
      <c r="G1257">
        <v>50</v>
      </c>
      <c r="H1257">
        <v>0</v>
      </c>
      <c r="I1257">
        <v>0</v>
      </c>
      <c r="J1257" s="1">
        <v>45928.077107546298</v>
      </c>
      <c r="K1257" t="s">
        <v>773</v>
      </c>
      <c r="L1257">
        <f t="shared" si="19"/>
        <v>1256</v>
      </c>
      <c r="M1257">
        <f>COUNTIF($A$2:A1257,A1257)</f>
        <v>11</v>
      </c>
    </row>
    <row r="1258" spans="1:13" x14ac:dyDescent="0.3">
      <c r="A1258">
        <v>12235</v>
      </c>
      <c r="B1258" t="s">
        <v>770</v>
      </c>
      <c r="C1258" t="s">
        <v>788</v>
      </c>
      <c r="D1258" t="s">
        <v>789</v>
      </c>
      <c r="F1258">
        <v>100</v>
      </c>
      <c r="G1258">
        <v>0</v>
      </c>
      <c r="H1258">
        <v>0</v>
      </c>
      <c r="I1258">
        <v>0</v>
      </c>
      <c r="J1258" s="1">
        <v>45928.077122974537</v>
      </c>
      <c r="K1258" t="s">
        <v>773</v>
      </c>
      <c r="L1258">
        <f t="shared" si="19"/>
        <v>1257</v>
      </c>
      <c r="M1258">
        <f>COUNTIF($A$2:A1258,A1258)</f>
        <v>12</v>
      </c>
    </row>
    <row r="1259" spans="1:13" x14ac:dyDescent="0.3">
      <c r="A1259">
        <v>12236</v>
      </c>
      <c r="B1259" t="s">
        <v>770</v>
      </c>
      <c r="C1259" t="s">
        <v>788</v>
      </c>
      <c r="D1259" t="s">
        <v>789</v>
      </c>
      <c r="F1259">
        <v>25</v>
      </c>
      <c r="G1259">
        <v>25</v>
      </c>
      <c r="H1259">
        <v>50</v>
      </c>
      <c r="I1259">
        <v>0</v>
      </c>
      <c r="J1259" s="1">
        <v>45928.077196388891</v>
      </c>
      <c r="K1259" t="s">
        <v>790</v>
      </c>
      <c r="L1259">
        <f t="shared" si="19"/>
        <v>1258</v>
      </c>
      <c r="M1259">
        <f>COUNTIF($A$2:A1259,A1259)</f>
        <v>1</v>
      </c>
    </row>
    <row r="1260" spans="1:13" x14ac:dyDescent="0.3">
      <c r="A1260">
        <v>12236</v>
      </c>
      <c r="B1260" t="s">
        <v>770</v>
      </c>
      <c r="C1260" t="s">
        <v>786</v>
      </c>
      <c r="D1260" t="s">
        <v>787</v>
      </c>
      <c r="F1260">
        <v>25</v>
      </c>
      <c r="G1260">
        <v>25</v>
      </c>
      <c r="H1260">
        <v>50</v>
      </c>
      <c r="I1260">
        <v>0</v>
      </c>
      <c r="J1260" s="1">
        <v>45928.077219247687</v>
      </c>
      <c r="K1260" t="s">
        <v>790</v>
      </c>
      <c r="L1260">
        <f t="shared" si="19"/>
        <v>1259</v>
      </c>
      <c r="M1260">
        <f>COUNTIF($A$2:A1260,A1260)</f>
        <v>2</v>
      </c>
    </row>
    <row r="1261" spans="1:13" x14ac:dyDescent="0.3">
      <c r="A1261">
        <v>12236</v>
      </c>
      <c r="B1261" t="s">
        <v>770</v>
      </c>
      <c r="C1261" t="s">
        <v>784</v>
      </c>
      <c r="D1261" t="s">
        <v>785</v>
      </c>
      <c r="E1261">
        <v>159</v>
      </c>
      <c r="F1261">
        <v>25</v>
      </c>
      <c r="G1261">
        <v>25</v>
      </c>
      <c r="H1261">
        <v>50</v>
      </c>
      <c r="I1261">
        <v>0</v>
      </c>
      <c r="J1261" s="1">
        <v>45928.077235358796</v>
      </c>
      <c r="K1261" t="s">
        <v>790</v>
      </c>
      <c r="L1261">
        <f t="shared" si="19"/>
        <v>1260</v>
      </c>
      <c r="M1261">
        <f>COUNTIF($A$2:A1261,A1261)</f>
        <v>3</v>
      </c>
    </row>
    <row r="1262" spans="1:13" x14ac:dyDescent="0.3">
      <c r="A1262">
        <v>12236</v>
      </c>
      <c r="B1262" t="s">
        <v>770</v>
      </c>
      <c r="C1262" t="s">
        <v>224</v>
      </c>
      <c r="D1262" t="s">
        <v>225</v>
      </c>
      <c r="E1262">
        <v>147</v>
      </c>
      <c r="F1262">
        <v>25</v>
      </c>
      <c r="G1262">
        <v>25</v>
      </c>
      <c r="H1262">
        <v>50</v>
      </c>
      <c r="I1262">
        <v>0</v>
      </c>
      <c r="J1262" s="1">
        <v>45928.077253819443</v>
      </c>
      <c r="K1262" t="s">
        <v>790</v>
      </c>
      <c r="L1262">
        <f t="shared" si="19"/>
        <v>1261</v>
      </c>
      <c r="M1262">
        <f>COUNTIF($A$2:A1262,A1262)</f>
        <v>4</v>
      </c>
    </row>
    <row r="1263" spans="1:13" x14ac:dyDescent="0.3">
      <c r="A1263">
        <v>12236</v>
      </c>
      <c r="B1263" t="s">
        <v>770</v>
      </c>
      <c r="C1263" t="s">
        <v>228</v>
      </c>
      <c r="D1263" t="s">
        <v>229</v>
      </c>
      <c r="E1263">
        <v>152</v>
      </c>
      <c r="F1263">
        <v>25</v>
      </c>
      <c r="G1263">
        <v>25</v>
      </c>
      <c r="H1263">
        <v>50</v>
      </c>
      <c r="I1263">
        <v>0</v>
      </c>
      <c r="J1263" s="1">
        <v>45928.077271331022</v>
      </c>
      <c r="K1263" t="s">
        <v>790</v>
      </c>
      <c r="L1263">
        <f t="shared" si="19"/>
        <v>1262</v>
      </c>
      <c r="M1263">
        <f>COUNTIF($A$2:A1263,A1263)</f>
        <v>5</v>
      </c>
    </row>
    <row r="1264" spans="1:13" x14ac:dyDescent="0.3">
      <c r="A1264">
        <v>12236</v>
      </c>
      <c r="B1264" t="s">
        <v>770</v>
      </c>
      <c r="C1264" t="s">
        <v>230</v>
      </c>
      <c r="D1264" t="s">
        <v>230</v>
      </c>
      <c r="E1264">
        <v>157</v>
      </c>
      <c r="F1264">
        <v>25</v>
      </c>
      <c r="G1264">
        <v>25</v>
      </c>
      <c r="H1264">
        <v>50</v>
      </c>
      <c r="I1264">
        <v>0</v>
      </c>
      <c r="J1264" s="1">
        <v>45928.077289803237</v>
      </c>
      <c r="K1264" t="s">
        <v>790</v>
      </c>
      <c r="L1264">
        <f t="shared" si="19"/>
        <v>1263</v>
      </c>
      <c r="M1264">
        <f>COUNTIF($A$2:A1264,A1264)</f>
        <v>6</v>
      </c>
    </row>
    <row r="1265" spans="1:13" x14ac:dyDescent="0.3">
      <c r="A1265">
        <v>12236</v>
      </c>
      <c r="B1265" t="s">
        <v>770</v>
      </c>
      <c r="C1265" t="s">
        <v>782</v>
      </c>
      <c r="D1265" t="s">
        <v>783</v>
      </c>
      <c r="F1265">
        <v>0</v>
      </c>
      <c r="G1265">
        <v>50</v>
      </c>
      <c r="H1265">
        <v>50</v>
      </c>
      <c r="I1265">
        <v>0</v>
      </c>
      <c r="J1265" s="1">
        <v>45928.077311944442</v>
      </c>
      <c r="K1265" t="s">
        <v>790</v>
      </c>
      <c r="L1265">
        <f t="shared" si="19"/>
        <v>1264</v>
      </c>
      <c r="M1265">
        <f>COUNTIF($A$2:A1265,A1265)</f>
        <v>7</v>
      </c>
    </row>
    <row r="1266" spans="1:13" x14ac:dyDescent="0.3">
      <c r="A1266">
        <v>12236</v>
      </c>
      <c r="B1266" t="s">
        <v>770</v>
      </c>
      <c r="C1266" t="s">
        <v>780</v>
      </c>
      <c r="D1266" t="s">
        <v>781</v>
      </c>
      <c r="F1266">
        <v>0</v>
      </c>
      <c r="G1266">
        <v>25</v>
      </c>
      <c r="H1266">
        <v>75</v>
      </c>
      <c r="I1266">
        <v>0</v>
      </c>
      <c r="J1266" s="1">
        <v>45928.077331689812</v>
      </c>
      <c r="K1266" t="s">
        <v>790</v>
      </c>
      <c r="L1266">
        <f t="shared" si="19"/>
        <v>1265</v>
      </c>
      <c r="M1266">
        <f>COUNTIF($A$2:A1266,A1266)</f>
        <v>8</v>
      </c>
    </row>
    <row r="1267" spans="1:13" x14ac:dyDescent="0.3">
      <c r="A1267">
        <v>12236</v>
      </c>
      <c r="B1267" t="s">
        <v>770</v>
      </c>
      <c r="C1267" t="s">
        <v>778</v>
      </c>
      <c r="D1267" t="s">
        <v>779</v>
      </c>
      <c r="F1267">
        <v>0</v>
      </c>
      <c r="G1267">
        <v>25</v>
      </c>
      <c r="H1267">
        <v>75</v>
      </c>
      <c r="I1267">
        <v>0</v>
      </c>
      <c r="J1267" s="1">
        <v>45928.077351412037</v>
      </c>
      <c r="K1267" t="s">
        <v>790</v>
      </c>
      <c r="L1267">
        <f t="shared" si="19"/>
        <v>1266</v>
      </c>
      <c r="M1267">
        <f>COUNTIF($A$2:A1267,A1267)</f>
        <v>9</v>
      </c>
    </row>
    <row r="1268" spans="1:13" x14ac:dyDescent="0.3">
      <c r="A1268">
        <v>12236</v>
      </c>
      <c r="B1268" t="s">
        <v>770</v>
      </c>
      <c r="C1268" t="s">
        <v>776</v>
      </c>
      <c r="D1268" t="s">
        <v>777</v>
      </c>
      <c r="E1268">
        <v>143</v>
      </c>
      <c r="F1268">
        <v>50</v>
      </c>
      <c r="G1268">
        <v>0</v>
      </c>
      <c r="H1268">
        <v>50</v>
      </c>
      <c r="I1268">
        <v>0</v>
      </c>
      <c r="J1268" s="1">
        <v>45928.077369548613</v>
      </c>
      <c r="K1268" t="s">
        <v>790</v>
      </c>
      <c r="L1268">
        <f t="shared" si="19"/>
        <v>1267</v>
      </c>
      <c r="M1268">
        <f>COUNTIF($A$2:A1268,A1268)</f>
        <v>10</v>
      </c>
    </row>
    <row r="1269" spans="1:13" x14ac:dyDescent="0.3">
      <c r="A1269">
        <v>12236</v>
      </c>
      <c r="B1269" t="s">
        <v>770</v>
      </c>
      <c r="C1269" t="s">
        <v>774</v>
      </c>
      <c r="D1269" t="s">
        <v>775</v>
      </c>
      <c r="E1269">
        <v>152</v>
      </c>
      <c r="F1269">
        <v>50</v>
      </c>
      <c r="G1269">
        <v>0</v>
      </c>
      <c r="H1269">
        <v>50</v>
      </c>
      <c r="I1269">
        <v>0</v>
      </c>
      <c r="J1269" s="1">
        <v>45928.077387858793</v>
      </c>
      <c r="K1269" t="s">
        <v>790</v>
      </c>
      <c r="L1269">
        <f t="shared" si="19"/>
        <v>1268</v>
      </c>
      <c r="M1269">
        <f>COUNTIF($A$2:A1269,A1269)</f>
        <v>11</v>
      </c>
    </row>
    <row r="1270" spans="1:13" x14ac:dyDescent="0.3">
      <c r="A1270">
        <v>12236</v>
      </c>
      <c r="B1270" t="s">
        <v>770</v>
      </c>
      <c r="C1270" t="s">
        <v>771</v>
      </c>
      <c r="D1270" t="s">
        <v>772</v>
      </c>
      <c r="E1270">
        <v>126</v>
      </c>
      <c r="F1270">
        <v>50</v>
      </c>
      <c r="G1270">
        <v>0</v>
      </c>
      <c r="H1270">
        <v>50</v>
      </c>
      <c r="I1270">
        <v>0</v>
      </c>
      <c r="J1270" s="1">
        <v>45928.077407835648</v>
      </c>
      <c r="K1270" t="s">
        <v>790</v>
      </c>
      <c r="L1270">
        <f t="shared" si="19"/>
        <v>1269</v>
      </c>
      <c r="M1270">
        <f>COUNTIF($A$2:A1270,A1270)</f>
        <v>12</v>
      </c>
    </row>
    <row r="1271" spans="1:13" x14ac:dyDescent="0.3">
      <c r="A1271">
        <v>12245</v>
      </c>
      <c r="B1271" t="s">
        <v>770</v>
      </c>
      <c r="C1271" t="s">
        <v>114</v>
      </c>
      <c r="D1271" t="s">
        <v>115</v>
      </c>
      <c r="E1271">
        <v>13</v>
      </c>
      <c r="F1271">
        <v>86.36</v>
      </c>
      <c r="G1271">
        <v>9.09</v>
      </c>
      <c r="H1271">
        <v>4.55</v>
      </c>
      <c r="I1271">
        <v>0</v>
      </c>
      <c r="J1271" s="1">
        <v>45928.077488993054</v>
      </c>
      <c r="K1271" t="s">
        <v>791</v>
      </c>
      <c r="L1271">
        <f t="shared" si="19"/>
        <v>1270</v>
      </c>
      <c r="M1271">
        <f>COUNTIF($A$2:A1271,A1271)</f>
        <v>1</v>
      </c>
    </row>
    <row r="1272" spans="1:13" x14ac:dyDescent="0.3">
      <c r="A1272">
        <v>12245</v>
      </c>
      <c r="B1272" t="s">
        <v>770</v>
      </c>
      <c r="C1272" t="s">
        <v>127</v>
      </c>
      <c r="D1272" t="s">
        <v>128</v>
      </c>
      <c r="E1272">
        <v>111</v>
      </c>
      <c r="F1272">
        <v>0</v>
      </c>
      <c r="G1272">
        <v>18.18</v>
      </c>
      <c r="H1272">
        <v>81.819999999999993</v>
      </c>
      <c r="I1272">
        <v>0</v>
      </c>
      <c r="J1272" s="1">
        <v>45928.077506111113</v>
      </c>
      <c r="K1272" t="s">
        <v>791</v>
      </c>
      <c r="L1272">
        <f t="shared" si="19"/>
        <v>1271</v>
      </c>
      <c r="M1272">
        <f>COUNTIF($A$2:A1272,A1272)</f>
        <v>2</v>
      </c>
    </row>
    <row r="1273" spans="1:13" x14ac:dyDescent="0.3">
      <c r="A1273">
        <v>12245</v>
      </c>
      <c r="B1273" t="s">
        <v>770</v>
      </c>
      <c r="C1273" t="s">
        <v>149</v>
      </c>
      <c r="D1273" t="s">
        <v>150</v>
      </c>
      <c r="E1273">
        <v>93</v>
      </c>
      <c r="F1273">
        <v>13.64</v>
      </c>
      <c r="G1273">
        <v>31.82</v>
      </c>
      <c r="H1273">
        <v>54.55</v>
      </c>
      <c r="I1273">
        <v>0</v>
      </c>
      <c r="J1273" s="1">
        <v>45928.077551481481</v>
      </c>
      <c r="K1273" t="s">
        <v>791</v>
      </c>
      <c r="L1273">
        <f t="shared" si="19"/>
        <v>1272</v>
      </c>
      <c r="M1273">
        <f>COUNTIF($A$2:A1273,A1273)</f>
        <v>3</v>
      </c>
    </row>
    <row r="1274" spans="1:13" x14ac:dyDescent="0.3">
      <c r="A1274">
        <v>12245</v>
      </c>
      <c r="B1274" t="s">
        <v>770</v>
      </c>
      <c r="C1274" t="s">
        <v>88</v>
      </c>
      <c r="D1274" t="s">
        <v>89</v>
      </c>
      <c r="F1274">
        <v>4.55</v>
      </c>
      <c r="G1274">
        <v>31.82</v>
      </c>
      <c r="H1274">
        <v>63.64</v>
      </c>
      <c r="I1274">
        <v>0</v>
      </c>
      <c r="J1274" s="1">
        <v>45928.077580902776</v>
      </c>
      <c r="K1274" t="s">
        <v>791</v>
      </c>
      <c r="L1274">
        <f t="shared" si="19"/>
        <v>1273</v>
      </c>
      <c r="M1274">
        <f>COUNTIF($A$2:A1274,A1274)</f>
        <v>4</v>
      </c>
    </row>
    <row r="1275" spans="1:13" x14ac:dyDescent="0.3">
      <c r="A1275">
        <v>12245</v>
      </c>
      <c r="B1275" t="s">
        <v>770</v>
      </c>
      <c r="C1275" t="s">
        <v>275</v>
      </c>
      <c r="D1275" t="s">
        <v>276</v>
      </c>
      <c r="E1275">
        <v>97</v>
      </c>
      <c r="F1275">
        <v>18.18</v>
      </c>
      <c r="G1275">
        <v>27.27</v>
      </c>
      <c r="H1275">
        <v>54.55</v>
      </c>
      <c r="I1275">
        <v>0</v>
      </c>
      <c r="J1275" s="1">
        <v>45928.077601423611</v>
      </c>
      <c r="K1275" t="s">
        <v>791</v>
      </c>
      <c r="L1275">
        <f t="shared" si="19"/>
        <v>1274</v>
      </c>
      <c r="M1275">
        <f>COUNTIF($A$2:A1275,A1275)</f>
        <v>5</v>
      </c>
    </row>
    <row r="1276" spans="1:13" x14ac:dyDescent="0.3">
      <c r="A1276">
        <v>12245</v>
      </c>
      <c r="B1276" t="s">
        <v>770</v>
      </c>
      <c r="C1276" t="s">
        <v>187</v>
      </c>
      <c r="D1276" t="s">
        <v>188</v>
      </c>
      <c r="E1276">
        <v>77</v>
      </c>
      <c r="F1276">
        <v>40.909999999999997</v>
      </c>
      <c r="G1276">
        <v>27.27</v>
      </c>
      <c r="H1276">
        <v>31.82</v>
      </c>
      <c r="I1276">
        <v>0</v>
      </c>
      <c r="J1276" s="1">
        <v>45928.077643784723</v>
      </c>
      <c r="K1276" t="s">
        <v>791</v>
      </c>
      <c r="L1276">
        <f t="shared" si="19"/>
        <v>1275</v>
      </c>
      <c r="M1276">
        <f>COUNTIF($A$2:A1276,A1276)</f>
        <v>6</v>
      </c>
    </row>
    <row r="1277" spans="1:13" x14ac:dyDescent="0.3">
      <c r="A1277">
        <v>12246</v>
      </c>
      <c r="B1277" t="s">
        <v>770</v>
      </c>
      <c r="C1277" t="s">
        <v>187</v>
      </c>
      <c r="D1277" t="s">
        <v>188</v>
      </c>
      <c r="F1277">
        <v>93.87</v>
      </c>
      <c r="G1277">
        <v>4.9800000000000004</v>
      </c>
      <c r="H1277">
        <v>0.77</v>
      </c>
      <c r="I1277">
        <v>0.38</v>
      </c>
      <c r="J1277" s="1">
        <v>45928.077702650466</v>
      </c>
      <c r="K1277" t="s">
        <v>792</v>
      </c>
      <c r="L1277">
        <f t="shared" si="19"/>
        <v>1276</v>
      </c>
      <c r="M1277">
        <f>COUNTIF($A$2:A1277,A1277)</f>
        <v>1</v>
      </c>
    </row>
    <row r="1278" spans="1:13" x14ac:dyDescent="0.3">
      <c r="A1278">
        <v>12246</v>
      </c>
      <c r="B1278" t="s">
        <v>770</v>
      </c>
      <c r="C1278" t="s">
        <v>275</v>
      </c>
      <c r="D1278" t="s">
        <v>276</v>
      </c>
      <c r="E1278">
        <v>13</v>
      </c>
      <c r="F1278">
        <v>69.349999999999994</v>
      </c>
      <c r="G1278">
        <v>28.35</v>
      </c>
      <c r="H1278">
        <v>1.92</v>
      </c>
      <c r="I1278">
        <v>0.38</v>
      </c>
      <c r="J1278" s="1">
        <v>45928.077718437497</v>
      </c>
      <c r="K1278" t="s">
        <v>792</v>
      </c>
      <c r="L1278">
        <f t="shared" si="19"/>
        <v>1277</v>
      </c>
      <c r="M1278">
        <f>COUNTIF($A$2:A1278,A1278)</f>
        <v>2</v>
      </c>
    </row>
    <row r="1279" spans="1:13" x14ac:dyDescent="0.3">
      <c r="A1279">
        <v>12246</v>
      </c>
      <c r="B1279" t="s">
        <v>770</v>
      </c>
      <c r="C1279" t="s">
        <v>88</v>
      </c>
      <c r="D1279" t="s">
        <v>89</v>
      </c>
      <c r="E1279">
        <v>22</v>
      </c>
      <c r="F1279">
        <v>43.68</v>
      </c>
      <c r="G1279">
        <v>50.19</v>
      </c>
      <c r="H1279">
        <v>5.75</v>
      </c>
      <c r="I1279">
        <v>0.38</v>
      </c>
      <c r="J1279" s="1">
        <v>45928.077734432867</v>
      </c>
      <c r="K1279" t="s">
        <v>792</v>
      </c>
      <c r="L1279">
        <f t="shared" si="19"/>
        <v>1278</v>
      </c>
      <c r="M1279">
        <f>COUNTIF($A$2:A1279,A1279)</f>
        <v>3</v>
      </c>
    </row>
    <row r="1280" spans="1:13" x14ac:dyDescent="0.3">
      <c r="A1280">
        <v>12246</v>
      </c>
      <c r="B1280" t="s">
        <v>770</v>
      </c>
      <c r="C1280" t="s">
        <v>149</v>
      </c>
      <c r="D1280" t="s">
        <v>150</v>
      </c>
      <c r="E1280">
        <v>15</v>
      </c>
      <c r="F1280">
        <v>72.41</v>
      </c>
      <c r="G1280">
        <v>24.14</v>
      </c>
      <c r="H1280">
        <v>3.07</v>
      </c>
      <c r="I1280">
        <v>0.38</v>
      </c>
      <c r="J1280" s="1">
        <v>45928.077756574072</v>
      </c>
      <c r="K1280" t="s">
        <v>792</v>
      </c>
      <c r="L1280">
        <f t="shared" si="19"/>
        <v>1279</v>
      </c>
      <c r="M1280">
        <f>COUNTIF($A$2:A1280,A1280)</f>
        <v>4</v>
      </c>
    </row>
    <row r="1281" spans="1:13" x14ac:dyDescent="0.3">
      <c r="A1281">
        <v>12246</v>
      </c>
      <c r="B1281" t="s">
        <v>770</v>
      </c>
      <c r="C1281" t="s">
        <v>127</v>
      </c>
      <c r="D1281" t="s">
        <v>128</v>
      </c>
      <c r="E1281">
        <v>41</v>
      </c>
      <c r="F1281">
        <v>12.26</v>
      </c>
      <c r="G1281">
        <v>76.25</v>
      </c>
      <c r="H1281">
        <v>11.11</v>
      </c>
      <c r="I1281">
        <v>0.38</v>
      </c>
      <c r="J1281" s="1">
        <v>45928.077780046297</v>
      </c>
      <c r="K1281" t="s">
        <v>792</v>
      </c>
      <c r="L1281">
        <f t="shared" si="19"/>
        <v>1280</v>
      </c>
      <c r="M1281">
        <f>COUNTIF($A$2:A1281,A1281)</f>
        <v>5</v>
      </c>
    </row>
    <row r="1282" spans="1:13" x14ac:dyDescent="0.3">
      <c r="A1282">
        <v>12246</v>
      </c>
      <c r="B1282" t="s">
        <v>770</v>
      </c>
      <c r="C1282" t="s">
        <v>114</v>
      </c>
      <c r="D1282" t="s">
        <v>115</v>
      </c>
      <c r="F1282">
        <v>50.96</v>
      </c>
      <c r="G1282">
        <v>23.75</v>
      </c>
      <c r="H1282">
        <v>24.9</v>
      </c>
      <c r="I1282">
        <v>0.38</v>
      </c>
      <c r="J1282" s="1">
        <v>45928.077822569445</v>
      </c>
      <c r="K1282" t="s">
        <v>792</v>
      </c>
      <c r="L1282">
        <f t="shared" ref="L1282:L1345" si="20">ROW()-1</f>
        <v>1281</v>
      </c>
      <c r="M1282">
        <f>COUNTIF($A$2:A1282,A1282)</f>
        <v>6</v>
      </c>
    </row>
    <row r="1283" spans="1:13" x14ac:dyDescent="0.3">
      <c r="A1283">
        <v>12259</v>
      </c>
      <c r="B1283" t="s">
        <v>793</v>
      </c>
      <c r="C1283" t="s">
        <v>794</v>
      </c>
      <c r="D1283" t="s">
        <v>795</v>
      </c>
      <c r="E1283">
        <v>0</v>
      </c>
      <c r="F1283">
        <v>100</v>
      </c>
      <c r="G1283">
        <v>0</v>
      </c>
      <c r="H1283">
        <v>0</v>
      </c>
      <c r="I1283">
        <v>0</v>
      </c>
      <c r="J1283" s="1">
        <v>45928.077882650461</v>
      </c>
      <c r="K1283" t="s">
        <v>796</v>
      </c>
      <c r="L1283">
        <f t="shared" si="20"/>
        <v>1282</v>
      </c>
      <c r="M1283">
        <f>COUNTIF($A$2:A1283,A1283)</f>
        <v>1</v>
      </c>
    </row>
    <row r="1284" spans="1:13" x14ac:dyDescent="0.3">
      <c r="A1284">
        <v>12259</v>
      </c>
      <c r="B1284" t="s">
        <v>793</v>
      </c>
      <c r="C1284" t="s">
        <v>757</v>
      </c>
      <c r="D1284" t="s">
        <v>758</v>
      </c>
      <c r="E1284">
        <v>4</v>
      </c>
      <c r="F1284">
        <v>94.12</v>
      </c>
      <c r="G1284">
        <v>5.88</v>
      </c>
      <c r="H1284">
        <v>0</v>
      </c>
      <c r="I1284">
        <v>0</v>
      </c>
      <c r="J1284" s="1">
        <v>45928.077928969906</v>
      </c>
      <c r="K1284" t="s">
        <v>796</v>
      </c>
      <c r="L1284">
        <f t="shared" si="20"/>
        <v>1283</v>
      </c>
      <c r="M1284">
        <f>COUNTIF($A$2:A1284,A1284)</f>
        <v>2</v>
      </c>
    </row>
    <row r="1285" spans="1:13" x14ac:dyDescent="0.3">
      <c r="A1285">
        <v>12259</v>
      </c>
      <c r="B1285" t="s">
        <v>793</v>
      </c>
      <c r="C1285" t="s">
        <v>797</v>
      </c>
      <c r="D1285" t="s">
        <v>798</v>
      </c>
      <c r="E1285">
        <v>11</v>
      </c>
      <c r="F1285">
        <v>82.35</v>
      </c>
      <c r="G1285">
        <v>17.649999999999999</v>
      </c>
      <c r="H1285">
        <v>0</v>
      </c>
      <c r="I1285">
        <v>0</v>
      </c>
      <c r="J1285" s="1">
        <v>45928.07797056713</v>
      </c>
      <c r="K1285" t="s">
        <v>796</v>
      </c>
      <c r="L1285">
        <f t="shared" si="20"/>
        <v>1284</v>
      </c>
      <c r="M1285">
        <f>COUNTIF($A$2:A1285,A1285)</f>
        <v>3</v>
      </c>
    </row>
    <row r="1286" spans="1:13" x14ac:dyDescent="0.3">
      <c r="A1286">
        <v>12259</v>
      </c>
      <c r="B1286" t="s">
        <v>793</v>
      </c>
      <c r="C1286" t="s">
        <v>224</v>
      </c>
      <c r="D1286" t="s">
        <v>225</v>
      </c>
      <c r="E1286">
        <v>4</v>
      </c>
      <c r="F1286">
        <v>94.12</v>
      </c>
      <c r="G1286">
        <v>5.88</v>
      </c>
      <c r="H1286">
        <v>0</v>
      </c>
      <c r="I1286">
        <v>0</v>
      </c>
      <c r="J1286" s="1">
        <v>45928.078016342595</v>
      </c>
      <c r="K1286" t="s">
        <v>796</v>
      </c>
      <c r="L1286">
        <f t="shared" si="20"/>
        <v>1285</v>
      </c>
      <c r="M1286">
        <f>COUNTIF($A$2:A1286,A1286)</f>
        <v>4</v>
      </c>
    </row>
    <row r="1287" spans="1:13" x14ac:dyDescent="0.3">
      <c r="A1287">
        <v>12259</v>
      </c>
      <c r="B1287" t="s">
        <v>793</v>
      </c>
      <c r="C1287" t="s">
        <v>786</v>
      </c>
      <c r="D1287" t="s">
        <v>787</v>
      </c>
      <c r="E1287">
        <v>11</v>
      </c>
      <c r="F1287">
        <v>76.47</v>
      </c>
      <c r="G1287">
        <v>23.53</v>
      </c>
      <c r="H1287">
        <v>0</v>
      </c>
      <c r="I1287">
        <v>0</v>
      </c>
      <c r="J1287" s="1">
        <v>45928.078037824074</v>
      </c>
      <c r="K1287" t="s">
        <v>796</v>
      </c>
      <c r="L1287">
        <f t="shared" si="20"/>
        <v>1286</v>
      </c>
      <c r="M1287">
        <f>COUNTIF($A$2:A1287,A1287)</f>
        <v>5</v>
      </c>
    </row>
    <row r="1288" spans="1:13" x14ac:dyDescent="0.3">
      <c r="A1288">
        <v>12259</v>
      </c>
      <c r="B1288" t="s">
        <v>793</v>
      </c>
      <c r="C1288" t="s">
        <v>110</v>
      </c>
      <c r="D1288" t="s">
        <v>111</v>
      </c>
      <c r="E1288">
        <v>14</v>
      </c>
      <c r="F1288">
        <v>64.709999999999994</v>
      </c>
      <c r="G1288">
        <v>29.41</v>
      </c>
      <c r="H1288">
        <v>5.88</v>
      </c>
      <c r="I1288">
        <v>0</v>
      </c>
      <c r="J1288" s="1">
        <v>45928.078083680557</v>
      </c>
      <c r="K1288" t="s">
        <v>796</v>
      </c>
      <c r="L1288">
        <f t="shared" si="20"/>
        <v>1287</v>
      </c>
      <c r="M1288">
        <f>COUNTIF($A$2:A1288,A1288)</f>
        <v>6</v>
      </c>
    </row>
    <row r="1289" spans="1:13" x14ac:dyDescent="0.3">
      <c r="A1289">
        <v>12259</v>
      </c>
      <c r="B1289" t="s">
        <v>793</v>
      </c>
      <c r="C1289" t="s">
        <v>799</v>
      </c>
      <c r="D1289" t="s">
        <v>800</v>
      </c>
      <c r="E1289">
        <v>24</v>
      </c>
      <c r="F1289">
        <v>64.709999999999994</v>
      </c>
      <c r="G1289">
        <v>29.41</v>
      </c>
      <c r="H1289">
        <v>5.88</v>
      </c>
      <c r="I1289">
        <v>0</v>
      </c>
      <c r="J1289" s="1">
        <v>45928.078132314811</v>
      </c>
      <c r="K1289" t="s">
        <v>796</v>
      </c>
      <c r="L1289">
        <f t="shared" si="20"/>
        <v>1288</v>
      </c>
      <c r="M1289">
        <f>COUNTIF($A$2:A1289,A1289)</f>
        <v>7</v>
      </c>
    </row>
    <row r="1290" spans="1:13" x14ac:dyDescent="0.3">
      <c r="A1290">
        <v>12259</v>
      </c>
      <c r="B1290" t="s">
        <v>793</v>
      </c>
      <c r="C1290" t="s">
        <v>801</v>
      </c>
      <c r="D1290" t="s">
        <v>802</v>
      </c>
      <c r="E1290">
        <v>28</v>
      </c>
      <c r="F1290">
        <v>64.709999999999994</v>
      </c>
      <c r="G1290">
        <v>11.76</v>
      </c>
      <c r="H1290">
        <v>23.53</v>
      </c>
      <c r="I1290">
        <v>0</v>
      </c>
      <c r="J1290" s="1">
        <v>45928.07818034722</v>
      </c>
      <c r="K1290" t="s">
        <v>796</v>
      </c>
      <c r="L1290">
        <f t="shared" si="20"/>
        <v>1289</v>
      </c>
      <c r="M1290">
        <f>COUNTIF($A$2:A1290,A1290)</f>
        <v>8</v>
      </c>
    </row>
    <row r="1291" spans="1:13" x14ac:dyDescent="0.3">
      <c r="A1291">
        <v>12259</v>
      </c>
      <c r="B1291" t="s">
        <v>793</v>
      </c>
      <c r="C1291" t="s">
        <v>803</v>
      </c>
      <c r="D1291" t="s">
        <v>804</v>
      </c>
      <c r="E1291">
        <v>41</v>
      </c>
      <c r="F1291">
        <v>29.41</v>
      </c>
      <c r="G1291">
        <v>47.06</v>
      </c>
      <c r="H1291">
        <v>23.53</v>
      </c>
      <c r="I1291">
        <v>0</v>
      </c>
      <c r="J1291" s="1">
        <v>45928.078200555552</v>
      </c>
      <c r="K1291" t="s">
        <v>796</v>
      </c>
      <c r="L1291">
        <f t="shared" si="20"/>
        <v>1290</v>
      </c>
      <c r="M1291">
        <f>COUNTIF($A$2:A1291,A1291)</f>
        <v>9</v>
      </c>
    </row>
    <row r="1292" spans="1:13" x14ac:dyDescent="0.3">
      <c r="A1292">
        <v>12259</v>
      </c>
      <c r="B1292" t="s">
        <v>793</v>
      </c>
      <c r="C1292" t="s">
        <v>805</v>
      </c>
      <c r="D1292" t="s">
        <v>806</v>
      </c>
      <c r="F1292">
        <v>5.88</v>
      </c>
      <c r="G1292">
        <v>64.709999999999994</v>
      </c>
      <c r="H1292">
        <v>29.41</v>
      </c>
      <c r="I1292">
        <v>0</v>
      </c>
      <c r="J1292" s="1">
        <v>45928.078232106483</v>
      </c>
      <c r="K1292" t="s">
        <v>796</v>
      </c>
      <c r="L1292">
        <f t="shared" si="20"/>
        <v>1291</v>
      </c>
      <c r="M1292">
        <f>COUNTIF($A$2:A1292,A1292)</f>
        <v>10</v>
      </c>
    </row>
    <row r="1293" spans="1:13" x14ac:dyDescent="0.3">
      <c r="A1293">
        <v>12259</v>
      </c>
      <c r="B1293" t="s">
        <v>793</v>
      </c>
      <c r="C1293" t="s">
        <v>807</v>
      </c>
      <c r="D1293" t="s">
        <v>808</v>
      </c>
      <c r="E1293">
        <v>57</v>
      </c>
      <c r="F1293">
        <v>0</v>
      </c>
      <c r="G1293">
        <v>70.59</v>
      </c>
      <c r="H1293">
        <v>29.41</v>
      </c>
      <c r="I1293">
        <v>0</v>
      </c>
      <c r="J1293" s="1">
        <v>45928.078277141205</v>
      </c>
      <c r="K1293" t="s">
        <v>796</v>
      </c>
      <c r="L1293">
        <f t="shared" si="20"/>
        <v>1292</v>
      </c>
      <c r="M1293">
        <f>COUNTIF($A$2:A1293,A1293)</f>
        <v>11</v>
      </c>
    </row>
    <row r="1294" spans="1:13" x14ac:dyDescent="0.3">
      <c r="A1294">
        <v>12259</v>
      </c>
      <c r="B1294" t="s">
        <v>793</v>
      </c>
      <c r="C1294" t="s">
        <v>809</v>
      </c>
      <c r="D1294" t="s">
        <v>810</v>
      </c>
      <c r="E1294">
        <v>7</v>
      </c>
      <c r="F1294">
        <v>70.59</v>
      </c>
      <c r="G1294">
        <v>23.53</v>
      </c>
      <c r="H1294">
        <v>5.88</v>
      </c>
      <c r="I1294">
        <v>0</v>
      </c>
      <c r="J1294" s="1">
        <v>45928.078321886576</v>
      </c>
      <c r="K1294" t="s">
        <v>796</v>
      </c>
      <c r="L1294">
        <f t="shared" si="20"/>
        <v>1293</v>
      </c>
      <c r="M1294">
        <f>COUNTIF($A$2:A1294,A1294)</f>
        <v>12</v>
      </c>
    </row>
    <row r="1295" spans="1:13" x14ac:dyDescent="0.3">
      <c r="A1295">
        <v>12260</v>
      </c>
      <c r="B1295" t="s">
        <v>793</v>
      </c>
      <c r="C1295" t="s">
        <v>809</v>
      </c>
      <c r="D1295" t="s">
        <v>810</v>
      </c>
      <c r="F1295">
        <v>100</v>
      </c>
      <c r="G1295">
        <v>0</v>
      </c>
      <c r="H1295">
        <v>0</v>
      </c>
      <c r="I1295">
        <v>0</v>
      </c>
      <c r="J1295" s="1">
        <v>45928.078669444447</v>
      </c>
      <c r="K1295" t="s">
        <v>811</v>
      </c>
      <c r="L1295">
        <f t="shared" si="20"/>
        <v>1294</v>
      </c>
      <c r="M1295">
        <f>COUNTIF($A$2:A1295,A1295)</f>
        <v>1</v>
      </c>
    </row>
    <row r="1296" spans="1:13" x14ac:dyDescent="0.3">
      <c r="A1296">
        <v>12260</v>
      </c>
      <c r="B1296" t="s">
        <v>793</v>
      </c>
      <c r="C1296" t="s">
        <v>807</v>
      </c>
      <c r="D1296" t="s">
        <v>808</v>
      </c>
      <c r="E1296">
        <v>15</v>
      </c>
      <c r="F1296">
        <v>68.75</v>
      </c>
      <c r="G1296">
        <v>25</v>
      </c>
      <c r="H1296">
        <v>6.25</v>
      </c>
      <c r="I1296">
        <v>0</v>
      </c>
      <c r="J1296" s="1">
        <v>45928.078686562498</v>
      </c>
      <c r="K1296" t="s">
        <v>811</v>
      </c>
      <c r="L1296">
        <f t="shared" si="20"/>
        <v>1295</v>
      </c>
      <c r="M1296">
        <f>COUNTIF($A$2:A1296,A1296)</f>
        <v>2</v>
      </c>
    </row>
    <row r="1297" spans="1:13" x14ac:dyDescent="0.3">
      <c r="A1297">
        <v>12260</v>
      </c>
      <c r="B1297" t="s">
        <v>793</v>
      </c>
      <c r="C1297" t="s">
        <v>805</v>
      </c>
      <c r="D1297" t="s">
        <v>806</v>
      </c>
      <c r="F1297">
        <v>62.5</v>
      </c>
      <c r="G1297">
        <v>31.25</v>
      </c>
      <c r="H1297">
        <v>6.25</v>
      </c>
      <c r="I1297">
        <v>0</v>
      </c>
      <c r="J1297" s="1">
        <v>45928.078706053238</v>
      </c>
      <c r="K1297" t="s">
        <v>811</v>
      </c>
      <c r="L1297">
        <f t="shared" si="20"/>
        <v>1296</v>
      </c>
      <c r="M1297">
        <f>COUNTIF($A$2:A1297,A1297)</f>
        <v>3</v>
      </c>
    </row>
    <row r="1298" spans="1:13" x14ac:dyDescent="0.3">
      <c r="A1298">
        <v>12260</v>
      </c>
      <c r="B1298" t="s">
        <v>793</v>
      </c>
      <c r="C1298" t="s">
        <v>803</v>
      </c>
      <c r="D1298" t="s">
        <v>804</v>
      </c>
      <c r="F1298">
        <v>81.25</v>
      </c>
      <c r="G1298">
        <v>12.5</v>
      </c>
      <c r="H1298">
        <v>6.25</v>
      </c>
      <c r="I1298">
        <v>0</v>
      </c>
      <c r="J1298" s="1">
        <v>45928.078731076392</v>
      </c>
      <c r="K1298" t="s">
        <v>811</v>
      </c>
      <c r="L1298">
        <f t="shared" si="20"/>
        <v>1297</v>
      </c>
      <c r="M1298">
        <f>COUNTIF($A$2:A1298,A1298)</f>
        <v>4</v>
      </c>
    </row>
    <row r="1299" spans="1:13" x14ac:dyDescent="0.3">
      <c r="A1299">
        <v>12260</v>
      </c>
      <c r="B1299" t="s">
        <v>793</v>
      </c>
      <c r="C1299" t="s">
        <v>801</v>
      </c>
      <c r="D1299" t="s">
        <v>802</v>
      </c>
      <c r="E1299">
        <v>24</v>
      </c>
      <c r="F1299">
        <v>31.25</v>
      </c>
      <c r="G1299">
        <v>62.5</v>
      </c>
      <c r="H1299">
        <v>6.25</v>
      </c>
      <c r="I1299">
        <v>0</v>
      </c>
      <c r="J1299" s="1">
        <v>45928.078750046298</v>
      </c>
      <c r="K1299" t="s">
        <v>811</v>
      </c>
      <c r="L1299">
        <f t="shared" si="20"/>
        <v>1298</v>
      </c>
      <c r="M1299">
        <f>COUNTIF($A$2:A1299,A1299)</f>
        <v>5</v>
      </c>
    </row>
    <row r="1300" spans="1:13" x14ac:dyDescent="0.3">
      <c r="A1300">
        <v>12260</v>
      </c>
      <c r="B1300" t="s">
        <v>793</v>
      </c>
      <c r="C1300" t="s">
        <v>799</v>
      </c>
      <c r="D1300" t="s">
        <v>800</v>
      </c>
      <c r="E1300">
        <v>24</v>
      </c>
      <c r="F1300">
        <v>37.5</v>
      </c>
      <c r="G1300">
        <v>56.25</v>
      </c>
      <c r="H1300">
        <v>6.25</v>
      </c>
      <c r="I1300">
        <v>0</v>
      </c>
      <c r="J1300" s="1">
        <v>45928.078769849541</v>
      </c>
      <c r="K1300" t="s">
        <v>811</v>
      </c>
      <c r="L1300">
        <f t="shared" si="20"/>
        <v>1299</v>
      </c>
      <c r="M1300">
        <f>COUNTIF($A$2:A1300,A1300)</f>
        <v>6</v>
      </c>
    </row>
    <row r="1301" spans="1:13" x14ac:dyDescent="0.3">
      <c r="A1301">
        <v>12260</v>
      </c>
      <c r="B1301" t="s">
        <v>793</v>
      </c>
      <c r="C1301" t="s">
        <v>110</v>
      </c>
      <c r="D1301" t="s">
        <v>111</v>
      </c>
      <c r="E1301">
        <v>8</v>
      </c>
      <c r="F1301">
        <v>93.75</v>
      </c>
      <c r="G1301">
        <v>0</v>
      </c>
      <c r="H1301">
        <v>6.25</v>
      </c>
      <c r="I1301">
        <v>0</v>
      </c>
      <c r="J1301" s="1">
        <v>45928.078790543979</v>
      </c>
      <c r="K1301" t="s">
        <v>811</v>
      </c>
      <c r="L1301">
        <f t="shared" si="20"/>
        <v>1300</v>
      </c>
      <c r="M1301">
        <f>COUNTIF($A$2:A1301,A1301)</f>
        <v>7</v>
      </c>
    </row>
    <row r="1302" spans="1:13" x14ac:dyDescent="0.3">
      <c r="A1302">
        <v>12260</v>
      </c>
      <c r="B1302" t="s">
        <v>793</v>
      </c>
      <c r="C1302" t="s">
        <v>786</v>
      </c>
      <c r="D1302" t="s">
        <v>787</v>
      </c>
      <c r="E1302">
        <v>25</v>
      </c>
      <c r="F1302">
        <v>50</v>
      </c>
      <c r="G1302">
        <v>43.75</v>
      </c>
      <c r="H1302">
        <v>6.25</v>
      </c>
      <c r="I1302">
        <v>0</v>
      </c>
      <c r="J1302" s="1">
        <v>45928.078806215279</v>
      </c>
      <c r="K1302" t="s">
        <v>811</v>
      </c>
      <c r="L1302">
        <f t="shared" si="20"/>
        <v>1301</v>
      </c>
      <c r="M1302">
        <f>COUNTIF($A$2:A1302,A1302)</f>
        <v>8</v>
      </c>
    </row>
    <row r="1303" spans="1:13" x14ac:dyDescent="0.3">
      <c r="A1303">
        <v>12260</v>
      </c>
      <c r="B1303" t="s">
        <v>793</v>
      </c>
      <c r="C1303" t="s">
        <v>224</v>
      </c>
      <c r="D1303" t="s">
        <v>225</v>
      </c>
      <c r="E1303">
        <v>23</v>
      </c>
      <c r="F1303">
        <v>68.75</v>
      </c>
      <c r="G1303">
        <v>18.75</v>
      </c>
      <c r="H1303">
        <v>12.5</v>
      </c>
      <c r="I1303">
        <v>0</v>
      </c>
      <c r="J1303" s="1">
        <v>45928.07882239583</v>
      </c>
      <c r="K1303" t="s">
        <v>811</v>
      </c>
      <c r="L1303">
        <f t="shared" si="20"/>
        <v>1302</v>
      </c>
      <c r="M1303">
        <f>COUNTIF($A$2:A1303,A1303)</f>
        <v>9</v>
      </c>
    </row>
    <row r="1304" spans="1:13" x14ac:dyDescent="0.3">
      <c r="A1304">
        <v>12260</v>
      </c>
      <c r="B1304" t="s">
        <v>793</v>
      </c>
      <c r="C1304" t="s">
        <v>797</v>
      </c>
      <c r="D1304" t="s">
        <v>798</v>
      </c>
      <c r="F1304">
        <v>56.25</v>
      </c>
      <c r="G1304">
        <v>31.25</v>
      </c>
      <c r="H1304">
        <v>12.5</v>
      </c>
      <c r="I1304">
        <v>0</v>
      </c>
      <c r="J1304" s="1">
        <v>45928.078843287039</v>
      </c>
      <c r="K1304" t="s">
        <v>811</v>
      </c>
      <c r="L1304">
        <f t="shared" si="20"/>
        <v>1303</v>
      </c>
      <c r="M1304">
        <f>COUNTIF($A$2:A1304,A1304)</f>
        <v>10</v>
      </c>
    </row>
    <row r="1305" spans="1:13" x14ac:dyDescent="0.3">
      <c r="A1305">
        <v>12260</v>
      </c>
      <c r="B1305" t="s">
        <v>793</v>
      </c>
      <c r="C1305" t="s">
        <v>757</v>
      </c>
      <c r="D1305" t="s">
        <v>758</v>
      </c>
      <c r="E1305">
        <v>33</v>
      </c>
      <c r="F1305">
        <v>43.75</v>
      </c>
      <c r="G1305">
        <v>43.75</v>
      </c>
      <c r="H1305">
        <v>12.5</v>
      </c>
      <c r="I1305">
        <v>0</v>
      </c>
      <c r="J1305" s="1">
        <v>45928.07886386574</v>
      </c>
      <c r="K1305" t="s">
        <v>811</v>
      </c>
      <c r="L1305">
        <f t="shared" si="20"/>
        <v>1304</v>
      </c>
      <c r="M1305">
        <f>COUNTIF($A$2:A1305,A1305)</f>
        <v>11</v>
      </c>
    </row>
    <row r="1306" spans="1:13" x14ac:dyDescent="0.3">
      <c r="A1306">
        <v>12260</v>
      </c>
      <c r="B1306" t="s">
        <v>793</v>
      </c>
      <c r="C1306" t="s">
        <v>794</v>
      </c>
      <c r="D1306" t="s">
        <v>795</v>
      </c>
      <c r="E1306">
        <v>55</v>
      </c>
      <c r="F1306">
        <v>81.25</v>
      </c>
      <c r="G1306">
        <v>6.25</v>
      </c>
      <c r="H1306">
        <v>12.5</v>
      </c>
      <c r="I1306">
        <v>0</v>
      </c>
      <c r="J1306" s="1">
        <v>45928.078885173614</v>
      </c>
      <c r="K1306" t="s">
        <v>811</v>
      </c>
      <c r="L1306">
        <f t="shared" si="20"/>
        <v>1305</v>
      </c>
      <c r="M1306">
        <f>COUNTIF($A$2:A1306,A1306)</f>
        <v>12</v>
      </c>
    </row>
    <row r="1307" spans="1:13" x14ac:dyDescent="0.3">
      <c r="A1307">
        <v>12261</v>
      </c>
      <c r="B1307" t="s">
        <v>812</v>
      </c>
      <c r="C1307" t="s">
        <v>379</v>
      </c>
      <c r="D1307" t="s">
        <v>380</v>
      </c>
      <c r="E1307">
        <v>231</v>
      </c>
      <c r="F1307">
        <v>46.41</v>
      </c>
      <c r="G1307">
        <v>6.22</v>
      </c>
      <c r="H1307">
        <v>47.37</v>
      </c>
      <c r="I1307">
        <v>0</v>
      </c>
      <c r="J1307" s="1">
        <v>45928.078977511577</v>
      </c>
      <c r="K1307" t="s">
        <v>813</v>
      </c>
      <c r="L1307">
        <f t="shared" si="20"/>
        <v>1306</v>
      </c>
      <c r="M1307">
        <f>COUNTIF($A$2:A1307,A1307)</f>
        <v>1</v>
      </c>
    </row>
    <row r="1308" spans="1:13" x14ac:dyDescent="0.3">
      <c r="A1308">
        <v>12261</v>
      </c>
      <c r="B1308" t="s">
        <v>812</v>
      </c>
      <c r="C1308" t="s">
        <v>386</v>
      </c>
      <c r="D1308" t="s">
        <v>387</v>
      </c>
      <c r="E1308">
        <v>261</v>
      </c>
      <c r="F1308">
        <v>36.36</v>
      </c>
      <c r="G1308">
        <v>10.53</v>
      </c>
      <c r="H1308">
        <v>52.63</v>
      </c>
      <c r="I1308">
        <v>0.48</v>
      </c>
      <c r="J1308" s="1">
        <v>45928.078993831019</v>
      </c>
      <c r="K1308" t="s">
        <v>813</v>
      </c>
      <c r="L1308">
        <f t="shared" si="20"/>
        <v>1307</v>
      </c>
      <c r="M1308">
        <f>COUNTIF($A$2:A1308,A1308)</f>
        <v>2</v>
      </c>
    </row>
    <row r="1309" spans="1:13" x14ac:dyDescent="0.3">
      <c r="A1309">
        <v>12261</v>
      </c>
      <c r="B1309" t="s">
        <v>812</v>
      </c>
      <c r="C1309" t="s">
        <v>555</v>
      </c>
      <c r="D1309" t="s">
        <v>556</v>
      </c>
      <c r="E1309">
        <v>305</v>
      </c>
      <c r="F1309">
        <v>11.48</v>
      </c>
      <c r="G1309">
        <v>31.1</v>
      </c>
      <c r="H1309">
        <v>57.42</v>
      </c>
      <c r="I1309">
        <v>0</v>
      </c>
      <c r="J1309" s="1">
        <v>45928.07903547454</v>
      </c>
      <c r="K1309" t="s">
        <v>813</v>
      </c>
      <c r="L1309">
        <f t="shared" si="20"/>
        <v>1308</v>
      </c>
      <c r="M1309">
        <f>COUNTIF($A$2:A1309,A1309)</f>
        <v>3</v>
      </c>
    </row>
    <row r="1310" spans="1:13" x14ac:dyDescent="0.3">
      <c r="A1310">
        <v>12261</v>
      </c>
      <c r="B1310" t="s">
        <v>812</v>
      </c>
      <c r="C1310" t="s">
        <v>814</v>
      </c>
      <c r="D1310" t="s">
        <v>815</v>
      </c>
      <c r="E1310">
        <v>448</v>
      </c>
      <c r="F1310">
        <v>0.96</v>
      </c>
      <c r="G1310">
        <v>0.96</v>
      </c>
      <c r="H1310">
        <v>4.3099999999999996</v>
      </c>
      <c r="I1310">
        <v>93.77</v>
      </c>
      <c r="J1310" s="1">
        <v>45928.079054606482</v>
      </c>
      <c r="K1310" t="s">
        <v>813</v>
      </c>
      <c r="L1310">
        <f t="shared" si="20"/>
        <v>1309</v>
      </c>
      <c r="M1310">
        <f>COUNTIF($A$2:A1310,A1310)</f>
        <v>4</v>
      </c>
    </row>
    <row r="1311" spans="1:13" x14ac:dyDescent="0.3">
      <c r="A1311">
        <v>12261</v>
      </c>
      <c r="B1311" t="s">
        <v>812</v>
      </c>
      <c r="C1311" t="s">
        <v>96</v>
      </c>
      <c r="D1311" t="s">
        <v>97</v>
      </c>
      <c r="E1311">
        <v>305</v>
      </c>
      <c r="F1311">
        <v>27.75</v>
      </c>
      <c r="G1311">
        <v>16.75</v>
      </c>
      <c r="H1311">
        <v>55.5</v>
      </c>
      <c r="I1311">
        <v>0</v>
      </c>
      <c r="J1311" s="1">
        <v>45928.079072002314</v>
      </c>
      <c r="K1311" t="s">
        <v>813</v>
      </c>
      <c r="L1311">
        <f t="shared" si="20"/>
        <v>1310</v>
      </c>
      <c r="M1311">
        <f>COUNTIF($A$2:A1311,A1311)</f>
        <v>5</v>
      </c>
    </row>
    <row r="1312" spans="1:13" x14ac:dyDescent="0.3">
      <c r="A1312">
        <v>12261</v>
      </c>
      <c r="B1312" t="s">
        <v>812</v>
      </c>
      <c r="C1312" t="s">
        <v>816</v>
      </c>
      <c r="D1312" t="s">
        <v>817</v>
      </c>
      <c r="E1312">
        <v>298</v>
      </c>
      <c r="F1312">
        <v>25.36</v>
      </c>
      <c r="G1312">
        <v>20.100000000000001</v>
      </c>
      <c r="H1312">
        <v>54.55</v>
      </c>
      <c r="I1312">
        <v>0</v>
      </c>
      <c r="J1312" s="1">
        <v>45928.079114664353</v>
      </c>
      <c r="K1312" t="s">
        <v>813</v>
      </c>
      <c r="L1312">
        <f t="shared" si="20"/>
        <v>1311</v>
      </c>
      <c r="M1312">
        <f>COUNTIF($A$2:A1312,A1312)</f>
        <v>6</v>
      </c>
    </row>
    <row r="1313" spans="1:13" x14ac:dyDescent="0.3">
      <c r="A1313">
        <v>12261</v>
      </c>
      <c r="B1313" t="s">
        <v>812</v>
      </c>
      <c r="C1313" t="s">
        <v>818</v>
      </c>
      <c r="D1313" t="s">
        <v>819</v>
      </c>
      <c r="E1313">
        <v>530</v>
      </c>
      <c r="F1313">
        <v>0.48</v>
      </c>
      <c r="G1313">
        <v>0</v>
      </c>
      <c r="H1313">
        <v>99.04</v>
      </c>
      <c r="I1313">
        <v>0.48</v>
      </c>
      <c r="J1313" s="1">
        <v>45928.079134733794</v>
      </c>
      <c r="K1313" t="s">
        <v>813</v>
      </c>
      <c r="L1313">
        <f t="shared" si="20"/>
        <v>1312</v>
      </c>
      <c r="M1313">
        <f>COUNTIF($A$2:A1313,A1313)</f>
        <v>7</v>
      </c>
    </row>
    <row r="1314" spans="1:13" x14ac:dyDescent="0.3">
      <c r="A1314">
        <v>12261</v>
      </c>
      <c r="B1314" t="s">
        <v>812</v>
      </c>
      <c r="C1314" t="s">
        <v>114</v>
      </c>
      <c r="D1314" t="s">
        <v>115</v>
      </c>
      <c r="E1314">
        <v>586</v>
      </c>
      <c r="F1314">
        <v>0.48</v>
      </c>
      <c r="G1314">
        <v>0</v>
      </c>
      <c r="H1314">
        <v>99.04</v>
      </c>
      <c r="I1314">
        <v>0.48</v>
      </c>
      <c r="J1314" s="1">
        <v>45928.079151423612</v>
      </c>
      <c r="K1314" t="s">
        <v>813</v>
      </c>
      <c r="L1314">
        <f t="shared" si="20"/>
        <v>1313</v>
      </c>
      <c r="M1314">
        <f>COUNTIF($A$2:A1314,A1314)</f>
        <v>8</v>
      </c>
    </row>
    <row r="1315" spans="1:13" x14ac:dyDescent="0.3">
      <c r="A1315">
        <v>12262</v>
      </c>
      <c r="B1315" t="s">
        <v>812</v>
      </c>
      <c r="C1315" t="s">
        <v>114</v>
      </c>
      <c r="D1315" t="s">
        <v>115</v>
      </c>
      <c r="E1315">
        <v>92</v>
      </c>
      <c r="F1315">
        <v>62.5</v>
      </c>
      <c r="G1315">
        <v>6.25</v>
      </c>
      <c r="H1315">
        <v>31.25</v>
      </c>
      <c r="I1315">
        <v>0</v>
      </c>
      <c r="J1315" s="1">
        <v>45928.079224780093</v>
      </c>
      <c r="K1315" t="s">
        <v>820</v>
      </c>
      <c r="L1315">
        <f t="shared" si="20"/>
        <v>1314</v>
      </c>
      <c r="M1315">
        <f>COUNTIF($A$2:A1315,A1315)</f>
        <v>1</v>
      </c>
    </row>
    <row r="1316" spans="1:13" x14ac:dyDescent="0.3">
      <c r="A1316">
        <v>12262</v>
      </c>
      <c r="B1316" t="s">
        <v>812</v>
      </c>
      <c r="C1316" t="s">
        <v>818</v>
      </c>
      <c r="D1316" t="s">
        <v>819</v>
      </c>
      <c r="E1316">
        <v>147</v>
      </c>
      <c r="F1316">
        <v>6.25</v>
      </c>
      <c r="G1316">
        <v>43.75</v>
      </c>
      <c r="H1316">
        <v>50</v>
      </c>
      <c r="I1316">
        <v>0</v>
      </c>
      <c r="J1316" s="1">
        <v>45928.079244004628</v>
      </c>
      <c r="K1316" t="s">
        <v>820</v>
      </c>
      <c r="L1316">
        <f t="shared" si="20"/>
        <v>1315</v>
      </c>
      <c r="M1316">
        <f>COUNTIF($A$2:A1316,A1316)</f>
        <v>2</v>
      </c>
    </row>
    <row r="1317" spans="1:13" x14ac:dyDescent="0.3">
      <c r="A1317">
        <v>12262</v>
      </c>
      <c r="B1317" t="s">
        <v>812</v>
      </c>
      <c r="C1317" t="s">
        <v>816</v>
      </c>
      <c r="D1317" t="s">
        <v>817</v>
      </c>
      <c r="E1317">
        <v>301</v>
      </c>
      <c r="F1317">
        <v>18.75</v>
      </c>
      <c r="G1317">
        <v>0</v>
      </c>
      <c r="H1317">
        <v>81.25</v>
      </c>
      <c r="I1317">
        <v>0</v>
      </c>
      <c r="J1317" s="1">
        <v>45928.079261979168</v>
      </c>
      <c r="K1317" t="s">
        <v>820</v>
      </c>
      <c r="L1317">
        <f t="shared" si="20"/>
        <v>1316</v>
      </c>
      <c r="M1317">
        <f>COUNTIF($A$2:A1317,A1317)</f>
        <v>3</v>
      </c>
    </row>
    <row r="1318" spans="1:13" x14ac:dyDescent="0.3">
      <c r="A1318">
        <v>12262</v>
      </c>
      <c r="B1318" t="s">
        <v>812</v>
      </c>
      <c r="C1318" t="s">
        <v>96</v>
      </c>
      <c r="D1318" t="s">
        <v>97</v>
      </c>
      <c r="F1318">
        <v>6.25</v>
      </c>
      <c r="G1318">
        <v>0</v>
      </c>
      <c r="H1318">
        <v>93.75</v>
      </c>
      <c r="I1318">
        <v>0</v>
      </c>
      <c r="J1318" s="1">
        <v>45928.079283657411</v>
      </c>
      <c r="K1318" t="s">
        <v>820</v>
      </c>
      <c r="L1318">
        <f t="shared" si="20"/>
        <v>1317</v>
      </c>
      <c r="M1318">
        <f>COUNTIF($A$2:A1318,A1318)</f>
        <v>4</v>
      </c>
    </row>
    <row r="1319" spans="1:13" x14ac:dyDescent="0.3">
      <c r="A1319">
        <v>12262</v>
      </c>
      <c r="B1319" t="s">
        <v>812</v>
      </c>
      <c r="C1319" t="s">
        <v>814</v>
      </c>
      <c r="D1319" t="s">
        <v>815</v>
      </c>
      <c r="E1319">
        <v>411</v>
      </c>
      <c r="F1319">
        <v>6.25</v>
      </c>
      <c r="G1319">
        <v>0</v>
      </c>
      <c r="H1319">
        <v>68.75</v>
      </c>
      <c r="I1319">
        <v>25</v>
      </c>
      <c r="J1319" s="1">
        <v>45928.079301157406</v>
      </c>
      <c r="K1319" t="s">
        <v>820</v>
      </c>
      <c r="L1319">
        <f t="shared" si="20"/>
        <v>1318</v>
      </c>
      <c r="M1319">
        <f>COUNTIF($A$2:A1319,A1319)</f>
        <v>5</v>
      </c>
    </row>
    <row r="1320" spans="1:13" x14ac:dyDescent="0.3">
      <c r="A1320">
        <v>12262</v>
      </c>
      <c r="B1320" t="s">
        <v>812</v>
      </c>
      <c r="C1320" t="s">
        <v>555</v>
      </c>
      <c r="D1320" t="s">
        <v>556</v>
      </c>
      <c r="F1320">
        <v>6.25</v>
      </c>
      <c r="G1320">
        <v>0</v>
      </c>
      <c r="H1320">
        <v>93.75</v>
      </c>
      <c r="I1320">
        <v>0</v>
      </c>
      <c r="J1320" s="1">
        <v>45928.079322569443</v>
      </c>
      <c r="K1320" t="s">
        <v>820</v>
      </c>
      <c r="L1320">
        <f t="shared" si="20"/>
        <v>1319</v>
      </c>
      <c r="M1320">
        <f>COUNTIF($A$2:A1320,A1320)</f>
        <v>6</v>
      </c>
    </row>
    <row r="1321" spans="1:13" x14ac:dyDescent="0.3">
      <c r="A1321">
        <v>12262</v>
      </c>
      <c r="B1321" t="s">
        <v>812</v>
      </c>
      <c r="C1321" t="s">
        <v>386</v>
      </c>
      <c r="D1321" t="s">
        <v>387</v>
      </c>
      <c r="E1321">
        <v>482</v>
      </c>
      <c r="F1321">
        <v>6.25</v>
      </c>
      <c r="G1321">
        <v>0</v>
      </c>
      <c r="H1321">
        <v>93.75</v>
      </c>
      <c r="I1321">
        <v>0</v>
      </c>
      <c r="J1321" s="1">
        <v>45928.079339166667</v>
      </c>
      <c r="K1321" t="s">
        <v>820</v>
      </c>
      <c r="L1321">
        <f t="shared" si="20"/>
        <v>1320</v>
      </c>
      <c r="M1321">
        <f>COUNTIF($A$2:A1321,A1321)</f>
        <v>7</v>
      </c>
    </row>
    <row r="1322" spans="1:13" x14ac:dyDescent="0.3">
      <c r="A1322">
        <v>12262</v>
      </c>
      <c r="B1322" t="s">
        <v>812</v>
      </c>
      <c r="C1322" t="s">
        <v>379</v>
      </c>
      <c r="D1322" t="s">
        <v>380</v>
      </c>
      <c r="E1322">
        <v>468</v>
      </c>
      <c r="F1322">
        <v>6.25</v>
      </c>
      <c r="G1322">
        <v>0</v>
      </c>
      <c r="H1322">
        <v>93.75</v>
      </c>
      <c r="I1322">
        <v>0</v>
      </c>
      <c r="J1322" s="1">
        <v>45928.079358993054</v>
      </c>
      <c r="K1322" t="s">
        <v>820</v>
      </c>
      <c r="L1322">
        <f t="shared" si="20"/>
        <v>1321</v>
      </c>
      <c r="M1322">
        <f>COUNTIF($A$2:A1322,A1322)</f>
        <v>8</v>
      </c>
    </row>
    <row r="1323" spans="1:13" x14ac:dyDescent="0.3">
      <c r="A1323">
        <v>12301</v>
      </c>
      <c r="B1323" t="s">
        <v>821</v>
      </c>
      <c r="C1323" t="s">
        <v>114</v>
      </c>
      <c r="D1323" t="s">
        <v>115</v>
      </c>
      <c r="F1323">
        <v>100</v>
      </c>
      <c r="G1323">
        <v>0</v>
      </c>
      <c r="H1323">
        <v>0</v>
      </c>
      <c r="I1323">
        <v>0</v>
      </c>
      <c r="J1323" s="1">
        <v>45928.079442256945</v>
      </c>
      <c r="K1323" t="s">
        <v>822</v>
      </c>
      <c r="L1323">
        <f t="shared" si="20"/>
        <v>1322</v>
      </c>
      <c r="M1323">
        <f>COUNTIF($A$2:A1323,A1323)</f>
        <v>1</v>
      </c>
    </row>
    <row r="1324" spans="1:13" x14ac:dyDescent="0.3">
      <c r="A1324">
        <v>12301</v>
      </c>
      <c r="B1324" t="s">
        <v>821</v>
      </c>
      <c r="C1324" t="s">
        <v>755</v>
      </c>
      <c r="D1324" t="s">
        <v>756</v>
      </c>
      <c r="E1324">
        <v>16</v>
      </c>
      <c r="F1324">
        <v>56</v>
      </c>
      <c r="G1324">
        <v>44</v>
      </c>
      <c r="H1324">
        <v>0</v>
      </c>
      <c r="I1324">
        <v>0</v>
      </c>
      <c r="J1324" s="1">
        <v>45928.079461469904</v>
      </c>
      <c r="K1324" t="s">
        <v>822</v>
      </c>
      <c r="L1324">
        <f t="shared" si="20"/>
        <v>1323</v>
      </c>
      <c r="M1324">
        <f>COUNTIF($A$2:A1324,A1324)</f>
        <v>2</v>
      </c>
    </row>
    <row r="1325" spans="1:13" x14ac:dyDescent="0.3">
      <c r="A1325">
        <v>12301</v>
      </c>
      <c r="B1325" t="s">
        <v>821</v>
      </c>
      <c r="C1325" t="s">
        <v>757</v>
      </c>
      <c r="D1325" t="s">
        <v>758</v>
      </c>
      <c r="E1325">
        <v>3</v>
      </c>
      <c r="F1325">
        <v>100</v>
      </c>
      <c r="G1325">
        <v>0</v>
      </c>
      <c r="H1325">
        <v>0</v>
      </c>
      <c r="I1325">
        <v>0</v>
      </c>
      <c r="J1325" s="1">
        <v>45928.079481759261</v>
      </c>
      <c r="K1325" t="s">
        <v>822</v>
      </c>
      <c r="L1325">
        <f t="shared" si="20"/>
        <v>1324</v>
      </c>
      <c r="M1325">
        <f>COUNTIF($A$2:A1325,A1325)</f>
        <v>3</v>
      </c>
    </row>
    <row r="1326" spans="1:13" x14ac:dyDescent="0.3">
      <c r="A1326">
        <v>12301</v>
      </c>
      <c r="B1326" t="s">
        <v>821</v>
      </c>
      <c r="C1326" t="s">
        <v>823</v>
      </c>
      <c r="D1326" t="s">
        <v>824</v>
      </c>
      <c r="E1326">
        <v>6</v>
      </c>
      <c r="F1326">
        <v>100</v>
      </c>
      <c r="G1326">
        <v>0</v>
      </c>
      <c r="H1326">
        <v>0</v>
      </c>
      <c r="I1326">
        <v>0</v>
      </c>
      <c r="J1326" s="1">
        <v>45928.079501585649</v>
      </c>
      <c r="K1326" t="s">
        <v>822</v>
      </c>
      <c r="L1326">
        <f t="shared" si="20"/>
        <v>1325</v>
      </c>
      <c r="M1326">
        <f>COUNTIF($A$2:A1326,A1326)</f>
        <v>4</v>
      </c>
    </row>
    <row r="1327" spans="1:13" x14ac:dyDescent="0.3">
      <c r="A1327">
        <v>12301</v>
      </c>
      <c r="B1327" t="s">
        <v>821</v>
      </c>
      <c r="C1327" t="s">
        <v>825</v>
      </c>
      <c r="D1327" t="s">
        <v>826</v>
      </c>
      <c r="F1327">
        <v>92</v>
      </c>
      <c r="G1327">
        <v>4</v>
      </c>
      <c r="H1327">
        <v>4</v>
      </c>
      <c r="I1327">
        <v>0</v>
      </c>
      <c r="J1327" s="1">
        <v>45928.079525671295</v>
      </c>
      <c r="K1327" t="s">
        <v>822</v>
      </c>
      <c r="L1327">
        <f t="shared" si="20"/>
        <v>1326</v>
      </c>
      <c r="M1327">
        <f>COUNTIF($A$2:A1327,A1327)</f>
        <v>5</v>
      </c>
    </row>
    <row r="1328" spans="1:13" x14ac:dyDescent="0.3">
      <c r="A1328">
        <v>12301</v>
      </c>
      <c r="B1328" t="s">
        <v>821</v>
      </c>
      <c r="C1328" t="s">
        <v>224</v>
      </c>
      <c r="D1328" t="s">
        <v>225</v>
      </c>
      <c r="E1328">
        <v>15</v>
      </c>
      <c r="F1328">
        <v>92</v>
      </c>
      <c r="G1328">
        <v>4</v>
      </c>
      <c r="H1328">
        <v>4</v>
      </c>
      <c r="I1328">
        <v>0</v>
      </c>
      <c r="J1328" s="1">
        <v>45928.079541354164</v>
      </c>
      <c r="K1328" t="s">
        <v>822</v>
      </c>
      <c r="L1328">
        <f t="shared" si="20"/>
        <v>1327</v>
      </c>
      <c r="M1328">
        <f>COUNTIF($A$2:A1328,A1328)</f>
        <v>6</v>
      </c>
    </row>
    <row r="1329" spans="1:13" x14ac:dyDescent="0.3">
      <c r="A1329">
        <v>12301</v>
      </c>
      <c r="B1329" t="s">
        <v>821</v>
      </c>
      <c r="C1329" t="s">
        <v>784</v>
      </c>
      <c r="D1329" t="s">
        <v>785</v>
      </c>
      <c r="E1329">
        <v>15</v>
      </c>
      <c r="F1329">
        <v>92</v>
      </c>
      <c r="G1329">
        <v>4</v>
      </c>
      <c r="H1329">
        <v>4</v>
      </c>
      <c r="I1329">
        <v>0</v>
      </c>
      <c r="J1329" s="1">
        <v>45928.079557372686</v>
      </c>
      <c r="K1329" t="s">
        <v>822</v>
      </c>
      <c r="L1329">
        <f t="shared" si="20"/>
        <v>1328</v>
      </c>
      <c r="M1329">
        <f>COUNTIF($A$2:A1329,A1329)</f>
        <v>7</v>
      </c>
    </row>
    <row r="1330" spans="1:13" x14ac:dyDescent="0.3">
      <c r="A1330">
        <v>12301</v>
      </c>
      <c r="B1330" t="s">
        <v>821</v>
      </c>
      <c r="C1330" t="s">
        <v>786</v>
      </c>
      <c r="D1330" t="s">
        <v>787</v>
      </c>
      <c r="E1330">
        <v>19</v>
      </c>
      <c r="F1330">
        <v>76</v>
      </c>
      <c r="G1330">
        <v>20</v>
      </c>
      <c r="H1330">
        <v>4</v>
      </c>
      <c r="I1330">
        <v>0</v>
      </c>
      <c r="J1330" s="1">
        <v>45928.079574097224</v>
      </c>
      <c r="K1330" t="s">
        <v>822</v>
      </c>
      <c r="L1330">
        <f t="shared" si="20"/>
        <v>1329</v>
      </c>
      <c r="M1330">
        <f>COUNTIF($A$2:A1330,A1330)</f>
        <v>8</v>
      </c>
    </row>
    <row r="1331" spans="1:13" x14ac:dyDescent="0.3">
      <c r="A1331">
        <v>12301</v>
      </c>
      <c r="B1331" t="s">
        <v>821</v>
      </c>
      <c r="C1331" t="s">
        <v>110</v>
      </c>
      <c r="D1331" t="s">
        <v>111</v>
      </c>
      <c r="E1331">
        <v>22</v>
      </c>
      <c r="F1331">
        <v>76</v>
      </c>
      <c r="G1331">
        <v>20</v>
      </c>
      <c r="H1331">
        <v>4</v>
      </c>
      <c r="I1331">
        <v>0</v>
      </c>
      <c r="J1331" s="1">
        <v>45928.079593969909</v>
      </c>
      <c r="K1331" t="s">
        <v>822</v>
      </c>
      <c r="L1331">
        <f t="shared" si="20"/>
        <v>1330</v>
      </c>
      <c r="M1331">
        <f>COUNTIF($A$2:A1331,A1331)</f>
        <v>9</v>
      </c>
    </row>
    <row r="1332" spans="1:13" x14ac:dyDescent="0.3">
      <c r="A1332">
        <v>12302</v>
      </c>
      <c r="B1332" t="s">
        <v>821</v>
      </c>
      <c r="C1332" t="s">
        <v>110</v>
      </c>
      <c r="D1332" t="s">
        <v>111</v>
      </c>
      <c r="F1332">
        <v>96.15</v>
      </c>
      <c r="G1332">
        <v>0</v>
      </c>
      <c r="H1332">
        <v>3.85</v>
      </c>
      <c r="I1332">
        <v>0</v>
      </c>
      <c r="J1332" s="1">
        <v>45928.079658483795</v>
      </c>
      <c r="K1332" t="s">
        <v>827</v>
      </c>
      <c r="L1332">
        <f t="shared" si="20"/>
        <v>1331</v>
      </c>
      <c r="M1332">
        <f>COUNTIF($A$2:A1332,A1332)</f>
        <v>1</v>
      </c>
    </row>
    <row r="1333" spans="1:13" x14ac:dyDescent="0.3">
      <c r="A1333">
        <v>12302</v>
      </c>
      <c r="B1333" t="s">
        <v>821</v>
      </c>
      <c r="C1333" t="s">
        <v>786</v>
      </c>
      <c r="D1333" t="s">
        <v>787</v>
      </c>
      <c r="E1333">
        <v>22</v>
      </c>
      <c r="F1333">
        <v>84.62</v>
      </c>
      <c r="G1333">
        <v>7.69</v>
      </c>
      <c r="H1333">
        <v>7.69</v>
      </c>
      <c r="I1333">
        <v>0</v>
      </c>
      <c r="J1333" s="1">
        <v>45928.079703958334</v>
      </c>
      <c r="K1333" t="s">
        <v>827</v>
      </c>
      <c r="L1333">
        <f t="shared" si="20"/>
        <v>1332</v>
      </c>
      <c r="M1333">
        <f>COUNTIF($A$2:A1333,A1333)</f>
        <v>2</v>
      </c>
    </row>
    <row r="1334" spans="1:13" x14ac:dyDescent="0.3">
      <c r="A1334">
        <v>12302</v>
      </c>
      <c r="B1334" t="s">
        <v>821</v>
      </c>
      <c r="C1334" t="s">
        <v>784</v>
      </c>
      <c r="D1334" t="s">
        <v>785</v>
      </c>
      <c r="E1334">
        <v>22</v>
      </c>
      <c r="F1334">
        <v>76.92</v>
      </c>
      <c r="G1334">
        <v>15.38</v>
      </c>
      <c r="H1334">
        <v>7.69</v>
      </c>
      <c r="I1334">
        <v>0.01</v>
      </c>
      <c r="J1334" s="1">
        <v>45928.079720069443</v>
      </c>
      <c r="K1334" t="s">
        <v>827</v>
      </c>
      <c r="L1334">
        <f t="shared" si="20"/>
        <v>1333</v>
      </c>
      <c r="M1334">
        <f>COUNTIF($A$2:A1334,A1334)</f>
        <v>3</v>
      </c>
    </row>
    <row r="1335" spans="1:13" x14ac:dyDescent="0.3">
      <c r="A1335">
        <v>12302</v>
      </c>
      <c r="B1335" t="s">
        <v>821</v>
      </c>
      <c r="C1335" t="s">
        <v>224</v>
      </c>
      <c r="D1335" t="s">
        <v>225</v>
      </c>
      <c r="E1335">
        <v>20</v>
      </c>
      <c r="F1335">
        <v>84.62</v>
      </c>
      <c r="G1335">
        <v>7.69</v>
      </c>
      <c r="H1335">
        <v>7.69</v>
      </c>
      <c r="I1335">
        <v>0</v>
      </c>
      <c r="J1335" s="1">
        <v>45928.079760173612</v>
      </c>
      <c r="K1335" t="s">
        <v>827</v>
      </c>
      <c r="L1335">
        <f t="shared" si="20"/>
        <v>1334</v>
      </c>
      <c r="M1335">
        <f>COUNTIF($A$2:A1335,A1335)</f>
        <v>4</v>
      </c>
    </row>
    <row r="1336" spans="1:13" x14ac:dyDescent="0.3">
      <c r="A1336">
        <v>12302</v>
      </c>
      <c r="B1336" t="s">
        <v>821</v>
      </c>
      <c r="C1336" t="s">
        <v>825</v>
      </c>
      <c r="D1336" t="s">
        <v>826</v>
      </c>
      <c r="E1336">
        <v>23</v>
      </c>
      <c r="F1336">
        <v>73.08</v>
      </c>
      <c r="G1336">
        <v>19.23</v>
      </c>
      <c r="H1336">
        <v>7.69</v>
      </c>
      <c r="I1336">
        <v>0</v>
      </c>
      <c r="J1336" s="1">
        <v>45928.079804560184</v>
      </c>
      <c r="K1336" t="s">
        <v>827</v>
      </c>
      <c r="L1336">
        <f t="shared" si="20"/>
        <v>1335</v>
      </c>
      <c r="M1336">
        <f>COUNTIF($A$2:A1336,A1336)</f>
        <v>5</v>
      </c>
    </row>
    <row r="1337" spans="1:13" x14ac:dyDescent="0.3">
      <c r="A1337">
        <v>12302</v>
      </c>
      <c r="B1337" t="s">
        <v>821</v>
      </c>
      <c r="C1337" t="s">
        <v>823</v>
      </c>
      <c r="D1337" t="s">
        <v>824</v>
      </c>
      <c r="E1337">
        <v>34</v>
      </c>
      <c r="F1337">
        <v>46.15</v>
      </c>
      <c r="G1337">
        <v>46.15</v>
      </c>
      <c r="H1337">
        <v>7.69</v>
      </c>
      <c r="I1337">
        <v>0.01</v>
      </c>
      <c r="J1337" s="1">
        <v>45928.07982240741</v>
      </c>
      <c r="K1337" t="s">
        <v>827</v>
      </c>
      <c r="L1337">
        <f t="shared" si="20"/>
        <v>1336</v>
      </c>
      <c r="M1337">
        <f>COUNTIF($A$2:A1337,A1337)</f>
        <v>6</v>
      </c>
    </row>
    <row r="1338" spans="1:13" x14ac:dyDescent="0.3">
      <c r="A1338">
        <v>12302</v>
      </c>
      <c r="B1338" t="s">
        <v>821</v>
      </c>
      <c r="C1338" t="s">
        <v>757</v>
      </c>
      <c r="D1338" t="s">
        <v>758</v>
      </c>
      <c r="E1338">
        <v>20</v>
      </c>
      <c r="F1338">
        <v>88.46</v>
      </c>
      <c r="G1338">
        <v>3.85</v>
      </c>
      <c r="H1338">
        <v>7.69</v>
      </c>
      <c r="I1338">
        <v>0</v>
      </c>
      <c r="J1338" s="1">
        <v>45928.079865115738</v>
      </c>
      <c r="K1338" t="s">
        <v>827</v>
      </c>
      <c r="L1338">
        <f t="shared" si="20"/>
        <v>1337</v>
      </c>
      <c r="M1338">
        <f>COUNTIF($A$2:A1338,A1338)</f>
        <v>7</v>
      </c>
    </row>
    <row r="1339" spans="1:13" x14ac:dyDescent="0.3">
      <c r="A1339">
        <v>12302</v>
      </c>
      <c r="B1339" t="s">
        <v>821</v>
      </c>
      <c r="C1339" t="s">
        <v>755</v>
      </c>
      <c r="D1339" t="s">
        <v>756</v>
      </c>
      <c r="E1339">
        <v>40</v>
      </c>
      <c r="F1339">
        <v>50</v>
      </c>
      <c r="G1339">
        <v>38.46</v>
      </c>
      <c r="H1339">
        <v>11.54</v>
      </c>
      <c r="I1339">
        <v>0</v>
      </c>
      <c r="J1339" s="1">
        <v>45928.079886111111</v>
      </c>
      <c r="K1339" t="s">
        <v>827</v>
      </c>
      <c r="L1339">
        <f t="shared" si="20"/>
        <v>1338</v>
      </c>
      <c r="M1339">
        <f>COUNTIF($A$2:A1339,A1339)</f>
        <v>8</v>
      </c>
    </row>
    <row r="1340" spans="1:13" x14ac:dyDescent="0.3">
      <c r="A1340">
        <v>12302</v>
      </c>
      <c r="B1340" t="s">
        <v>821</v>
      </c>
      <c r="C1340" t="s">
        <v>114</v>
      </c>
      <c r="D1340" t="s">
        <v>115</v>
      </c>
      <c r="E1340">
        <v>30</v>
      </c>
      <c r="F1340">
        <v>84.62</v>
      </c>
      <c r="G1340">
        <v>3.85</v>
      </c>
      <c r="H1340">
        <v>11.54</v>
      </c>
      <c r="I1340">
        <v>0</v>
      </c>
      <c r="J1340" s="1">
        <v>45928.079925949074</v>
      </c>
      <c r="K1340" t="s">
        <v>827</v>
      </c>
      <c r="L1340">
        <f t="shared" si="20"/>
        <v>1339</v>
      </c>
      <c r="M1340">
        <f>COUNTIF($A$2:A1340,A1340)</f>
        <v>9</v>
      </c>
    </row>
    <row r="1341" spans="1:13" x14ac:dyDescent="0.3">
      <c r="A1341">
        <v>12305</v>
      </c>
      <c r="B1341" t="s">
        <v>828</v>
      </c>
      <c r="C1341" t="s">
        <v>114</v>
      </c>
      <c r="D1341" t="s">
        <v>115</v>
      </c>
      <c r="E1341">
        <v>2</v>
      </c>
      <c r="F1341">
        <v>100</v>
      </c>
      <c r="G1341">
        <v>0</v>
      </c>
      <c r="H1341">
        <v>0</v>
      </c>
      <c r="I1341">
        <v>0</v>
      </c>
      <c r="J1341" s="1">
        <v>45928.079982743053</v>
      </c>
      <c r="K1341" t="s">
        <v>829</v>
      </c>
      <c r="L1341">
        <f t="shared" si="20"/>
        <v>1340</v>
      </c>
      <c r="M1341">
        <f>COUNTIF($A$2:A1341,A1341)</f>
        <v>1</v>
      </c>
    </row>
    <row r="1342" spans="1:13" x14ac:dyDescent="0.3">
      <c r="A1342">
        <v>12305</v>
      </c>
      <c r="B1342" t="s">
        <v>828</v>
      </c>
      <c r="C1342" t="s">
        <v>830</v>
      </c>
      <c r="D1342" t="s">
        <v>831</v>
      </c>
      <c r="E1342">
        <v>19</v>
      </c>
      <c r="F1342">
        <v>0</v>
      </c>
      <c r="G1342">
        <v>100</v>
      </c>
      <c r="H1342">
        <v>0</v>
      </c>
      <c r="I1342">
        <v>0</v>
      </c>
      <c r="J1342" s="1">
        <v>45928.079998356479</v>
      </c>
      <c r="K1342" t="s">
        <v>829</v>
      </c>
      <c r="L1342">
        <f t="shared" si="20"/>
        <v>1341</v>
      </c>
      <c r="M1342">
        <f>COUNTIF($A$2:A1342,A1342)</f>
        <v>2</v>
      </c>
    </row>
    <row r="1343" spans="1:13" x14ac:dyDescent="0.3">
      <c r="A1343">
        <v>12305</v>
      </c>
      <c r="B1343" t="s">
        <v>828</v>
      </c>
      <c r="C1343" t="s">
        <v>771</v>
      </c>
      <c r="D1343" t="s">
        <v>772</v>
      </c>
      <c r="E1343">
        <v>26</v>
      </c>
      <c r="F1343">
        <v>20</v>
      </c>
      <c r="G1343">
        <v>80</v>
      </c>
      <c r="H1343">
        <v>0</v>
      </c>
      <c r="I1343">
        <v>0</v>
      </c>
      <c r="J1343" s="1">
        <v>45928.080019074077</v>
      </c>
      <c r="K1343" t="s">
        <v>829</v>
      </c>
      <c r="L1343">
        <f t="shared" si="20"/>
        <v>1342</v>
      </c>
      <c r="M1343">
        <f>COUNTIF($A$2:A1343,A1343)</f>
        <v>3</v>
      </c>
    </row>
    <row r="1344" spans="1:13" x14ac:dyDescent="0.3">
      <c r="A1344">
        <v>12305</v>
      </c>
      <c r="B1344" t="s">
        <v>828</v>
      </c>
      <c r="C1344" t="s">
        <v>774</v>
      </c>
      <c r="D1344" t="s">
        <v>775</v>
      </c>
      <c r="F1344">
        <v>20</v>
      </c>
      <c r="G1344">
        <v>80</v>
      </c>
      <c r="H1344">
        <v>0</v>
      </c>
      <c r="I1344">
        <v>0</v>
      </c>
      <c r="J1344" s="1">
        <v>45928.080039375003</v>
      </c>
      <c r="K1344" t="s">
        <v>829</v>
      </c>
      <c r="L1344">
        <f t="shared" si="20"/>
        <v>1343</v>
      </c>
      <c r="M1344">
        <f>COUNTIF($A$2:A1344,A1344)</f>
        <v>4</v>
      </c>
    </row>
    <row r="1345" spans="1:13" x14ac:dyDescent="0.3">
      <c r="A1345">
        <v>12305</v>
      </c>
      <c r="B1345" t="s">
        <v>828</v>
      </c>
      <c r="C1345" t="s">
        <v>782</v>
      </c>
      <c r="D1345" t="s">
        <v>783</v>
      </c>
      <c r="E1345">
        <v>2</v>
      </c>
      <c r="F1345">
        <v>100</v>
      </c>
      <c r="G1345">
        <v>0</v>
      </c>
      <c r="H1345">
        <v>0</v>
      </c>
      <c r="I1345">
        <v>0</v>
      </c>
      <c r="J1345" s="1">
        <v>45928.080054201389</v>
      </c>
      <c r="K1345" t="s">
        <v>829</v>
      </c>
      <c r="L1345">
        <f t="shared" si="20"/>
        <v>1344</v>
      </c>
      <c r="M1345">
        <f>COUNTIF($A$2:A1345,A1345)</f>
        <v>5</v>
      </c>
    </row>
    <row r="1346" spans="1:13" x14ac:dyDescent="0.3">
      <c r="A1346">
        <v>12305</v>
      </c>
      <c r="B1346" t="s">
        <v>828</v>
      </c>
      <c r="C1346" t="s">
        <v>224</v>
      </c>
      <c r="D1346" t="s">
        <v>225</v>
      </c>
      <c r="E1346">
        <v>11</v>
      </c>
      <c r="F1346">
        <v>60</v>
      </c>
      <c r="G1346">
        <v>40</v>
      </c>
      <c r="H1346">
        <v>0</v>
      </c>
      <c r="I1346">
        <v>0</v>
      </c>
      <c r="J1346" s="1">
        <v>45928.080070231481</v>
      </c>
      <c r="K1346" t="s">
        <v>829</v>
      </c>
      <c r="L1346">
        <f t="shared" ref="L1346:L1409" si="21">ROW()-1</f>
        <v>1345</v>
      </c>
      <c r="M1346">
        <f>COUNTIF($A$2:A1346,A1346)</f>
        <v>6</v>
      </c>
    </row>
    <row r="1347" spans="1:13" x14ac:dyDescent="0.3">
      <c r="A1347">
        <v>12305</v>
      </c>
      <c r="B1347" t="s">
        <v>828</v>
      </c>
      <c r="C1347" t="s">
        <v>784</v>
      </c>
      <c r="D1347" t="s">
        <v>785</v>
      </c>
      <c r="E1347">
        <v>12</v>
      </c>
      <c r="F1347">
        <v>60</v>
      </c>
      <c r="G1347">
        <v>40</v>
      </c>
      <c r="H1347">
        <v>0</v>
      </c>
      <c r="I1347">
        <v>0</v>
      </c>
      <c r="J1347" s="1">
        <v>45928.080089594907</v>
      </c>
      <c r="K1347" t="s">
        <v>829</v>
      </c>
      <c r="L1347">
        <f t="shared" si="21"/>
        <v>1346</v>
      </c>
      <c r="M1347">
        <f>COUNTIF($A$2:A1347,A1347)</f>
        <v>7</v>
      </c>
    </row>
    <row r="1348" spans="1:13" x14ac:dyDescent="0.3">
      <c r="A1348">
        <v>12305</v>
      </c>
      <c r="B1348" t="s">
        <v>828</v>
      </c>
      <c r="C1348" t="s">
        <v>786</v>
      </c>
      <c r="D1348" t="s">
        <v>787</v>
      </c>
      <c r="E1348">
        <v>21</v>
      </c>
      <c r="F1348">
        <v>40</v>
      </c>
      <c r="G1348">
        <v>60</v>
      </c>
      <c r="H1348">
        <v>0</v>
      </c>
      <c r="I1348">
        <v>0</v>
      </c>
      <c r="J1348" s="1">
        <v>45928.080106608795</v>
      </c>
      <c r="K1348" t="s">
        <v>829</v>
      </c>
      <c r="L1348">
        <f t="shared" si="21"/>
        <v>1347</v>
      </c>
      <c r="M1348">
        <f>COUNTIF($A$2:A1348,A1348)</f>
        <v>8</v>
      </c>
    </row>
    <row r="1349" spans="1:13" x14ac:dyDescent="0.3">
      <c r="A1349">
        <v>12305</v>
      </c>
      <c r="B1349" t="s">
        <v>828</v>
      </c>
      <c r="C1349" t="s">
        <v>110</v>
      </c>
      <c r="D1349" t="s">
        <v>111</v>
      </c>
      <c r="E1349">
        <v>16</v>
      </c>
      <c r="F1349">
        <v>60</v>
      </c>
      <c r="G1349">
        <v>40</v>
      </c>
      <c r="H1349">
        <v>0</v>
      </c>
      <c r="I1349">
        <v>0</v>
      </c>
      <c r="J1349" s="1">
        <v>45928.080125787033</v>
      </c>
      <c r="K1349" t="s">
        <v>829</v>
      </c>
      <c r="L1349">
        <f t="shared" si="21"/>
        <v>1348</v>
      </c>
      <c r="M1349">
        <f>COUNTIF($A$2:A1349,A1349)</f>
        <v>9</v>
      </c>
    </row>
    <row r="1350" spans="1:13" x14ac:dyDescent="0.3">
      <c r="A1350">
        <v>12306</v>
      </c>
      <c r="B1350" t="s">
        <v>828</v>
      </c>
      <c r="C1350" t="s">
        <v>110</v>
      </c>
      <c r="D1350" t="s">
        <v>111</v>
      </c>
      <c r="E1350">
        <v>1</v>
      </c>
      <c r="F1350">
        <v>100</v>
      </c>
      <c r="G1350">
        <v>0</v>
      </c>
      <c r="H1350">
        <v>0</v>
      </c>
      <c r="I1350">
        <v>0</v>
      </c>
      <c r="J1350" s="1">
        <v>45928.080172731483</v>
      </c>
      <c r="K1350" t="s">
        <v>832</v>
      </c>
      <c r="L1350">
        <f t="shared" si="21"/>
        <v>1349</v>
      </c>
      <c r="M1350">
        <f>COUNTIF($A$2:A1350,A1350)</f>
        <v>1</v>
      </c>
    </row>
    <row r="1351" spans="1:13" x14ac:dyDescent="0.3">
      <c r="A1351">
        <v>12306</v>
      </c>
      <c r="B1351" t="s">
        <v>828</v>
      </c>
      <c r="C1351" t="s">
        <v>786</v>
      </c>
      <c r="D1351" t="s">
        <v>787</v>
      </c>
      <c r="E1351">
        <v>4</v>
      </c>
      <c r="F1351">
        <v>100</v>
      </c>
      <c r="G1351">
        <v>0</v>
      </c>
      <c r="H1351">
        <v>0</v>
      </c>
      <c r="I1351">
        <v>0</v>
      </c>
      <c r="J1351" s="1">
        <v>45928.080192731482</v>
      </c>
      <c r="K1351" t="s">
        <v>832</v>
      </c>
      <c r="L1351">
        <f t="shared" si="21"/>
        <v>1350</v>
      </c>
      <c r="M1351">
        <f>COUNTIF($A$2:A1351,A1351)</f>
        <v>2</v>
      </c>
    </row>
    <row r="1352" spans="1:13" x14ac:dyDescent="0.3">
      <c r="A1352">
        <v>12306</v>
      </c>
      <c r="B1352" t="s">
        <v>828</v>
      </c>
      <c r="C1352" t="s">
        <v>784</v>
      </c>
      <c r="D1352" t="s">
        <v>785</v>
      </c>
      <c r="E1352">
        <v>4</v>
      </c>
      <c r="F1352">
        <v>100</v>
      </c>
      <c r="G1352">
        <v>0</v>
      </c>
      <c r="H1352">
        <v>0</v>
      </c>
      <c r="I1352">
        <v>0</v>
      </c>
      <c r="J1352" s="1">
        <v>45928.080210462962</v>
      </c>
      <c r="K1352" t="s">
        <v>832</v>
      </c>
      <c r="L1352">
        <f t="shared" si="21"/>
        <v>1351</v>
      </c>
      <c r="M1352">
        <f>COUNTIF($A$2:A1352,A1352)</f>
        <v>3</v>
      </c>
    </row>
    <row r="1353" spans="1:13" x14ac:dyDescent="0.3">
      <c r="A1353">
        <v>12306</v>
      </c>
      <c r="B1353" t="s">
        <v>828</v>
      </c>
      <c r="C1353" t="s">
        <v>224</v>
      </c>
      <c r="D1353" t="s">
        <v>225</v>
      </c>
      <c r="E1353">
        <v>0</v>
      </c>
      <c r="F1353">
        <v>100</v>
      </c>
      <c r="G1353">
        <v>0</v>
      </c>
      <c r="H1353">
        <v>0</v>
      </c>
      <c r="I1353">
        <v>0</v>
      </c>
      <c r="J1353" s="1">
        <v>45928.080231134256</v>
      </c>
      <c r="K1353" t="s">
        <v>832</v>
      </c>
      <c r="L1353">
        <f t="shared" si="21"/>
        <v>1352</v>
      </c>
      <c r="M1353">
        <f>COUNTIF($A$2:A1353,A1353)</f>
        <v>4</v>
      </c>
    </row>
    <row r="1354" spans="1:13" x14ac:dyDescent="0.3">
      <c r="A1354">
        <v>12306</v>
      </c>
      <c r="B1354" t="s">
        <v>828</v>
      </c>
      <c r="C1354" t="s">
        <v>782</v>
      </c>
      <c r="D1354" t="s">
        <v>783</v>
      </c>
      <c r="E1354">
        <v>1</v>
      </c>
      <c r="F1354">
        <v>100</v>
      </c>
      <c r="G1354">
        <v>0</v>
      </c>
      <c r="H1354">
        <v>0</v>
      </c>
      <c r="I1354">
        <v>0</v>
      </c>
      <c r="J1354" s="1">
        <v>45928.080248761573</v>
      </c>
      <c r="K1354" t="s">
        <v>832</v>
      </c>
      <c r="L1354">
        <f t="shared" si="21"/>
        <v>1353</v>
      </c>
      <c r="M1354">
        <f>COUNTIF($A$2:A1354,A1354)</f>
        <v>5</v>
      </c>
    </row>
    <row r="1355" spans="1:13" x14ac:dyDescent="0.3">
      <c r="A1355">
        <v>12306</v>
      </c>
      <c r="B1355" t="s">
        <v>828</v>
      </c>
      <c r="C1355" t="s">
        <v>774</v>
      </c>
      <c r="D1355" t="s">
        <v>775</v>
      </c>
      <c r="E1355">
        <v>1</v>
      </c>
      <c r="F1355">
        <v>100</v>
      </c>
      <c r="G1355">
        <v>0</v>
      </c>
      <c r="H1355">
        <v>0</v>
      </c>
      <c r="I1355">
        <v>0</v>
      </c>
      <c r="J1355" s="1">
        <v>45928.080266446763</v>
      </c>
      <c r="K1355" t="s">
        <v>832</v>
      </c>
      <c r="L1355">
        <f t="shared" si="21"/>
        <v>1354</v>
      </c>
      <c r="M1355">
        <f>COUNTIF($A$2:A1355,A1355)</f>
        <v>6</v>
      </c>
    </row>
    <row r="1356" spans="1:13" x14ac:dyDescent="0.3">
      <c r="A1356">
        <v>12306</v>
      </c>
      <c r="B1356" t="s">
        <v>828</v>
      </c>
      <c r="C1356" t="s">
        <v>771</v>
      </c>
      <c r="D1356" t="s">
        <v>772</v>
      </c>
      <c r="E1356">
        <v>2</v>
      </c>
      <c r="F1356">
        <v>100</v>
      </c>
      <c r="G1356">
        <v>0</v>
      </c>
      <c r="H1356">
        <v>0</v>
      </c>
      <c r="I1356">
        <v>0</v>
      </c>
      <c r="J1356" s="1">
        <v>45928.080287708333</v>
      </c>
      <c r="K1356" t="s">
        <v>832</v>
      </c>
      <c r="L1356">
        <f t="shared" si="21"/>
        <v>1355</v>
      </c>
      <c r="M1356">
        <f>COUNTIF($A$2:A1356,A1356)</f>
        <v>7</v>
      </c>
    </row>
    <row r="1357" spans="1:13" x14ac:dyDescent="0.3">
      <c r="A1357">
        <v>12306</v>
      </c>
      <c r="B1357" t="s">
        <v>828</v>
      </c>
      <c r="C1357" t="s">
        <v>830</v>
      </c>
      <c r="D1357" t="s">
        <v>831</v>
      </c>
      <c r="E1357">
        <v>0</v>
      </c>
      <c r="F1357">
        <v>100</v>
      </c>
      <c r="G1357">
        <v>0</v>
      </c>
      <c r="H1357">
        <v>0</v>
      </c>
      <c r="I1357">
        <v>0</v>
      </c>
      <c r="J1357" s="1">
        <v>45928.08030361111</v>
      </c>
      <c r="K1357" t="s">
        <v>832</v>
      </c>
      <c r="L1357">
        <f t="shared" si="21"/>
        <v>1356</v>
      </c>
      <c r="M1357">
        <f>COUNTIF($A$2:A1357,A1357)</f>
        <v>8</v>
      </c>
    </row>
    <row r="1358" spans="1:13" x14ac:dyDescent="0.3">
      <c r="A1358">
        <v>12306</v>
      </c>
      <c r="B1358" t="s">
        <v>828</v>
      </c>
      <c r="C1358" t="s">
        <v>114</v>
      </c>
      <c r="D1358" t="s">
        <v>115</v>
      </c>
      <c r="F1358">
        <v>100</v>
      </c>
      <c r="G1358">
        <v>0</v>
      </c>
      <c r="H1358">
        <v>0</v>
      </c>
      <c r="I1358">
        <v>0</v>
      </c>
      <c r="J1358" s="1">
        <v>45928.080320324072</v>
      </c>
      <c r="K1358" t="s">
        <v>832</v>
      </c>
      <c r="L1358">
        <f t="shared" si="21"/>
        <v>1357</v>
      </c>
      <c r="M1358">
        <f>COUNTIF($A$2:A1358,A1358)</f>
        <v>9</v>
      </c>
    </row>
    <row r="1359" spans="1:13" x14ac:dyDescent="0.3">
      <c r="A1359">
        <v>12313</v>
      </c>
      <c r="B1359" t="s">
        <v>833</v>
      </c>
      <c r="C1359" t="s">
        <v>794</v>
      </c>
      <c r="D1359" t="s">
        <v>795</v>
      </c>
      <c r="E1359">
        <v>0</v>
      </c>
      <c r="F1359">
        <v>100</v>
      </c>
      <c r="G1359">
        <v>0</v>
      </c>
      <c r="H1359">
        <v>0</v>
      </c>
      <c r="I1359">
        <v>0</v>
      </c>
      <c r="J1359" s="1">
        <v>45928.080372187498</v>
      </c>
      <c r="K1359" t="s">
        <v>834</v>
      </c>
      <c r="L1359">
        <f t="shared" si="21"/>
        <v>1358</v>
      </c>
      <c r="M1359">
        <f>COUNTIF($A$2:A1359,A1359)</f>
        <v>1</v>
      </c>
    </row>
    <row r="1360" spans="1:13" x14ac:dyDescent="0.3">
      <c r="A1360">
        <v>12313</v>
      </c>
      <c r="B1360" t="s">
        <v>833</v>
      </c>
      <c r="C1360" t="s">
        <v>751</v>
      </c>
      <c r="D1360" t="s">
        <v>752</v>
      </c>
      <c r="E1360">
        <v>8</v>
      </c>
      <c r="F1360">
        <v>93.33</v>
      </c>
      <c r="G1360">
        <v>6.67</v>
      </c>
      <c r="H1360">
        <v>0</v>
      </c>
      <c r="I1360">
        <v>0</v>
      </c>
      <c r="J1360" s="1">
        <v>45928.080414699078</v>
      </c>
      <c r="K1360" t="s">
        <v>834</v>
      </c>
      <c r="L1360">
        <f t="shared" si="21"/>
        <v>1359</v>
      </c>
      <c r="M1360">
        <f>COUNTIF($A$2:A1360,A1360)</f>
        <v>2</v>
      </c>
    </row>
    <row r="1361" spans="1:13" x14ac:dyDescent="0.3">
      <c r="A1361">
        <v>12313</v>
      </c>
      <c r="B1361" t="s">
        <v>833</v>
      </c>
      <c r="C1361" t="s">
        <v>755</v>
      </c>
      <c r="D1361" t="s">
        <v>756</v>
      </c>
      <c r="E1361">
        <v>14</v>
      </c>
      <c r="F1361">
        <v>76.67</v>
      </c>
      <c r="G1361">
        <v>23.33</v>
      </c>
      <c r="H1361">
        <v>0</v>
      </c>
      <c r="I1361">
        <v>0</v>
      </c>
      <c r="J1361" s="1">
        <v>45928.08043509259</v>
      </c>
      <c r="K1361" t="s">
        <v>834</v>
      </c>
      <c r="L1361">
        <f t="shared" si="21"/>
        <v>1360</v>
      </c>
      <c r="M1361">
        <f>COUNTIF($A$2:A1361,A1361)</f>
        <v>3</v>
      </c>
    </row>
    <row r="1362" spans="1:13" x14ac:dyDescent="0.3">
      <c r="A1362">
        <v>12313</v>
      </c>
      <c r="B1362" t="s">
        <v>833</v>
      </c>
      <c r="C1362" t="s">
        <v>757</v>
      </c>
      <c r="D1362" t="s">
        <v>758</v>
      </c>
      <c r="E1362">
        <v>2</v>
      </c>
      <c r="F1362">
        <v>96.67</v>
      </c>
      <c r="G1362">
        <v>3.33</v>
      </c>
      <c r="H1362">
        <v>0</v>
      </c>
      <c r="I1362">
        <v>0</v>
      </c>
      <c r="J1362" s="1">
        <v>45928.080476215277</v>
      </c>
      <c r="K1362" t="s">
        <v>834</v>
      </c>
      <c r="L1362">
        <f t="shared" si="21"/>
        <v>1361</v>
      </c>
      <c r="M1362">
        <f>COUNTIF($A$2:A1362,A1362)</f>
        <v>4</v>
      </c>
    </row>
    <row r="1363" spans="1:13" x14ac:dyDescent="0.3">
      <c r="A1363">
        <v>12313</v>
      </c>
      <c r="B1363" t="s">
        <v>833</v>
      </c>
      <c r="C1363" t="s">
        <v>825</v>
      </c>
      <c r="D1363" t="s">
        <v>826</v>
      </c>
      <c r="E1363">
        <v>9</v>
      </c>
      <c r="F1363">
        <v>96.67</v>
      </c>
      <c r="G1363">
        <v>0</v>
      </c>
      <c r="H1363">
        <v>3.33</v>
      </c>
      <c r="I1363">
        <v>0</v>
      </c>
      <c r="J1363" s="1">
        <v>45928.080518148148</v>
      </c>
      <c r="K1363" t="s">
        <v>834</v>
      </c>
      <c r="L1363">
        <f t="shared" si="21"/>
        <v>1362</v>
      </c>
      <c r="M1363">
        <f>COUNTIF($A$2:A1363,A1363)</f>
        <v>5</v>
      </c>
    </row>
    <row r="1364" spans="1:13" x14ac:dyDescent="0.3">
      <c r="A1364">
        <v>12313</v>
      </c>
      <c r="B1364" t="s">
        <v>833</v>
      </c>
      <c r="C1364" t="s">
        <v>224</v>
      </c>
      <c r="D1364" t="s">
        <v>225</v>
      </c>
      <c r="E1364">
        <v>12</v>
      </c>
      <c r="F1364">
        <v>93.33</v>
      </c>
      <c r="G1364">
        <v>3.33</v>
      </c>
      <c r="H1364">
        <v>3.33</v>
      </c>
      <c r="I1364">
        <v>0.01</v>
      </c>
      <c r="J1364" s="1">
        <v>45928.080533437504</v>
      </c>
      <c r="K1364" t="s">
        <v>834</v>
      </c>
      <c r="L1364">
        <f t="shared" si="21"/>
        <v>1363</v>
      </c>
      <c r="M1364">
        <f>COUNTIF($A$2:A1364,A1364)</f>
        <v>6</v>
      </c>
    </row>
    <row r="1365" spans="1:13" x14ac:dyDescent="0.3">
      <c r="A1365">
        <v>12313</v>
      </c>
      <c r="B1365" t="s">
        <v>833</v>
      </c>
      <c r="C1365" t="s">
        <v>786</v>
      </c>
      <c r="D1365" t="s">
        <v>787</v>
      </c>
      <c r="E1365">
        <v>17</v>
      </c>
      <c r="F1365">
        <v>76.67</v>
      </c>
      <c r="G1365">
        <v>20</v>
      </c>
      <c r="H1365">
        <v>3.33</v>
      </c>
      <c r="I1365">
        <v>0</v>
      </c>
      <c r="J1365" s="1">
        <v>45928.080579513888</v>
      </c>
      <c r="K1365" t="s">
        <v>834</v>
      </c>
      <c r="L1365">
        <f t="shared" si="21"/>
        <v>1364</v>
      </c>
      <c r="M1365">
        <f>COUNTIF($A$2:A1365,A1365)</f>
        <v>7</v>
      </c>
    </row>
    <row r="1366" spans="1:13" x14ac:dyDescent="0.3">
      <c r="A1366">
        <v>12313</v>
      </c>
      <c r="B1366" t="s">
        <v>833</v>
      </c>
      <c r="C1366" t="s">
        <v>110</v>
      </c>
      <c r="D1366" t="s">
        <v>111</v>
      </c>
      <c r="E1366">
        <v>11</v>
      </c>
      <c r="F1366">
        <v>83.33</v>
      </c>
      <c r="G1366">
        <v>13.33</v>
      </c>
      <c r="H1366">
        <v>3.33</v>
      </c>
      <c r="I1366">
        <v>0.01</v>
      </c>
      <c r="J1366" s="1">
        <v>45928.080595381944</v>
      </c>
      <c r="K1366" t="s">
        <v>834</v>
      </c>
      <c r="L1366">
        <f t="shared" si="21"/>
        <v>1365</v>
      </c>
      <c r="M1366">
        <f>COUNTIF($A$2:A1366,A1366)</f>
        <v>8</v>
      </c>
    </row>
    <row r="1367" spans="1:13" x14ac:dyDescent="0.3">
      <c r="A1367">
        <v>12314</v>
      </c>
      <c r="B1367" t="s">
        <v>833</v>
      </c>
      <c r="C1367" t="s">
        <v>110</v>
      </c>
      <c r="D1367" t="s">
        <v>111</v>
      </c>
      <c r="E1367">
        <v>9</v>
      </c>
      <c r="F1367">
        <v>96.67</v>
      </c>
      <c r="G1367">
        <v>0</v>
      </c>
      <c r="H1367">
        <v>3.33</v>
      </c>
      <c r="I1367">
        <v>0</v>
      </c>
      <c r="J1367" s="1">
        <v>45928.080705173612</v>
      </c>
      <c r="K1367" t="s">
        <v>835</v>
      </c>
      <c r="L1367">
        <f t="shared" si="21"/>
        <v>1366</v>
      </c>
      <c r="M1367">
        <f>COUNTIF($A$2:A1367,A1367)</f>
        <v>1</v>
      </c>
    </row>
    <row r="1368" spans="1:13" x14ac:dyDescent="0.3">
      <c r="A1368">
        <v>12314</v>
      </c>
      <c r="B1368" t="s">
        <v>833</v>
      </c>
      <c r="C1368" t="s">
        <v>786</v>
      </c>
      <c r="D1368" t="s">
        <v>787</v>
      </c>
      <c r="E1368">
        <v>23</v>
      </c>
      <c r="F1368">
        <v>80</v>
      </c>
      <c r="G1368">
        <v>13.33</v>
      </c>
      <c r="H1368">
        <v>6.67</v>
      </c>
      <c r="I1368">
        <v>0</v>
      </c>
      <c r="J1368" s="1">
        <v>45928.080720451391</v>
      </c>
      <c r="K1368" t="s">
        <v>835</v>
      </c>
      <c r="L1368">
        <f t="shared" si="21"/>
        <v>1367</v>
      </c>
      <c r="M1368">
        <f>COUNTIF($A$2:A1368,A1368)</f>
        <v>2</v>
      </c>
    </row>
    <row r="1369" spans="1:13" x14ac:dyDescent="0.3">
      <c r="A1369">
        <v>12314</v>
      </c>
      <c r="B1369" t="s">
        <v>833</v>
      </c>
      <c r="C1369" t="s">
        <v>224</v>
      </c>
      <c r="D1369" t="s">
        <v>225</v>
      </c>
      <c r="F1369">
        <v>93.33</v>
      </c>
      <c r="G1369">
        <v>0</v>
      </c>
      <c r="H1369">
        <v>6.67</v>
      </c>
      <c r="I1369">
        <v>0</v>
      </c>
      <c r="J1369" s="1">
        <v>45928.080745648149</v>
      </c>
      <c r="K1369" t="s">
        <v>835</v>
      </c>
      <c r="L1369">
        <f t="shared" si="21"/>
        <v>1368</v>
      </c>
      <c r="M1369">
        <f>COUNTIF($A$2:A1369,A1369)</f>
        <v>3</v>
      </c>
    </row>
    <row r="1370" spans="1:13" x14ac:dyDescent="0.3">
      <c r="A1370">
        <v>12314</v>
      </c>
      <c r="B1370" t="s">
        <v>833</v>
      </c>
      <c r="C1370" t="s">
        <v>825</v>
      </c>
      <c r="D1370" t="s">
        <v>826</v>
      </c>
      <c r="E1370">
        <v>24</v>
      </c>
      <c r="F1370">
        <v>83.33</v>
      </c>
      <c r="G1370">
        <v>10</v>
      </c>
      <c r="H1370">
        <v>6.67</v>
      </c>
      <c r="I1370">
        <v>0</v>
      </c>
      <c r="J1370" s="1">
        <v>45928.080791412038</v>
      </c>
      <c r="K1370" t="s">
        <v>835</v>
      </c>
      <c r="L1370">
        <f t="shared" si="21"/>
        <v>1369</v>
      </c>
      <c r="M1370">
        <f>COUNTIF($A$2:A1370,A1370)</f>
        <v>4</v>
      </c>
    </row>
    <row r="1371" spans="1:13" x14ac:dyDescent="0.3">
      <c r="A1371">
        <v>12314</v>
      </c>
      <c r="B1371" t="s">
        <v>833</v>
      </c>
      <c r="C1371" t="s">
        <v>757</v>
      </c>
      <c r="D1371" t="s">
        <v>758</v>
      </c>
      <c r="F1371">
        <v>90</v>
      </c>
      <c r="G1371">
        <v>3.33</v>
      </c>
      <c r="H1371">
        <v>6.67</v>
      </c>
      <c r="I1371">
        <v>0</v>
      </c>
      <c r="J1371" s="1">
        <v>45928.080819629628</v>
      </c>
      <c r="K1371" t="s">
        <v>835</v>
      </c>
      <c r="L1371">
        <f t="shared" si="21"/>
        <v>1370</v>
      </c>
      <c r="M1371">
        <f>COUNTIF($A$2:A1371,A1371)</f>
        <v>5</v>
      </c>
    </row>
    <row r="1372" spans="1:13" x14ac:dyDescent="0.3">
      <c r="A1372">
        <v>12314</v>
      </c>
      <c r="B1372" t="s">
        <v>833</v>
      </c>
      <c r="C1372" t="s">
        <v>755</v>
      </c>
      <c r="D1372" t="s">
        <v>756</v>
      </c>
      <c r="F1372">
        <v>26.67</v>
      </c>
      <c r="G1372">
        <v>63.33</v>
      </c>
      <c r="H1372">
        <v>10</v>
      </c>
      <c r="I1372">
        <v>0</v>
      </c>
      <c r="J1372" s="1">
        <v>45928.080846863428</v>
      </c>
      <c r="K1372" t="s">
        <v>835</v>
      </c>
      <c r="L1372">
        <f t="shared" si="21"/>
        <v>1371</v>
      </c>
      <c r="M1372">
        <f>COUNTIF($A$2:A1372,A1372)</f>
        <v>6</v>
      </c>
    </row>
    <row r="1373" spans="1:13" x14ac:dyDescent="0.3">
      <c r="A1373">
        <v>12314</v>
      </c>
      <c r="B1373" t="s">
        <v>833</v>
      </c>
      <c r="C1373" t="s">
        <v>751</v>
      </c>
      <c r="D1373" t="s">
        <v>752</v>
      </c>
      <c r="E1373">
        <v>40</v>
      </c>
      <c r="F1373">
        <v>13.33</v>
      </c>
      <c r="G1373">
        <v>76.67</v>
      </c>
      <c r="H1373">
        <v>10</v>
      </c>
      <c r="I1373">
        <v>0</v>
      </c>
      <c r="J1373" s="1">
        <v>45928.080866018521</v>
      </c>
      <c r="K1373" t="s">
        <v>835</v>
      </c>
      <c r="L1373">
        <f t="shared" si="21"/>
        <v>1372</v>
      </c>
      <c r="M1373">
        <f>COUNTIF($A$2:A1373,A1373)</f>
        <v>7</v>
      </c>
    </row>
    <row r="1374" spans="1:13" x14ac:dyDescent="0.3">
      <c r="A1374">
        <v>12314</v>
      </c>
      <c r="B1374" t="s">
        <v>833</v>
      </c>
      <c r="C1374" t="s">
        <v>794</v>
      </c>
      <c r="D1374" t="s">
        <v>795</v>
      </c>
      <c r="E1374">
        <v>19</v>
      </c>
      <c r="F1374">
        <v>86.67</v>
      </c>
      <c r="G1374">
        <v>3.33</v>
      </c>
      <c r="H1374">
        <v>10</v>
      </c>
      <c r="I1374">
        <v>0</v>
      </c>
      <c r="J1374" s="1">
        <v>45928.080909293982</v>
      </c>
      <c r="K1374" t="s">
        <v>835</v>
      </c>
      <c r="L1374">
        <f t="shared" si="21"/>
        <v>1373</v>
      </c>
      <c r="M1374">
        <f>COUNTIF($A$2:A1374,A1374)</f>
        <v>8</v>
      </c>
    </row>
    <row r="1375" spans="1:13" x14ac:dyDescent="0.3">
      <c r="A1375">
        <v>12423</v>
      </c>
      <c r="B1375" t="s">
        <v>836</v>
      </c>
      <c r="C1375" t="s">
        <v>837</v>
      </c>
      <c r="D1375" t="s">
        <v>838</v>
      </c>
      <c r="E1375">
        <v>2</v>
      </c>
      <c r="F1375">
        <v>96.67</v>
      </c>
      <c r="G1375">
        <v>3.33</v>
      </c>
      <c r="H1375">
        <v>0</v>
      </c>
      <c r="I1375">
        <v>0</v>
      </c>
      <c r="J1375" s="1">
        <v>45928.080997685189</v>
      </c>
      <c r="K1375" t="s">
        <v>839</v>
      </c>
      <c r="L1375">
        <f t="shared" si="21"/>
        <v>1374</v>
      </c>
      <c r="M1375">
        <f>COUNTIF($A$2:A1375,A1375)</f>
        <v>1</v>
      </c>
    </row>
    <row r="1376" spans="1:13" x14ac:dyDescent="0.3">
      <c r="A1376">
        <v>12423</v>
      </c>
      <c r="B1376" t="s">
        <v>836</v>
      </c>
      <c r="C1376" t="s">
        <v>840</v>
      </c>
      <c r="D1376" t="s">
        <v>841</v>
      </c>
      <c r="E1376">
        <v>13</v>
      </c>
      <c r="F1376">
        <v>73.33</v>
      </c>
      <c r="G1376">
        <v>23.33</v>
      </c>
      <c r="H1376">
        <v>3.33</v>
      </c>
      <c r="I1376">
        <v>0.01</v>
      </c>
      <c r="J1376" s="1">
        <v>45928.08101642361</v>
      </c>
      <c r="K1376" t="s">
        <v>839</v>
      </c>
      <c r="L1376">
        <f t="shared" si="21"/>
        <v>1375</v>
      </c>
      <c r="M1376">
        <f>COUNTIF($A$2:A1376,A1376)</f>
        <v>2</v>
      </c>
    </row>
    <row r="1377" spans="1:13" x14ac:dyDescent="0.3">
      <c r="A1377">
        <v>12423</v>
      </c>
      <c r="B1377" t="s">
        <v>836</v>
      </c>
      <c r="C1377" t="s">
        <v>842</v>
      </c>
      <c r="D1377" t="s">
        <v>843</v>
      </c>
      <c r="E1377">
        <v>21</v>
      </c>
      <c r="F1377">
        <v>50</v>
      </c>
      <c r="G1377">
        <v>46.67</v>
      </c>
      <c r="H1377">
        <v>3.33</v>
      </c>
      <c r="I1377">
        <v>0</v>
      </c>
      <c r="J1377" s="1">
        <v>45928.081057407406</v>
      </c>
      <c r="K1377" t="s">
        <v>839</v>
      </c>
      <c r="L1377">
        <f t="shared" si="21"/>
        <v>1376</v>
      </c>
      <c r="M1377">
        <f>COUNTIF($A$2:A1377,A1377)</f>
        <v>3</v>
      </c>
    </row>
    <row r="1378" spans="1:13" x14ac:dyDescent="0.3">
      <c r="A1378">
        <v>12423</v>
      </c>
      <c r="B1378" t="s">
        <v>836</v>
      </c>
      <c r="C1378" t="s">
        <v>844</v>
      </c>
      <c r="D1378" t="s">
        <v>845</v>
      </c>
      <c r="E1378">
        <v>22</v>
      </c>
      <c r="F1378">
        <v>50</v>
      </c>
      <c r="G1378">
        <v>46.67</v>
      </c>
      <c r="H1378">
        <v>3.33</v>
      </c>
      <c r="I1378">
        <v>0</v>
      </c>
      <c r="J1378" s="1">
        <v>45928.081099201387</v>
      </c>
      <c r="K1378" t="s">
        <v>839</v>
      </c>
      <c r="L1378">
        <f t="shared" si="21"/>
        <v>1377</v>
      </c>
      <c r="M1378">
        <f>COUNTIF($A$2:A1378,A1378)</f>
        <v>4</v>
      </c>
    </row>
    <row r="1379" spans="1:13" x14ac:dyDescent="0.3">
      <c r="A1379">
        <v>12423</v>
      </c>
      <c r="B1379" t="s">
        <v>836</v>
      </c>
      <c r="C1379" t="s">
        <v>846</v>
      </c>
      <c r="D1379" t="s">
        <v>847</v>
      </c>
      <c r="F1379">
        <v>50</v>
      </c>
      <c r="G1379">
        <v>43.33</v>
      </c>
      <c r="H1379">
        <v>6.67</v>
      </c>
      <c r="I1379">
        <v>0</v>
      </c>
      <c r="J1379" s="1">
        <v>45928.081121215277</v>
      </c>
      <c r="K1379" t="s">
        <v>839</v>
      </c>
      <c r="L1379">
        <f t="shared" si="21"/>
        <v>1378</v>
      </c>
      <c r="M1379">
        <f>COUNTIF($A$2:A1379,A1379)</f>
        <v>5</v>
      </c>
    </row>
    <row r="1380" spans="1:13" x14ac:dyDescent="0.3">
      <c r="A1380">
        <v>12423</v>
      </c>
      <c r="B1380" t="s">
        <v>836</v>
      </c>
      <c r="C1380" t="s">
        <v>848</v>
      </c>
      <c r="D1380" t="s">
        <v>849</v>
      </c>
      <c r="E1380">
        <v>33</v>
      </c>
      <c r="F1380">
        <v>30</v>
      </c>
      <c r="G1380">
        <v>60</v>
      </c>
      <c r="H1380">
        <v>10</v>
      </c>
      <c r="I1380">
        <v>0</v>
      </c>
      <c r="J1380" s="1">
        <v>45928.081139236114</v>
      </c>
      <c r="K1380" t="s">
        <v>839</v>
      </c>
      <c r="L1380">
        <f t="shared" si="21"/>
        <v>1379</v>
      </c>
      <c r="M1380">
        <f>COUNTIF($A$2:A1380,A1380)</f>
        <v>6</v>
      </c>
    </row>
    <row r="1381" spans="1:13" x14ac:dyDescent="0.3">
      <c r="A1381">
        <v>12423</v>
      </c>
      <c r="B1381" t="s">
        <v>836</v>
      </c>
      <c r="C1381" t="s">
        <v>850</v>
      </c>
      <c r="D1381" t="s">
        <v>851</v>
      </c>
      <c r="F1381">
        <v>26.67</v>
      </c>
      <c r="G1381">
        <v>63.33</v>
      </c>
      <c r="H1381">
        <v>10</v>
      </c>
      <c r="I1381">
        <v>0</v>
      </c>
      <c r="J1381" s="1">
        <v>45928.081165370371</v>
      </c>
      <c r="K1381" t="s">
        <v>839</v>
      </c>
      <c r="L1381">
        <f t="shared" si="21"/>
        <v>1380</v>
      </c>
      <c r="M1381">
        <f>COUNTIF($A$2:A1381,A1381)</f>
        <v>7</v>
      </c>
    </row>
    <row r="1382" spans="1:13" x14ac:dyDescent="0.3">
      <c r="A1382">
        <v>12423</v>
      </c>
      <c r="B1382" t="s">
        <v>836</v>
      </c>
      <c r="C1382" t="s">
        <v>645</v>
      </c>
      <c r="D1382" t="s">
        <v>646</v>
      </c>
      <c r="E1382">
        <v>25</v>
      </c>
      <c r="F1382">
        <v>43.33</v>
      </c>
      <c r="G1382">
        <v>53.33</v>
      </c>
      <c r="H1382">
        <v>3.33</v>
      </c>
      <c r="I1382">
        <v>0.01</v>
      </c>
      <c r="J1382" s="1">
        <v>45928.081184803239</v>
      </c>
      <c r="K1382" t="s">
        <v>839</v>
      </c>
      <c r="L1382">
        <f t="shared" si="21"/>
        <v>1381</v>
      </c>
      <c r="M1382">
        <f>COUNTIF($A$2:A1382,A1382)</f>
        <v>8</v>
      </c>
    </row>
    <row r="1383" spans="1:13" x14ac:dyDescent="0.3">
      <c r="A1383">
        <v>12423</v>
      </c>
      <c r="B1383" t="s">
        <v>836</v>
      </c>
      <c r="C1383" t="s">
        <v>641</v>
      </c>
      <c r="D1383" t="s">
        <v>642</v>
      </c>
      <c r="F1383">
        <v>53.33</v>
      </c>
      <c r="G1383">
        <v>43.33</v>
      </c>
      <c r="H1383">
        <v>3.33</v>
      </c>
      <c r="I1383">
        <v>0</v>
      </c>
      <c r="J1383" s="1">
        <v>45928.081207719908</v>
      </c>
      <c r="K1383" t="s">
        <v>839</v>
      </c>
      <c r="L1383">
        <f t="shared" si="21"/>
        <v>1382</v>
      </c>
      <c r="M1383">
        <f>COUNTIF($A$2:A1383,A1383)</f>
        <v>9</v>
      </c>
    </row>
    <row r="1384" spans="1:13" x14ac:dyDescent="0.3">
      <c r="A1384">
        <v>12423</v>
      </c>
      <c r="B1384" t="s">
        <v>836</v>
      </c>
      <c r="C1384" t="s">
        <v>637</v>
      </c>
      <c r="D1384" t="s">
        <v>638</v>
      </c>
      <c r="E1384">
        <v>13</v>
      </c>
      <c r="F1384">
        <v>70</v>
      </c>
      <c r="G1384">
        <v>26.67</v>
      </c>
      <c r="H1384">
        <v>3.33</v>
      </c>
      <c r="I1384">
        <v>0</v>
      </c>
      <c r="J1384" s="1">
        <v>45928.081252430558</v>
      </c>
      <c r="K1384" t="s">
        <v>839</v>
      </c>
      <c r="L1384">
        <f t="shared" si="21"/>
        <v>1383</v>
      </c>
      <c r="M1384">
        <f>COUNTIF($A$2:A1384,A1384)</f>
        <v>10</v>
      </c>
    </row>
    <row r="1385" spans="1:13" x14ac:dyDescent="0.3">
      <c r="A1385">
        <v>12423</v>
      </c>
      <c r="B1385" t="s">
        <v>836</v>
      </c>
      <c r="C1385" t="s">
        <v>635</v>
      </c>
      <c r="D1385" t="s">
        <v>636</v>
      </c>
      <c r="E1385">
        <v>19</v>
      </c>
      <c r="F1385">
        <v>63.33</v>
      </c>
      <c r="G1385">
        <v>30</v>
      </c>
      <c r="H1385">
        <v>6.67</v>
      </c>
      <c r="I1385">
        <v>0</v>
      </c>
      <c r="J1385" s="1">
        <v>45928.081298287034</v>
      </c>
      <c r="K1385" t="s">
        <v>839</v>
      </c>
      <c r="L1385">
        <f t="shared" si="21"/>
        <v>1384</v>
      </c>
      <c r="M1385">
        <f>COUNTIF($A$2:A1385,A1385)</f>
        <v>11</v>
      </c>
    </row>
    <row r="1386" spans="1:13" x14ac:dyDescent="0.3">
      <c r="A1386">
        <v>12423</v>
      </c>
      <c r="B1386" t="s">
        <v>836</v>
      </c>
      <c r="C1386" t="s">
        <v>631</v>
      </c>
      <c r="D1386" t="s">
        <v>632</v>
      </c>
      <c r="E1386">
        <v>30</v>
      </c>
      <c r="F1386">
        <v>30</v>
      </c>
      <c r="G1386">
        <v>63.33</v>
      </c>
      <c r="H1386">
        <v>6.67</v>
      </c>
      <c r="I1386">
        <v>0</v>
      </c>
      <c r="J1386" s="1">
        <v>45928.081343993057</v>
      </c>
      <c r="K1386" t="s">
        <v>839</v>
      </c>
      <c r="L1386">
        <f t="shared" si="21"/>
        <v>1385</v>
      </c>
      <c r="M1386">
        <f>COUNTIF($A$2:A1386,A1386)</f>
        <v>12</v>
      </c>
    </row>
    <row r="1387" spans="1:13" x14ac:dyDescent="0.3">
      <c r="A1387">
        <v>12423</v>
      </c>
      <c r="B1387" t="s">
        <v>836</v>
      </c>
      <c r="C1387" t="s">
        <v>312</v>
      </c>
      <c r="D1387" t="s">
        <v>313</v>
      </c>
      <c r="E1387">
        <v>17</v>
      </c>
      <c r="F1387">
        <v>63.33</v>
      </c>
      <c r="G1387">
        <v>30</v>
      </c>
      <c r="H1387">
        <v>6.67</v>
      </c>
      <c r="I1387">
        <v>0</v>
      </c>
      <c r="J1387" s="1">
        <v>45928.081388136576</v>
      </c>
      <c r="K1387" t="s">
        <v>839</v>
      </c>
      <c r="L1387">
        <f t="shared" si="21"/>
        <v>1386</v>
      </c>
      <c r="M1387">
        <f>COUNTIF($A$2:A1387,A1387)</f>
        <v>13</v>
      </c>
    </row>
    <row r="1388" spans="1:13" x14ac:dyDescent="0.3">
      <c r="A1388">
        <v>12423</v>
      </c>
      <c r="B1388" t="s">
        <v>836</v>
      </c>
      <c r="C1388" t="s">
        <v>310</v>
      </c>
      <c r="D1388" t="s">
        <v>311</v>
      </c>
      <c r="F1388">
        <v>63.33</v>
      </c>
      <c r="G1388">
        <v>30</v>
      </c>
      <c r="H1388">
        <v>6.67</v>
      </c>
      <c r="I1388">
        <v>0</v>
      </c>
      <c r="J1388" s="1">
        <v>45928.081413078704</v>
      </c>
      <c r="K1388" t="s">
        <v>839</v>
      </c>
      <c r="L1388">
        <f t="shared" si="21"/>
        <v>1387</v>
      </c>
      <c r="M1388">
        <f>COUNTIF($A$2:A1388,A1388)</f>
        <v>14</v>
      </c>
    </row>
    <row r="1389" spans="1:13" x14ac:dyDescent="0.3">
      <c r="A1389">
        <v>12423</v>
      </c>
      <c r="B1389" t="s">
        <v>836</v>
      </c>
      <c r="C1389" t="s">
        <v>852</v>
      </c>
      <c r="D1389" t="s">
        <v>853</v>
      </c>
      <c r="E1389">
        <v>5</v>
      </c>
      <c r="F1389">
        <v>90</v>
      </c>
      <c r="G1389">
        <v>6.67</v>
      </c>
      <c r="H1389">
        <v>3.33</v>
      </c>
      <c r="I1389">
        <v>0</v>
      </c>
      <c r="J1389" s="1">
        <v>45928.08142962963</v>
      </c>
      <c r="K1389" t="s">
        <v>839</v>
      </c>
      <c r="L1389">
        <f t="shared" si="21"/>
        <v>1388</v>
      </c>
      <c r="M1389">
        <f>COUNTIF($A$2:A1389,A1389)</f>
        <v>15</v>
      </c>
    </row>
    <row r="1390" spans="1:13" x14ac:dyDescent="0.3">
      <c r="A1390">
        <v>12423</v>
      </c>
      <c r="B1390" t="s">
        <v>836</v>
      </c>
      <c r="C1390" t="s">
        <v>854</v>
      </c>
      <c r="D1390" t="s">
        <v>855</v>
      </c>
      <c r="E1390">
        <v>8</v>
      </c>
      <c r="F1390">
        <v>90</v>
      </c>
      <c r="G1390">
        <v>6.67</v>
      </c>
      <c r="H1390">
        <v>3.33</v>
      </c>
      <c r="I1390">
        <v>0</v>
      </c>
      <c r="J1390" s="1">
        <v>45928.081449537036</v>
      </c>
      <c r="K1390" t="s">
        <v>839</v>
      </c>
      <c r="L1390">
        <f t="shared" si="21"/>
        <v>1389</v>
      </c>
      <c r="M1390">
        <f>COUNTIF($A$2:A1390,A1390)</f>
        <v>16</v>
      </c>
    </row>
    <row r="1391" spans="1:13" x14ac:dyDescent="0.3">
      <c r="A1391">
        <v>12423</v>
      </c>
      <c r="B1391" t="s">
        <v>836</v>
      </c>
      <c r="C1391" t="s">
        <v>856</v>
      </c>
      <c r="D1391" t="s">
        <v>857</v>
      </c>
      <c r="E1391">
        <v>15</v>
      </c>
      <c r="F1391">
        <v>66.67</v>
      </c>
      <c r="G1391">
        <v>30</v>
      </c>
      <c r="H1391">
        <v>3.33</v>
      </c>
      <c r="I1391">
        <v>0</v>
      </c>
      <c r="J1391" s="1">
        <v>45928.081490960649</v>
      </c>
      <c r="K1391" t="s">
        <v>839</v>
      </c>
      <c r="L1391">
        <f t="shared" si="21"/>
        <v>1390</v>
      </c>
      <c r="M1391">
        <f>COUNTIF($A$2:A1391,A1391)</f>
        <v>17</v>
      </c>
    </row>
    <row r="1392" spans="1:13" x14ac:dyDescent="0.3">
      <c r="A1392">
        <v>12423</v>
      </c>
      <c r="B1392" t="s">
        <v>836</v>
      </c>
      <c r="C1392" t="s">
        <v>858</v>
      </c>
      <c r="D1392" t="s">
        <v>859</v>
      </c>
      <c r="F1392">
        <v>20</v>
      </c>
      <c r="G1392">
        <v>73.33</v>
      </c>
      <c r="H1392">
        <v>6.67</v>
      </c>
      <c r="I1392">
        <v>0</v>
      </c>
      <c r="J1392" s="1">
        <v>45928.081517060185</v>
      </c>
      <c r="K1392" t="s">
        <v>839</v>
      </c>
      <c r="L1392">
        <f t="shared" si="21"/>
        <v>1391</v>
      </c>
      <c r="M1392">
        <f>COUNTIF($A$2:A1392,A1392)</f>
        <v>18</v>
      </c>
    </row>
    <row r="1393" spans="1:13" x14ac:dyDescent="0.3">
      <c r="A1393">
        <v>12423</v>
      </c>
      <c r="B1393" t="s">
        <v>836</v>
      </c>
      <c r="C1393" t="s">
        <v>860</v>
      </c>
      <c r="D1393" t="s">
        <v>861</v>
      </c>
      <c r="E1393">
        <v>7</v>
      </c>
      <c r="F1393">
        <v>90</v>
      </c>
      <c r="G1393">
        <v>6.67</v>
      </c>
      <c r="H1393">
        <v>3.33</v>
      </c>
      <c r="I1393">
        <v>0</v>
      </c>
      <c r="J1393" s="1">
        <v>45928.081534432873</v>
      </c>
      <c r="K1393" t="s">
        <v>839</v>
      </c>
      <c r="L1393">
        <f t="shared" si="21"/>
        <v>1392</v>
      </c>
      <c r="M1393">
        <f>COUNTIF($A$2:A1393,A1393)</f>
        <v>19</v>
      </c>
    </row>
    <row r="1394" spans="1:13" x14ac:dyDescent="0.3">
      <c r="A1394">
        <v>12423</v>
      </c>
      <c r="B1394" t="s">
        <v>836</v>
      </c>
      <c r="C1394" t="s">
        <v>231</v>
      </c>
      <c r="D1394" t="s">
        <v>232</v>
      </c>
      <c r="E1394">
        <v>11</v>
      </c>
      <c r="F1394">
        <v>86.67</v>
      </c>
      <c r="G1394">
        <v>6.67</v>
      </c>
      <c r="H1394">
        <v>6.67</v>
      </c>
      <c r="I1394">
        <v>0</v>
      </c>
      <c r="J1394" s="1">
        <v>45928.081579432874</v>
      </c>
      <c r="K1394" t="s">
        <v>839</v>
      </c>
      <c r="L1394">
        <f t="shared" si="21"/>
        <v>1393</v>
      </c>
      <c r="M1394">
        <f>COUNTIF($A$2:A1394,A1394)</f>
        <v>20</v>
      </c>
    </row>
    <row r="1395" spans="1:13" x14ac:dyDescent="0.3">
      <c r="A1395">
        <v>12423</v>
      </c>
      <c r="B1395" t="s">
        <v>836</v>
      </c>
      <c r="C1395" t="s">
        <v>224</v>
      </c>
      <c r="D1395" t="s">
        <v>225</v>
      </c>
      <c r="E1395">
        <v>10</v>
      </c>
      <c r="F1395">
        <v>83.33</v>
      </c>
      <c r="G1395">
        <v>16.670000000000002</v>
      </c>
      <c r="H1395">
        <v>0</v>
      </c>
      <c r="I1395">
        <v>0</v>
      </c>
      <c r="J1395" s="1">
        <v>45928.08159765046</v>
      </c>
      <c r="K1395" t="s">
        <v>839</v>
      </c>
      <c r="L1395">
        <f t="shared" si="21"/>
        <v>1394</v>
      </c>
      <c r="M1395">
        <f>COUNTIF($A$2:A1395,A1395)</f>
        <v>21</v>
      </c>
    </row>
    <row r="1396" spans="1:13" x14ac:dyDescent="0.3">
      <c r="A1396">
        <v>12423</v>
      </c>
      <c r="B1396" t="s">
        <v>836</v>
      </c>
      <c r="C1396" t="s">
        <v>784</v>
      </c>
      <c r="D1396" t="s">
        <v>785</v>
      </c>
      <c r="E1396">
        <v>12</v>
      </c>
      <c r="F1396">
        <v>80</v>
      </c>
      <c r="G1396">
        <v>13.33</v>
      </c>
      <c r="H1396">
        <v>6.67</v>
      </c>
      <c r="I1396">
        <v>0</v>
      </c>
      <c r="J1396" s="1">
        <v>45928.08161321759</v>
      </c>
      <c r="K1396" t="s">
        <v>839</v>
      </c>
      <c r="L1396">
        <f t="shared" si="21"/>
        <v>1395</v>
      </c>
      <c r="M1396">
        <f>COUNTIF($A$2:A1396,A1396)</f>
        <v>22</v>
      </c>
    </row>
    <row r="1397" spans="1:13" x14ac:dyDescent="0.3">
      <c r="A1397">
        <v>12423</v>
      </c>
      <c r="B1397" t="s">
        <v>836</v>
      </c>
      <c r="C1397" t="s">
        <v>786</v>
      </c>
      <c r="D1397" t="s">
        <v>787</v>
      </c>
      <c r="E1397">
        <v>17</v>
      </c>
      <c r="F1397">
        <v>60</v>
      </c>
      <c r="G1397">
        <v>33.33</v>
      </c>
      <c r="H1397">
        <v>6.67</v>
      </c>
      <c r="I1397">
        <v>0</v>
      </c>
      <c r="J1397" s="1">
        <v>45928.08165537037</v>
      </c>
      <c r="K1397" t="s">
        <v>839</v>
      </c>
      <c r="L1397">
        <f t="shared" si="21"/>
        <v>1396</v>
      </c>
      <c r="M1397">
        <f>COUNTIF($A$2:A1397,A1397)</f>
        <v>23</v>
      </c>
    </row>
    <row r="1398" spans="1:13" x14ac:dyDescent="0.3">
      <c r="A1398">
        <v>12423</v>
      </c>
      <c r="B1398" t="s">
        <v>836</v>
      </c>
      <c r="C1398" t="s">
        <v>110</v>
      </c>
      <c r="D1398" t="s">
        <v>111</v>
      </c>
      <c r="E1398">
        <v>11</v>
      </c>
      <c r="F1398">
        <v>83.33</v>
      </c>
      <c r="G1398">
        <v>13.33</v>
      </c>
      <c r="H1398">
        <v>3.33</v>
      </c>
      <c r="I1398">
        <v>0.01</v>
      </c>
      <c r="J1398" s="1">
        <v>45928.081675208334</v>
      </c>
      <c r="K1398" t="s">
        <v>839</v>
      </c>
      <c r="L1398">
        <f t="shared" si="21"/>
        <v>1397</v>
      </c>
      <c r="M1398">
        <f>COUNTIF($A$2:A1398,A1398)</f>
        <v>24</v>
      </c>
    </row>
    <row r="1399" spans="1:13" x14ac:dyDescent="0.3">
      <c r="A1399">
        <v>12424</v>
      </c>
      <c r="B1399" t="s">
        <v>836</v>
      </c>
      <c r="C1399" t="s">
        <v>110</v>
      </c>
      <c r="D1399" t="s">
        <v>111</v>
      </c>
      <c r="F1399">
        <v>100</v>
      </c>
      <c r="G1399">
        <v>0</v>
      </c>
      <c r="H1399">
        <v>0</v>
      </c>
      <c r="I1399">
        <v>0</v>
      </c>
      <c r="J1399" s="1">
        <v>45928.081767071759</v>
      </c>
      <c r="K1399" t="s">
        <v>862</v>
      </c>
      <c r="L1399">
        <f t="shared" si="21"/>
        <v>1398</v>
      </c>
      <c r="M1399">
        <f>COUNTIF($A$2:A1399,A1399)</f>
        <v>1</v>
      </c>
    </row>
    <row r="1400" spans="1:13" x14ac:dyDescent="0.3">
      <c r="A1400">
        <v>12424</v>
      </c>
      <c r="B1400" t="s">
        <v>836</v>
      </c>
      <c r="C1400" t="s">
        <v>786</v>
      </c>
      <c r="D1400" t="s">
        <v>787</v>
      </c>
      <c r="E1400">
        <v>13</v>
      </c>
      <c r="F1400">
        <v>90</v>
      </c>
      <c r="G1400">
        <v>6.67</v>
      </c>
      <c r="H1400">
        <v>3.33</v>
      </c>
      <c r="I1400">
        <v>0</v>
      </c>
      <c r="J1400" s="1">
        <v>45928.081783819442</v>
      </c>
      <c r="K1400" t="s">
        <v>862</v>
      </c>
      <c r="L1400">
        <f t="shared" si="21"/>
        <v>1399</v>
      </c>
      <c r="M1400">
        <f>COUNTIF($A$2:A1400,A1400)</f>
        <v>2</v>
      </c>
    </row>
    <row r="1401" spans="1:13" x14ac:dyDescent="0.3">
      <c r="A1401">
        <v>12424</v>
      </c>
      <c r="B1401" t="s">
        <v>836</v>
      </c>
      <c r="C1401" t="s">
        <v>784</v>
      </c>
      <c r="D1401" t="s">
        <v>785</v>
      </c>
      <c r="E1401">
        <v>17</v>
      </c>
      <c r="F1401">
        <v>83.33</v>
      </c>
      <c r="G1401">
        <v>13.33</v>
      </c>
      <c r="H1401">
        <v>3.33</v>
      </c>
      <c r="I1401">
        <v>0.01</v>
      </c>
      <c r="J1401" s="1">
        <v>45928.081799664353</v>
      </c>
      <c r="K1401" t="s">
        <v>862</v>
      </c>
      <c r="L1401">
        <f t="shared" si="21"/>
        <v>1400</v>
      </c>
      <c r="M1401">
        <f>COUNTIF($A$2:A1401,A1401)</f>
        <v>3</v>
      </c>
    </row>
    <row r="1402" spans="1:13" x14ac:dyDescent="0.3">
      <c r="A1402">
        <v>12424</v>
      </c>
      <c r="B1402" t="s">
        <v>836</v>
      </c>
      <c r="C1402" t="s">
        <v>224</v>
      </c>
      <c r="D1402" t="s">
        <v>225</v>
      </c>
      <c r="E1402">
        <v>8</v>
      </c>
      <c r="F1402">
        <v>96.67</v>
      </c>
      <c r="G1402">
        <v>0</v>
      </c>
      <c r="H1402">
        <v>3.33</v>
      </c>
      <c r="I1402">
        <v>0</v>
      </c>
      <c r="J1402" s="1">
        <v>45928.081842962965</v>
      </c>
      <c r="K1402" t="s">
        <v>862</v>
      </c>
      <c r="L1402">
        <f t="shared" si="21"/>
        <v>1401</v>
      </c>
      <c r="M1402">
        <f>COUNTIF($A$2:A1402,A1402)</f>
        <v>4</v>
      </c>
    </row>
    <row r="1403" spans="1:13" x14ac:dyDescent="0.3">
      <c r="A1403">
        <v>12424</v>
      </c>
      <c r="B1403" t="s">
        <v>836</v>
      </c>
      <c r="C1403" t="s">
        <v>231</v>
      </c>
      <c r="D1403" t="s">
        <v>232</v>
      </c>
      <c r="F1403">
        <v>96.67</v>
      </c>
      <c r="G1403">
        <v>0</v>
      </c>
      <c r="H1403">
        <v>3.33</v>
      </c>
      <c r="I1403">
        <v>0</v>
      </c>
      <c r="J1403" s="1">
        <v>45928.081865960645</v>
      </c>
      <c r="K1403" t="s">
        <v>862</v>
      </c>
      <c r="L1403">
        <f t="shared" si="21"/>
        <v>1402</v>
      </c>
      <c r="M1403">
        <f>COUNTIF($A$2:A1403,A1403)</f>
        <v>5</v>
      </c>
    </row>
    <row r="1404" spans="1:13" x14ac:dyDescent="0.3">
      <c r="A1404">
        <v>12424</v>
      </c>
      <c r="B1404" t="s">
        <v>836</v>
      </c>
      <c r="C1404" t="s">
        <v>860</v>
      </c>
      <c r="D1404" t="s">
        <v>861</v>
      </c>
      <c r="E1404">
        <v>9</v>
      </c>
      <c r="F1404">
        <v>96.67</v>
      </c>
      <c r="G1404">
        <v>0</v>
      </c>
      <c r="H1404">
        <v>3.33</v>
      </c>
      <c r="I1404">
        <v>0</v>
      </c>
      <c r="J1404" s="1">
        <v>45928.081908657405</v>
      </c>
      <c r="K1404" t="s">
        <v>862</v>
      </c>
      <c r="L1404">
        <f t="shared" si="21"/>
        <v>1403</v>
      </c>
      <c r="M1404">
        <f>COUNTIF($A$2:A1404,A1404)</f>
        <v>6</v>
      </c>
    </row>
    <row r="1405" spans="1:13" x14ac:dyDescent="0.3">
      <c r="A1405">
        <v>12424</v>
      </c>
      <c r="B1405" t="s">
        <v>836</v>
      </c>
      <c r="C1405" t="s">
        <v>858</v>
      </c>
      <c r="D1405" t="s">
        <v>859</v>
      </c>
      <c r="E1405">
        <v>7</v>
      </c>
      <c r="F1405">
        <v>93.33</v>
      </c>
      <c r="G1405">
        <v>3.33</v>
      </c>
      <c r="H1405">
        <v>3.33</v>
      </c>
      <c r="I1405">
        <v>0.01</v>
      </c>
      <c r="J1405" s="1">
        <v>45928.081924201389</v>
      </c>
      <c r="K1405" t="s">
        <v>862</v>
      </c>
      <c r="L1405">
        <f t="shared" si="21"/>
        <v>1404</v>
      </c>
      <c r="M1405">
        <f>COUNTIF($A$2:A1405,A1405)</f>
        <v>7</v>
      </c>
    </row>
    <row r="1406" spans="1:13" x14ac:dyDescent="0.3">
      <c r="A1406">
        <v>12424</v>
      </c>
      <c r="B1406" t="s">
        <v>836</v>
      </c>
      <c r="C1406" t="s">
        <v>856</v>
      </c>
      <c r="D1406" t="s">
        <v>857</v>
      </c>
      <c r="E1406">
        <v>17</v>
      </c>
      <c r="F1406">
        <v>83.33</v>
      </c>
      <c r="G1406">
        <v>13.33</v>
      </c>
      <c r="H1406">
        <v>3.33</v>
      </c>
      <c r="I1406">
        <v>0.01</v>
      </c>
      <c r="J1406" s="1">
        <v>45928.081943078701</v>
      </c>
      <c r="K1406" t="s">
        <v>862</v>
      </c>
      <c r="L1406">
        <f t="shared" si="21"/>
        <v>1405</v>
      </c>
      <c r="M1406">
        <f>COUNTIF($A$2:A1406,A1406)</f>
        <v>8</v>
      </c>
    </row>
    <row r="1407" spans="1:13" x14ac:dyDescent="0.3">
      <c r="A1407">
        <v>12424</v>
      </c>
      <c r="B1407" t="s">
        <v>836</v>
      </c>
      <c r="C1407" t="s">
        <v>854</v>
      </c>
      <c r="D1407" t="s">
        <v>855</v>
      </c>
      <c r="E1407">
        <v>21</v>
      </c>
      <c r="F1407">
        <v>56.67</v>
      </c>
      <c r="G1407">
        <v>40</v>
      </c>
      <c r="H1407">
        <v>3.33</v>
      </c>
      <c r="I1407">
        <v>0</v>
      </c>
      <c r="J1407" s="1">
        <v>45928.081985856479</v>
      </c>
      <c r="K1407" t="s">
        <v>862</v>
      </c>
      <c r="L1407">
        <f t="shared" si="21"/>
        <v>1406</v>
      </c>
      <c r="M1407">
        <f>COUNTIF($A$2:A1407,A1407)</f>
        <v>9</v>
      </c>
    </row>
    <row r="1408" spans="1:13" x14ac:dyDescent="0.3">
      <c r="A1408">
        <v>12424</v>
      </c>
      <c r="B1408" t="s">
        <v>836</v>
      </c>
      <c r="C1408" t="s">
        <v>852</v>
      </c>
      <c r="D1408" t="s">
        <v>853</v>
      </c>
      <c r="E1408">
        <v>15</v>
      </c>
      <c r="F1408">
        <v>83.33</v>
      </c>
      <c r="G1408">
        <v>13.33</v>
      </c>
      <c r="H1408">
        <v>3.33</v>
      </c>
      <c r="I1408">
        <v>0.01</v>
      </c>
      <c r="J1408" s="1">
        <v>45928.082005937496</v>
      </c>
      <c r="K1408" t="s">
        <v>862</v>
      </c>
      <c r="L1408">
        <f t="shared" si="21"/>
        <v>1407</v>
      </c>
      <c r="M1408">
        <f>COUNTIF($A$2:A1408,A1408)</f>
        <v>10</v>
      </c>
    </row>
    <row r="1409" spans="1:13" x14ac:dyDescent="0.3">
      <c r="A1409">
        <v>12424</v>
      </c>
      <c r="B1409" t="s">
        <v>836</v>
      </c>
      <c r="C1409" t="s">
        <v>310</v>
      </c>
      <c r="D1409" t="s">
        <v>311</v>
      </c>
      <c r="F1409">
        <v>6.67</v>
      </c>
      <c r="G1409">
        <v>90</v>
      </c>
      <c r="H1409">
        <v>3.33</v>
      </c>
      <c r="I1409">
        <v>0</v>
      </c>
      <c r="J1409" s="1">
        <v>45928.082029386576</v>
      </c>
      <c r="K1409" t="s">
        <v>862</v>
      </c>
      <c r="L1409">
        <f t="shared" si="21"/>
        <v>1408</v>
      </c>
      <c r="M1409">
        <f>COUNTIF($A$2:A1409,A1409)</f>
        <v>11</v>
      </c>
    </row>
    <row r="1410" spans="1:13" x14ac:dyDescent="0.3">
      <c r="A1410">
        <v>12424</v>
      </c>
      <c r="B1410" t="s">
        <v>836</v>
      </c>
      <c r="C1410" t="s">
        <v>312</v>
      </c>
      <c r="D1410" t="s">
        <v>313</v>
      </c>
      <c r="E1410">
        <v>24</v>
      </c>
      <c r="F1410">
        <v>56.67</v>
      </c>
      <c r="G1410">
        <v>40</v>
      </c>
      <c r="H1410">
        <v>3.33</v>
      </c>
      <c r="I1410">
        <v>0</v>
      </c>
      <c r="J1410" s="1">
        <v>45928.082069861113</v>
      </c>
      <c r="K1410" t="s">
        <v>862</v>
      </c>
      <c r="L1410">
        <f t="shared" ref="L1410:L1473" si="22">ROW()-1</f>
        <v>1409</v>
      </c>
      <c r="M1410">
        <f>COUNTIF($A$2:A1410,A1410)</f>
        <v>12</v>
      </c>
    </row>
    <row r="1411" spans="1:13" x14ac:dyDescent="0.3">
      <c r="A1411">
        <v>12424</v>
      </c>
      <c r="B1411" t="s">
        <v>836</v>
      </c>
      <c r="C1411" t="s">
        <v>631</v>
      </c>
      <c r="D1411" t="s">
        <v>632</v>
      </c>
      <c r="E1411">
        <v>15</v>
      </c>
      <c r="F1411">
        <v>83.33</v>
      </c>
      <c r="G1411">
        <v>13.33</v>
      </c>
      <c r="H1411">
        <v>3.33</v>
      </c>
      <c r="I1411">
        <v>0.01</v>
      </c>
      <c r="J1411" s="1">
        <v>45928.082088564814</v>
      </c>
      <c r="K1411" t="s">
        <v>862</v>
      </c>
      <c r="L1411">
        <f t="shared" si="22"/>
        <v>1410</v>
      </c>
      <c r="M1411">
        <f>COUNTIF($A$2:A1411,A1411)</f>
        <v>13</v>
      </c>
    </row>
    <row r="1412" spans="1:13" x14ac:dyDescent="0.3">
      <c r="A1412">
        <v>12424</v>
      </c>
      <c r="B1412" t="s">
        <v>836</v>
      </c>
      <c r="C1412" t="s">
        <v>635</v>
      </c>
      <c r="D1412" t="s">
        <v>636</v>
      </c>
      <c r="E1412">
        <v>30</v>
      </c>
      <c r="F1412">
        <v>33.33</v>
      </c>
      <c r="G1412">
        <v>63.33</v>
      </c>
      <c r="H1412">
        <v>3.33</v>
      </c>
      <c r="I1412">
        <v>0.01</v>
      </c>
      <c r="J1412" s="1">
        <v>45928.082103287037</v>
      </c>
      <c r="K1412" t="s">
        <v>862</v>
      </c>
      <c r="L1412">
        <f t="shared" si="22"/>
        <v>1411</v>
      </c>
      <c r="M1412">
        <f>COUNTIF($A$2:A1412,A1412)</f>
        <v>14</v>
      </c>
    </row>
    <row r="1413" spans="1:13" x14ac:dyDescent="0.3">
      <c r="A1413">
        <v>12424</v>
      </c>
      <c r="B1413" t="s">
        <v>836</v>
      </c>
      <c r="C1413" t="s">
        <v>637</v>
      </c>
      <c r="D1413" t="s">
        <v>638</v>
      </c>
      <c r="E1413">
        <v>19</v>
      </c>
      <c r="F1413">
        <v>80</v>
      </c>
      <c r="G1413">
        <v>16.670000000000002</v>
      </c>
      <c r="H1413">
        <v>3.33</v>
      </c>
      <c r="I1413">
        <v>0</v>
      </c>
      <c r="J1413" s="1">
        <v>45928.082143981483</v>
      </c>
      <c r="K1413" t="s">
        <v>862</v>
      </c>
      <c r="L1413">
        <f t="shared" si="22"/>
        <v>1412</v>
      </c>
      <c r="M1413">
        <f>COUNTIF($A$2:A1413,A1413)</f>
        <v>15</v>
      </c>
    </row>
    <row r="1414" spans="1:13" x14ac:dyDescent="0.3">
      <c r="A1414">
        <v>12424</v>
      </c>
      <c r="B1414" t="s">
        <v>836</v>
      </c>
      <c r="C1414" t="s">
        <v>641</v>
      </c>
      <c r="D1414" t="s">
        <v>642</v>
      </c>
      <c r="E1414">
        <v>34</v>
      </c>
      <c r="F1414">
        <v>36.67</v>
      </c>
      <c r="G1414">
        <v>56.67</v>
      </c>
      <c r="H1414">
        <v>6.67</v>
      </c>
      <c r="I1414">
        <v>0</v>
      </c>
      <c r="J1414" s="1">
        <v>45928.082188379631</v>
      </c>
      <c r="K1414" t="s">
        <v>862</v>
      </c>
      <c r="L1414">
        <f t="shared" si="22"/>
        <v>1413</v>
      </c>
      <c r="M1414">
        <f>COUNTIF($A$2:A1414,A1414)</f>
        <v>16</v>
      </c>
    </row>
    <row r="1415" spans="1:13" x14ac:dyDescent="0.3">
      <c r="A1415">
        <v>12424</v>
      </c>
      <c r="B1415" t="s">
        <v>836</v>
      </c>
      <c r="C1415" t="s">
        <v>645</v>
      </c>
      <c r="D1415" t="s">
        <v>646</v>
      </c>
      <c r="E1415">
        <v>30</v>
      </c>
      <c r="F1415">
        <v>53.33</v>
      </c>
      <c r="G1415">
        <v>40</v>
      </c>
      <c r="H1415">
        <v>6.67</v>
      </c>
      <c r="I1415">
        <v>0</v>
      </c>
      <c r="J1415" s="1">
        <v>45928.082234351852</v>
      </c>
      <c r="K1415" t="s">
        <v>862</v>
      </c>
      <c r="L1415">
        <f t="shared" si="22"/>
        <v>1414</v>
      </c>
      <c r="M1415">
        <f>COUNTIF($A$2:A1415,A1415)</f>
        <v>17</v>
      </c>
    </row>
    <row r="1416" spans="1:13" x14ac:dyDescent="0.3">
      <c r="A1416">
        <v>12424</v>
      </c>
      <c r="B1416" t="s">
        <v>836</v>
      </c>
      <c r="C1416" t="s">
        <v>850</v>
      </c>
      <c r="D1416" t="s">
        <v>851</v>
      </c>
      <c r="F1416">
        <v>60</v>
      </c>
      <c r="G1416">
        <v>33.33</v>
      </c>
      <c r="H1416">
        <v>6.67</v>
      </c>
      <c r="I1416">
        <v>0</v>
      </c>
      <c r="J1416" s="1">
        <v>45928.082256643516</v>
      </c>
      <c r="K1416" t="s">
        <v>862</v>
      </c>
      <c r="L1416">
        <f t="shared" si="22"/>
        <v>1415</v>
      </c>
      <c r="M1416">
        <f>COUNTIF($A$2:A1416,A1416)</f>
        <v>18</v>
      </c>
    </row>
    <row r="1417" spans="1:13" x14ac:dyDescent="0.3">
      <c r="A1417">
        <v>12424</v>
      </c>
      <c r="B1417" t="s">
        <v>836</v>
      </c>
      <c r="C1417" t="s">
        <v>848</v>
      </c>
      <c r="D1417" t="s">
        <v>849</v>
      </c>
      <c r="E1417">
        <v>23</v>
      </c>
      <c r="F1417">
        <v>70</v>
      </c>
      <c r="G1417">
        <v>23.33</v>
      </c>
      <c r="H1417">
        <v>6.67</v>
      </c>
      <c r="I1417">
        <v>0</v>
      </c>
      <c r="J1417" s="1">
        <v>45928.082297905094</v>
      </c>
      <c r="K1417" t="s">
        <v>862</v>
      </c>
      <c r="L1417">
        <f t="shared" si="22"/>
        <v>1416</v>
      </c>
      <c r="M1417">
        <f>COUNTIF($A$2:A1417,A1417)</f>
        <v>19</v>
      </c>
    </row>
    <row r="1418" spans="1:13" x14ac:dyDescent="0.3">
      <c r="A1418">
        <v>12424</v>
      </c>
      <c r="B1418" t="s">
        <v>836</v>
      </c>
      <c r="C1418" t="s">
        <v>846</v>
      </c>
      <c r="D1418" t="s">
        <v>847</v>
      </c>
      <c r="E1418">
        <v>26</v>
      </c>
      <c r="F1418">
        <v>70</v>
      </c>
      <c r="G1418">
        <v>20</v>
      </c>
      <c r="H1418">
        <v>10</v>
      </c>
      <c r="I1418">
        <v>0</v>
      </c>
      <c r="J1418" s="1">
        <v>45928.082316215281</v>
      </c>
      <c r="K1418" t="s">
        <v>862</v>
      </c>
      <c r="L1418">
        <f t="shared" si="22"/>
        <v>1417</v>
      </c>
      <c r="M1418">
        <f>COUNTIF($A$2:A1418,A1418)</f>
        <v>20</v>
      </c>
    </row>
    <row r="1419" spans="1:13" x14ac:dyDescent="0.3">
      <c r="A1419">
        <v>12424</v>
      </c>
      <c r="B1419" t="s">
        <v>836</v>
      </c>
      <c r="C1419" t="s">
        <v>844</v>
      </c>
      <c r="D1419" t="s">
        <v>845</v>
      </c>
      <c r="F1419">
        <v>53.33</v>
      </c>
      <c r="G1419">
        <v>36.67</v>
      </c>
      <c r="H1419">
        <v>10</v>
      </c>
      <c r="I1419">
        <v>0</v>
      </c>
      <c r="J1419" s="1">
        <v>45928.08234173611</v>
      </c>
      <c r="K1419" t="s">
        <v>862</v>
      </c>
      <c r="L1419">
        <f t="shared" si="22"/>
        <v>1418</v>
      </c>
      <c r="M1419">
        <f>COUNTIF($A$2:A1419,A1419)</f>
        <v>21</v>
      </c>
    </row>
    <row r="1420" spans="1:13" x14ac:dyDescent="0.3">
      <c r="A1420">
        <v>12424</v>
      </c>
      <c r="B1420" t="s">
        <v>836</v>
      </c>
      <c r="C1420" t="s">
        <v>842</v>
      </c>
      <c r="D1420" t="s">
        <v>843</v>
      </c>
      <c r="E1420">
        <v>27</v>
      </c>
      <c r="F1420">
        <v>66.67</v>
      </c>
      <c r="G1420">
        <v>23.33</v>
      </c>
      <c r="H1420">
        <v>10</v>
      </c>
      <c r="I1420">
        <v>0</v>
      </c>
      <c r="J1420" s="1">
        <v>45928.08236335648</v>
      </c>
      <c r="K1420" t="s">
        <v>862</v>
      </c>
      <c r="L1420">
        <f t="shared" si="22"/>
        <v>1419</v>
      </c>
      <c r="M1420">
        <f>COUNTIF($A$2:A1420,A1420)</f>
        <v>22</v>
      </c>
    </row>
    <row r="1421" spans="1:13" x14ac:dyDescent="0.3">
      <c r="A1421">
        <v>12424</v>
      </c>
      <c r="B1421" t="s">
        <v>836</v>
      </c>
      <c r="C1421" t="s">
        <v>840</v>
      </c>
      <c r="D1421" t="s">
        <v>841</v>
      </c>
      <c r="E1421">
        <v>49</v>
      </c>
      <c r="F1421">
        <v>23.33</v>
      </c>
      <c r="G1421">
        <v>63.33</v>
      </c>
      <c r="H1421">
        <v>13.33</v>
      </c>
      <c r="I1421">
        <v>0.01</v>
      </c>
      <c r="J1421" s="1">
        <v>45928.082382743058</v>
      </c>
      <c r="K1421" t="s">
        <v>862</v>
      </c>
      <c r="L1421">
        <f t="shared" si="22"/>
        <v>1420</v>
      </c>
      <c r="M1421">
        <f>COUNTIF($A$2:A1421,A1421)</f>
        <v>23</v>
      </c>
    </row>
    <row r="1422" spans="1:13" x14ac:dyDescent="0.3">
      <c r="A1422">
        <v>12424</v>
      </c>
      <c r="B1422" t="s">
        <v>836</v>
      </c>
      <c r="C1422" t="s">
        <v>837</v>
      </c>
      <c r="D1422" t="s">
        <v>838</v>
      </c>
      <c r="E1422">
        <v>15</v>
      </c>
      <c r="F1422">
        <v>70</v>
      </c>
      <c r="G1422">
        <v>16.670000000000002</v>
      </c>
      <c r="H1422">
        <v>13.33</v>
      </c>
      <c r="I1422">
        <v>0</v>
      </c>
      <c r="J1422" s="1">
        <v>45928.082426134257</v>
      </c>
      <c r="K1422" t="s">
        <v>862</v>
      </c>
      <c r="L1422">
        <f t="shared" si="22"/>
        <v>1421</v>
      </c>
      <c r="M1422">
        <f>COUNTIF($A$2:A1422,A1422)</f>
        <v>24</v>
      </c>
    </row>
    <row r="1423" spans="1:13" x14ac:dyDescent="0.3">
      <c r="A1423">
        <v>12953</v>
      </c>
      <c r="B1423" t="s">
        <v>863</v>
      </c>
      <c r="C1423" t="s">
        <v>287</v>
      </c>
      <c r="D1423" t="s">
        <v>288</v>
      </c>
      <c r="E1423">
        <v>1</v>
      </c>
      <c r="F1423">
        <v>100</v>
      </c>
      <c r="G1423">
        <v>0</v>
      </c>
      <c r="H1423">
        <v>0</v>
      </c>
      <c r="I1423">
        <v>0</v>
      </c>
      <c r="J1423" s="1">
        <v>45928.082505706021</v>
      </c>
      <c r="K1423" t="s">
        <v>864</v>
      </c>
      <c r="L1423">
        <f t="shared" si="22"/>
        <v>1422</v>
      </c>
      <c r="M1423">
        <f>COUNTIF($A$2:A1423,A1423)</f>
        <v>1</v>
      </c>
    </row>
    <row r="1424" spans="1:13" x14ac:dyDescent="0.3">
      <c r="A1424">
        <v>12953</v>
      </c>
      <c r="B1424" t="s">
        <v>863</v>
      </c>
      <c r="C1424" t="s">
        <v>290</v>
      </c>
      <c r="D1424" t="s">
        <v>291</v>
      </c>
      <c r="E1424">
        <v>9</v>
      </c>
      <c r="F1424">
        <v>86.67</v>
      </c>
      <c r="G1424">
        <v>13.33</v>
      </c>
      <c r="H1424">
        <v>0</v>
      </c>
      <c r="I1424">
        <v>0</v>
      </c>
      <c r="J1424" s="1">
        <v>45928.08254653935</v>
      </c>
      <c r="K1424" t="s">
        <v>864</v>
      </c>
      <c r="L1424">
        <f t="shared" si="22"/>
        <v>1423</v>
      </c>
      <c r="M1424">
        <f>COUNTIF($A$2:A1424,A1424)</f>
        <v>2</v>
      </c>
    </row>
    <row r="1425" spans="1:13" x14ac:dyDescent="0.3">
      <c r="A1425">
        <v>12953</v>
      </c>
      <c r="B1425" t="s">
        <v>863</v>
      </c>
      <c r="C1425" t="s">
        <v>519</v>
      </c>
      <c r="D1425" t="s">
        <v>519</v>
      </c>
      <c r="E1425">
        <v>14</v>
      </c>
      <c r="F1425">
        <v>63.33</v>
      </c>
      <c r="G1425">
        <v>36.67</v>
      </c>
      <c r="H1425">
        <v>0</v>
      </c>
      <c r="I1425">
        <v>0</v>
      </c>
      <c r="J1425" s="1">
        <v>45928.082566712961</v>
      </c>
      <c r="K1425" t="s">
        <v>864</v>
      </c>
      <c r="L1425">
        <f t="shared" si="22"/>
        <v>1424</v>
      </c>
      <c r="M1425">
        <f>COUNTIF($A$2:A1425,A1425)</f>
        <v>3</v>
      </c>
    </row>
    <row r="1426" spans="1:13" x14ac:dyDescent="0.3">
      <c r="A1426">
        <v>12953</v>
      </c>
      <c r="B1426" t="s">
        <v>863</v>
      </c>
      <c r="C1426" t="s">
        <v>520</v>
      </c>
      <c r="D1426" t="s">
        <v>521</v>
      </c>
      <c r="E1426">
        <v>11</v>
      </c>
      <c r="F1426">
        <v>80</v>
      </c>
      <c r="G1426">
        <v>20</v>
      </c>
      <c r="H1426">
        <v>0</v>
      </c>
      <c r="I1426">
        <v>0</v>
      </c>
      <c r="J1426" s="1">
        <v>45928.082587407407</v>
      </c>
      <c r="K1426" t="s">
        <v>864</v>
      </c>
      <c r="L1426">
        <f t="shared" si="22"/>
        <v>1425</v>
      </c>
      <c r="M1426">
        <f>COUNTIF($A$2:A1426,A1426)</f>
        <v>4</v>
      </c>
    </row>
    <row r="1427" spans="1:13" x14ac:dyDescent="0.3">
      <c r="A1427">
        <v>12953</v>
      </c>
      <c r="B1427" t="s">
        <v>863</v>
      </c>
      <c r="C1427" t="s">
        <v>292</v>
      </c>
      <c r="D1427" t="s">
        <v>293</v>
      </c>
      <c r="E1427">
        <v>7</v>
      </c>
      <c r="F1427">
        <v>93.33</v>
      </c>
      <c r="G1427">
        <v>6.67</v>
      </c>
      <c r="H1427">
        <v>0</v>
      </c>
      <c r="I1427">
        <v>0</v>
      </c>
      <c r="J1427" s="1">
        <v>45928.082627256947</v>
      </c>
      <c r="K1427" t="s">
        <v>864</v>
      </c>
      <c r="L1427">
        <f t="shared" si="22"/>
        <v>1426</v>
      </c>
      <c r="M1427">
        <f>COUNTIF($A$2:A1427,A1427)</f>
        <v>5</v>
      </c>
    </row>
    <row r="1428" spans="1:13" x14ac:dyDescent="0.3">
      <c r="A1428">
        <v>12953</v>
      </c>
      <c r="B1428" t="s">
        <v>863</v>
      </c>
      <c r="C1428" t="s">
        <v>524</v>
      </c>
      <c r="D1428" t="s">
        <v>525</v>
      </c>
      <c r="F1428">
        <v>80</v>
      </c>
      <c r="G1428">
        <v>20</v>
      </c>
      <c r="H1428">
        <v>0</v>
      </c>
      <c r="I1428">
        <v>0</v>
      </c>
      <c r="J1428" s="1">
        <v>45928.082651701392</v>
      </c>
      <c r="K1428" t="s">
        <v>864</v>
      </c>
      <c r="L1428">
        <f t="shared" si="22"/>
        <v>1427</v>
      </c>
      <c r="M1428">
        <f>COUNTIF($A$2:A1428,A1428)</f>
        <v>6</v>
      </c>
    </row>
    <row r="1429" spans="1:13" x14ac:dyDescent="0.3">
      <c r="A1429">
        <v>12953</v>
      </c>
      <c r="B1429" t="s">
        <v>863</v>
      </c>
      <c r="C1429" t="s">
        <v>294</v>
      </c>
      <c r="D1429" t="s">
        <v>295</v>
      </c>
      <c r="E1429">
        <v>10</v>
      </c>
      <c r="F1429">
        <v>83.33</v>
      </c>
      <c r="G1429">
        <v>16.670000000000002</v>
      </c>
      <c r="H1429">
        <v>0</v>
      </c>
      <c r="I1429">
        <v>0</v>
      </c>
      <c r="J1429" s="1">
        <v>45928.082671064818</v>
      </c>
      <c r="K1429" t="s">
        <v>864</v>
      </c>
      <c r="L1429">
        <f t="shared" si="22"/>
        <v>1428</v>
      </c>
      <c r="M1429">
        <f>COUNTIF($A$2:A1429,A1429)</f>
        <v>7</v>
      </c>
    </row>
    <row r="1430" spans="1:13" x14ac:dyDescent="0.3">
      <c r="A1430">
        <v>12953</v>
      </c>
      <c r="B1430" t="s">
        <v>863</v>
      </c>
      <c r="C1430" t="s">
        <v>332</v>
      </c>
      <c r="D1430" t="s">
        <v>333</v>
      </c>
      <c r="E1430">
        <v>13</v>
      </c>
      <c r="F1430">
        <v>63.33</v>
      </c>
      <c r="G1430">
        <v>36.67</v>
      </c>
      <c r="H1430">
        <v>0</v>
      </c>
      <c r="I1430">
        <v>0</v>
      </c>
      <c r="J1430" s="1">
        <v>45928.082687210648</v>
      </c>
      <c r="K1430" t="s">
        <v>864</v>
      </c>
      <c r="L1430">
        <f t="shared" si="22"/>
        <v>1429</v>
      </c>
      <c r="M1430">
        <f>COUNTIF($A$2:A1430,A1430)</f>
        <v>8</v>
      </c>
    </row>
    <row r="1431" spans="1:13" x14ac:dyDescent="0.3">
      <c r="A1431">
        <v>12953</v>
      </c>
      <c r="B1431" t="s">
        <v>863</v>
      </c>
      <c r="C1431" t="s">
        <v>296</v>
      </c>
      <c r="D1431" t="s">
        <v>297</v>
      </c>
      <c r="E1431">
        <v>10</v>
      </c>
      <c r="F1431">
        <v>80</v>
      </c>
      <c r="G1431">
        <v>20</v>
      </c>
      <c r="H1431">
        <v>0</v>
      </c>
      <c r="I1431">
        <v>0</v>
      </c>
      <c r="J1431" s="1">
        <v>45928.082704525463</v>
      </c>
      <c r="K1431" t="s">
        <v>864</v>
      </c>
      <c r="L1431">
        <f t="shared" si="22"/>
        <v>1430</v>
      </c>
      <c r="M1431">
        <f>COUNTIF($A$2:A1431,A1431)</f>
        <v>9</v>
      </c>
    </row>
    <row r="1432" spans="1:13" x14ac:dyDescent="0.3">
      <c r="A1432">
        <v>12953</v>
      </c>
      <c r="B1432" t="s">
        <v>863</v>
      </c>
      <c r="C1432" t="s">
        <v>300</v>
      </c>
      <c r="D1432" t="s">
        <v>301</v>
      </c>
      <c r="E1432">
        <v>9</v>
      </c>
      <c r="F1432">
        <v>73.33</v>
      </c>
      <c r="G1432">
        <v>23.33</v>
      </c>
      <c r="H1432">
        <v>3.33</v>
      </c>
      <c r="I1432">
        <v>0.01</v>
      </c>
      <c r="J1432" s="1">
        <v>45928.082722916668</v>
      </c>
      <c r="K1432" t="s">
        <v>864</v>
      </c>
      <c r="L1432">
        <f t="shared" si="22"/>
        <v>1431</v>
      </c>
      <c r="M1432">
        <f>COUNTIF($A$2:A1432,A1432)</f>
        <v>10</v>
      </c>
    </row>
    <row r="1433" spans="1:13" x14ac:dyDescent="0.3">
      <c r="A1433">
        <v>12953</v>
      </c>
      <c r="B1433" t="s">
        <v>863</v>
      </c>
      <c r="C1433" t="s">
        <v>342</v>
      </c>
      <c r="D1433" t="s">
        <v>343</v>
      </c>
      <c r="E1433">
        <v>15</v>
      </c>
      <c r="F1433">
        <v>66.67</v>
      </c>
      <c r="G1433">
        <v>30</v>
      </c>
      <c r="H1433">
        <v>3.33</v>
      </c>
      <c r="I1433">
        <v>0</v>
      </c>
      <c r="J1433" s="1">
        <v>45928.082764652776</v>
      </c>
      <c r="K1433" t="s">
        <v>864</v>
      </c>
      <c r="L1433">
        <f t="shared" si="22"/>
        <v>1432</v>
      </c>
      <c r="M1433">
        <f>COUNTIF($A$2:A1433,A1433)</f>
        <v>11</v>
      </c>
    </row>
    <row r="1434" spans="1:13" x14ac:dyDescent="0.3">
      <c r="A1434">
        <v>12953</v>
      </c>
      <c r="B1434" t="s">
        <v>863</v>
      </c>
      <c r="C1434" t="s">
        <v>279</v>
      </c>
      <c r="D1434" t="s">
        <v>280</v>
      </c>
      <c r="E1434">
        <v>8</v>
      </c>
      <c r="F1434">
        <v>96.67</v>
      </c>
      <c r="G1434">
        <v>0</v>
      </c>
      <c r="H1434">
        <v>3.33</v>
      </c>
      <c r="I1434">
        <v>0</v>
      </c>
      <c r="J1434" s="1">
        <v>45928.082807627317</v>
      </c>
      <c r="K1434" t="s">
        <v>864</v>
      </c>
      <c r="L1434">
        <f t="shared" si="22"/>
        <v>1433</v>
      </c>
      <c r="M1434">
        <f>COUNTIF($A$2:A1434,A1434)</f>
        <v>12</v>
      </c>
    </row>
    <row r="1435" spans="1:13" x14ac:dyDescent="0.3">
      <c r="A1435">
        <v>12953</v>
      </c>
      <c r="B1435" t="s">
        <v>863</v>
      </c>
      <c r="C1435" t="s">
        <v>108</v>
      </c>
      <c r="D1435" t="s">
        <v>109</v>
      </c>
      <c r="E1435">
        <v>7</v>
      </c>
      <c r="F1435">
        <v>90</v>
      </c>
      <c r="G1435">
        <v>6.67</v>
      </c>
      <c r="H1435">
        <v>3.33</v>
      </c>
      <c r="I1435">
        <v>0</v>
      </c>
      <c r="J1435" s="1">
        <v>45928.082828564817</v>
      </c>
      <c r="K1435" t="s">
        <v>864</v>
      </c>
      <c r="L1435">
        <f t="shared" si="22"/>
        <v>1434</v>
      </c>
      <c r="M1435">
        <f>COUNTIF($A$2:A1435,A1435)</f>
        <v>13</v>
      </c>
    </row>
    <row r="1436" spans="1:13" x14ac:dyDescent="0.3">
      <c r="A1436">
        <v>12954</v>
      </c>
      <c r="B1436" t="s">
        <v>863</v>
      </c>
      <c r="C1436" t="s">
        <v>108</v>
      </c>
      <c r="D1436" t="s">
        <v>109</v>
      </c>
      <c r="E1436">
        <v>0</v>
      </c>
      <c r="F1436">
        <v>100</v>
      </c>
      <c r="G1436">
        <v>0</v>
      </c>
      <c r="H1436">
        <v>0</v>
      </c>
      <c r="I1436">
        <v>0</v>
      </c>
      <c r="J1436" s="1">
        <v>45928.082907534721</v>
      </c>
      <c r="K1436" t="s">
        <v>865</v>
      </c>
      <c r="L1436">
        <f t="shared" si="22"/>
        <v>1435</v>
      </c>
      <c r="M1436">
        <f>COUNTIF($A$2:A1436,A1436)</f>
        <v>1</v>
      </c>
    </row>
    <row r="1437" spans="1:13" x14ac:dyDescent="0.3">
      <c r="A1437">
        <v>12954</v>
      </c>
      <c r="B1437" t="s">
        <v>863</v>
      </c>
      <c r="C1437" t="s">
        <v>279</v>
      </c>
      <c r="D1437" t="s">
        <v>280</v>
      </c>
      <c r="E1437">
        <v>6</v>
      </c>
      <c r="F1437">
        <v>96.67</v>
      </c>
      <c r="G1437">
        <v>3.33</v>
      </c>
      <c r="H1437">
        <v>0</v>
      </c>
      <c r="I1437">
        <v>0</v>
      </c>
      <c r="J1437" s="1">
        <v>45928.082949849537</v>
      </c>
      <c r="K1437" t="s">
        <v>865</v>
      </c>
      <c r="L1437">
        <f t="shared" si="22"/>
        <v>1436</v>
      </c>
      <c r="M1437">
        <f>COUNTIF($A$2:A1437,A1437)</f>
        <v>2</v>
      </c>
    </row>
    <row r="1438" spans="1:13" x14ac:dyDescent="0.3">
      <c r="A1438">
        <v>12954</v>
      </c>
      <c r="B1438" t="s">
        <v>863</v>
      </c>
      <c r="C1438" t="s">
        <v>342</v>
      </c>
      <c r="D1438" t="s">
        <v>343</v>
      </c>
      <c r="E1438">
        <v>13</v>
      </c>
      <c r="F1438">
        <v>76.67</v>
      </c>
      <c r="G1438">
        <v>20</v>
      </c>
      <c r="H1438">
        <v>3.33</v>
      </c>
      <c r="I1438">
        <v>0</v>
      </c>
      <c r="J1438" s="1">
        <v>45928.082991354167</v>
      </c>
      <c r="K1438" t="s">
        <v>865</v>
      </c>
      <c r="L1438">
        <f t="shared" si="22"/>
        <v>1437</v>
      </c>
      <c r="M1438">
        <f>COUNTIF($A$2:A1438,A1438)</f>
        <v>3</v>
      </c>
    </row>
    <row r="1439" spans="1:13" x14ac:dyDescent="0.3">
      <c r="A1439">
        <v>12954</v>
      </c>
      <c r="B1439" t="s">
        <v>863</v>
      </c>
      <c r="C1439" t="s">
        <v>300</v>
      </c>
      <c r="D1439" t="s">
        <v>301</v>
      </c>
      <c r="E1439">
        <v>23</v>
      </c>
      <c r="F1439">
        <v>43.33</v>
      </c>
      <c r="G1439">
        <v>50</v>
      </c>
      <c r="H1439">
        <v>6.67</v>
      </c>
      <c r="I1439">
        <v>0</v>
      </c>
      <c r="J1439" s="1">
        <v>45928.083033564813</v>
      </c>
      <c r="K1439" t="s">
        <v>865</v>
      </c>
      <c r="L1439">
        <f t="shared" si="22"/>
        <v>1438</v>
      </c>
      <c r="M1439">
        <f>COUNTIF($A$2:A1439,A1439)</f>
        <v>4</v>
      </c>
    </row>
    <row r="1440" spans="1:13" x14ac:dyDescent="0.3">
      <c r="A1440">
        <v>12954</v>
      </c>
      <c r="B1440" t="s">
        <v>863</v>
      </c>
      <c r="C1440" t="s">
        <v>296</v>
      </c>
      <c r="D1440" t="s">
        <v>297</v>
      </c>
      <c r="E1440">
        <v>20</v>
      </c>
      <c r="F1440">
        <v>66.67</v>
      </c>
      <c r="G1440">
        <v>26.67</v>
      </c>
      <c r="H1440">
        <v>6.67</v>
      </c>
      <c r="I1440">
        <v>0</v>
      </c>
      <c r="J1440" s="1">
        <v>45928.083077581017</v>
      </c>
      <c r="K1440" t="s">
        <v>865</v>
      </c>
      <c r="L1440">
        <f t="shared" si="22"/>
        <v>1439</v>
      </c>
      <c r="M1440">
        <f>COUNTIF($A$2:A1440,A1440)</f>
        <v>5</v>
      </c>
    </row>
    <row r="1441" spans="1:13" x14ac:dyDescent="0.3">
      <c r="A1441">
        <v>12954</v>
      </c>
      <c r="B1441" t="s">
        <v>863</v>
      </c>
      <c r="C1441" t="s">
        <v>332</v>
      </c>
      <c r="D1441" t="s">
        <v>333</v>
      </c>
      <c r="F1441">
        <v>60</v>
      </c>
      <c r="G1441">
        <v>30</v>
      </c>
      <c r="H1441">
        <v>10</v>
      </c>
      <c r="I1441">
        <v>0</v>
      </c>
      <c r="J1441" s="1">
        <v>45928.083102233795</v>
      </c>
      <c r="K1441" t="s">
        <v>865</v>
      </c>
      <c r="L1441">
        <f t="shared" si="22"/>
        <v>1440</v>
      </c>
      <c r="M1441">
        <f>COUNTIF($A$2:A1441,A1441)</f>
        <v>6</v>
      </c>
    </row>
    <row r="1442" spans="1:13" x14ac:dyDescent="0.3">
      <c r="A1442">
        <v>12954</v>
      </c>
      <c r="B1442" t="s">
        <v>863</v>
      </c>
      <c r="C1442" t="s">
        <v>294</v>
      </c>
      <c r="D1442" t="s">
        <v>295</v>
      </c>
      <c r="F1442">
        <v>83.33</v>
      </c>
      <c r="G1442">
        <v>10</v>
      </c>
      <c r="H1442">
        <v>6.67</v>
      </c>
      <c r="I1442">
        <v>0</v>
      </c>
      <c r="J1442" s="1">
        <v>45928.083128425926</v>
      </c>
      <c r="K1442" t="s">
        <v>865</v>
      </c>
      <c r="L1442">
        <f t="shared" si="22"/>
        <v>1441</v>
      </c>
      <c r="M1442">
        <f>COUNTIF($A$2:A1442,A1442)</f>
        <v>7</v>
      </c>
    </row>
    <row r="1443" spans="1:13" x14ac:dyDescent="0.3">
      <c r="A1443">
        <v>12954</v>
      </c>
      <c r="B1443" t="s">
        <v>863</v>
      </c>
      <c r="C1443" t="s">
        <v>524</v>
      </c>
      <c r="D1443" t="s">
        <v>525</v>
      </c>
      <c r="E1443">
        <v>15</v>
      </c>
      <c r="F1443">
        <v>86.67</v>
      </c>
      <c r="G1443">
        <v>6.67</v>
      </c>
      <c r="H1443">
        <v>6.67</v>
      </c>
      <c r="I1443">
        <v>0</v>
      </c>
      <c r="J1443" s="1">
        <v>45928.083172106482</v>
      </c>
      <c r="K1443" t="s">
        <v>865</v>
      </c>
      <c r="L1443">
        <f t="shared" si="22"/>
        <v>1442</v>
      </c>
      <c r="M1443">
        <f>COUNTIF($A$2:A1443,A1443)</f>
        <v>8</v>
      </c>
    </row>
    <row r="1444" spans="1:13" x14ac:dyDescent="0.3">
      <c r="A1444">
        <v>12954</v>
      </c>
      <c r="B1444" t="s">
        <v>863</v>
      </c>
      <c r="C1444" t="s">
        <v>292</v>
      </c>
      <c r="D1444" t="s">
        <v>293</v>
      </c>
      <c r="E1444">
        <v>14</v>
      </c>
      <c r="F1444">
        <v>90</v>
      </c>
      <c r="G1444">
        <v>3.33</v>
      </c>
      <c r="H1444">
        <v>6.67</v>
      </c>
      <c r="I1444">
        <v>0</v>
      </c>
      <c r="J1444" s="1">
        <v>45928.083191909725</v>
      </c>
      <c r="K1444" t="s">
        <v>865</v>
      </c>
      <c r="L1444">
        <f t="shared" si="22"/>
        <v>1443</v>
      </c>
      <c r="M1444">
        <f>COUNTIF($A$2:A1444,A1444)</f>
        <v>9</v>
      </c>
    </row>
    <row r="1445" spans="1:13" x14ac:dyDescent="0.3">
      <c r="A1445">
        <v>12954</v>
      </c>
      <c r="B1445" t="s">
        <v>863</v>
      </c>
      <c r="C1445" t="s">
        <v>520</v>
      </c>
      <c r="D1445" t="s">
        <v>521</v>
      </c>
      <c r="E1445">
        <v>14</v>
      </c>
      <c r="F1445">
        <v>86.67</v>
      </c>
      <c r="G1445">
        <v>6.67</v>
      </c>
      <c r="H1445">
        <v>6.67</v>
      </c>
      <c r="I1445">
        <v>0</v>
      </c>
      <c r="J1445" s="1">
        <v>45928.083242337962</v>
      </c>
      <c r="K1445" t="s">
        <v>865</v>
      </c>
      <c r="L1445">
        <f t="shared" si="22"/>
        <v>1444</v>
      </c>
      <c r="M1445">
        <f>COUNTIF($A$2:A1445,A1445)</f>
        <v>10</v>
      </c>
    </row>
    <row r="1446" spans="1:13" x14ac:dyDescent="0.3">
      <c r="A1446">
        <v>12954</v>
      </c>
      <c r="B1446" t="s">
        <v>863</v>
      </c>
      <c r="C1446" t="s">
        <v>519</v>
      </c>
      <c r="D1446" t="s">
        <v>519</v>
      </c>
      <c r="E1446">
        <v>23</v>
      </c>
      <c r="F1446">
        <v>83.33</v>
      </c>
      <c r="G1446">
        <v>10</v>
      </c>
      <c r="H1446">
        <v>6.67</v>
      </c>
      <c r="I1446">
        <v>0</v>
      </c>
      <c r="J1446" s="1">
        <v>45928.083287627313</v>
      </c>
      <c r="K1446" t="s">
        <v>865</v>
      </c>
      <c r="L1446">
        <f t="shared" si="22"/>
        <v>1445</v>
      </c>
      <c r="M1446">
        <f>COUNTIF($A$2:A1446,A1446)</f>
        <v>11</v>
      </c>
    </row>
    <row r="1447" spans="1:13" x14ac:dyDescent="0.3">
      <c r="A1447">
        <v>12954</v>
      </c>
      <c r="B1447" t="s">
        <v>863</v>
      </c>
      <c r="C1447" t="s">
        <v>290</v>
      </c>
      <c r="D1447" t="s">
        <v>291</v>
      </c>
      <c r="E1447">
        <v>29</v>
      </c>
      <c r="F1447">
        <v>36.67</v>
      </c>
      <c r="G1447">
        <v>53.33</v>
      </c>
      <c r="H1447">
        <v>10</v>
      </c>
      <c r="I1447">
        <v>0</v>
      </c>
      <c r="J1447" s="1">
        <v>45928.083308472225</v>
      </c>
      <c r="K1447" t="s">
        <v>865</v>
      </c>
      <c r="L1447">
        <f t="shared" si="22"/>
        <v>1446</v>
      </c>
      <c r="M1447">
        <f>COUNTIF($A$2:A1447,A1447)</f>
        <v>12</v>
      </c>
    </row>
    <row r="1448" spans="1:13" x14ac:dyDescent="0.3">
      <c r="A1448">
        <v>12954</v>
      </c>
      <c r="B1448" t="s">
        <v>863</v>
      </c>
      <c r="C1448" t="s">
        <v>287</v>
      </c>
      <c r="D1448" t="s">
        <v>288</v>
      </c>
      <c r="E1448">
        <v>16</v>
      </c>
      <c r="F1448">
        <v>86.67</v>
      </c>
      <c r="G1448">
        <v>6.67</v>
      </c>
      <c r="H1448">
        <v>6.67</v>
      </c>
      <c r="I1448">
        <v>0</v>
      </c>
      <c r="J1448" s="1">
        <v>45928.083348576387</v>
      </c>
      <c r="K1448" t="s">
        <v>865</v>
      </c>
      <c r="L1448">
        <f t="shared" si="22"/>
        <v>1447</v>
      </c>
      <c r="M1448">
        <f>COUNTIF($A$2:A1448,A1448)</f>
        <v>13</v>
      </c>
    </row>
    <row r="1449" spans="1:13" x14ac:dyDescent="0.3">
      <c r="A1449">
        <v>12957</v>
      </c>
      <c r="B1449" t="s">
        <v>866</v>
      </c>
      <c r="C1449" t="s">
        <v>867</v>
      </c>
      <c r="D1449" t="s">
        <v>868</v>
      </c>
      <c r="E1449">
        <v>7</v>
      </c>
      <c r="F1449">
        <v>96.67</v>
      </c>
      <c r="G1449">
        <v>0</v>
      </c>
      <c r="H1449">
        <v>3.33</v>
      </c>
      <c r="I1449">
        <v>0</v>
      </c>
      <c r="J1449" s="1">
        <v>45928.083466608798</v>
      </c>
      <c r="K1449" t="s">
        <v>869</v>
      </c>
      <c r="L1449">
        <f t="shared" si="22"/>
        <v>1448</v>
      </c>
      <c r="M1449">
        <f>COUNTIF($A$2:A1449,A1449)</f>
        <v>1</v>
      </c>
    </row>
    <row r="1450" spans="1:13" x14ac:dyDescent="0.3">
      <c r="A1450">
        <v>12957</v>
      </c>
      <c r="B1450" t="s">
        <v>866</v>
      </c>
      <c r="C1450" t="s">
        <v>870</v>
      </c>
      <c r="D1450" t="s">
        <v>871</v>
      </c>
      <c r="E1450">
        <v>8</v>
      </c>
      <c r="F1450">
        <v>93.33</v>
      </c>
      <c r="G1450">
        <v>3.33</v>
      </c>
      <c r="H1450">
        <v>3.33</v>
      </c>
      <c r="I1450">
        <v>0.01</v>
      </c>
      <c r="J1450" s="1">
        <v>45928.083483171293</v>
      </c>
      <c r="K1450" t="s">
        <v>869</v>
      </c>
      <c r="L1450">
        <f t="shared" si="22"/>
        <v>1449</v>
      </c>
      <c r="M1450">
        <f>COUNTIF($A$2:A1450,A1450)</f>
        <v>2</v>
      </c>
    </row>
    <row r="1451" spans="1:13" x14ac:dyDescent="0.3">
      <c r="A1451">
        <v>12957</v>
      </c>
      <c r="B1451" t="s">
        <v>866</v>
      </c>
      <c r="C1451" t="s">
        <v>872</v>
      </c>
      <c r="D1451" t="s">
        <v>873</v>
      </c>
      <c r="F1451">
        <v>96.67</v>
      </c>
      <c r="G1451">
        <v>0</v>
      </c>
      <c r="H1451">
        <v>3.33</v>
      </c>
      <c r="I1451">
        <v>0</v>
      </c>
      <c r="J1451" s="1">
        <v>45928.083507337964</v>
      </c>
      <c r="K1451" t="s">
        <v>869</v>
      </c>
      <c r="L1451">
        <f t="shared" si="22"/>
        <v>1450</v>
      </c>
      <c r="M1451">
        <f>COUNTIF($A$2:A1451,A1451)</f>
        <v>3</v>
      </c>
    </row>
    <row r="1452" spans="1:13" x14ac:dyDescent="0.3">
      <c r="A1452">
        <v>12957</v>
      </c>
      <c r="B1452" t="s">
        <v>866</v>
      </c>
      <c r="C1452" t="s">
        <v>874</v>
      </c>
      <c r="D1452" t="s">
        <v>875</v>
      </c>
      <c r="E1452">
        <v>8</v>
      </c>
      <c r="F1452">
        <v>96.67</v>
      </c>
      <c r="G1452">
        <v>0</v>
      </c>
      <c r="H1452">
        <v>3.33</v>
      </c>
      <c r="I1452">
        <v>0</v>
      </c>
      <c r="J1452" s="1">
        <v>45928.08354832176</v>
      </c>
      <c r="K1452" t="s">
        <v>869</v>
      </c>
      <c r="L1452">
        <f t="shared" si="22"/>
        <v>1451</v>
      </c>
      <c r="M1452">
        <f>COUNTIF($A$2:A1452,A1452)</f>
        <v>4</v>
      </c>
    </row>
    <row r="1453" spans="1:13" x14ac:dyDescent="0.3">
      <c r="A1453">
        <v>12957</v>
      </c>
      <c r="B1453" t="s">
        <v>866</v>
      </c>
      <c r="C1453" t="s">
        <v>876</v>
      </c>
      <c r="D1453" t="s">
        <v>877</v>
      </c>
      <c r="E1453">
        <v>6</v>
      </c>
      <c r="F1453">
        <v>96.67</v>
      </c>
      <c r="G1453">
        <v>0</v>
      </c>
      <c r="H1453">
        <v>3.33</v>
      </c>
      <c r="I1453">
        <v>0</v>
      </c>
      <c r="J1453" s="1">
        <v>45928.08359115741</v>
      </c>
      <c r="K1453" t="s">
        <v>869</v>
      </c>
      <c r="L1453">
        <f t="shared" si="22"/>
        <v>1452</v>
      </c>
      <c r="M1453">
        <f>COUNTIF($A$2:A1453,A1453)</f>
        <v>5</v>
      </c>
    </row>
    <row r="1454" spans="1:13" x14ac:dyDescent="0.3">
      <c r="A1454">
        <v>12957</v>
      </c>
      <c r="B1454" t="s">
        <v>866</v>
      </c>
      <c r="C1454" t="s">
        <v>878</v>
      </c>
      <c r="D1454" t="s">
        <v>879</v>
      </c>
      <c r="E1454">
        <v>6</v>
      </c>
      <c r="F1454">
        <v>96.67</v>
      </c>
      <c r="G1454">
        <v>0</v>
      </c>
      <c r="H1454">
        <v>3.33</v>
      </c>
      <c r="I1454">
        <v>0</v>
      </c>
      <c r="J1454" s="1">
        <v>45928.083635312498</v>
      </c>
      <c r="K1454" t="s">
        <v>869</v>
      </c>
      <c r="L1454">
        <f t="shared" si="22"/>
        <v>1453</v>
      </c>
      <c r="M1454">
        <f>COUNTIF($A$2:A1454,A1454)</f>
        <v>6</v>
      </c>
    </row>
    <row r="1455" spans="1:13" x14ac:dyDescent="0.3">
      <c r="A1455">
        <v>12957</v>
      </c>
      <c r="B1455" t="s">
        <v>866</v>
      </c>
      <c r="C1455" t="s">
        <v>880</v>
      </c>
      <c r="D1455" t="s">
        <v>881</v>
      </c>
      <c r="E1455">
        <v>7</v>
      </c>
      <c r="F1455">
        <v>96.67</v>
      </c>
      <c r="G1455">
        <v>0</v>
      </c>
      <c r="H1455">
        <v>3.33</v>
      </c>
      <c r="I1455">
        <v>0</v>
      </c>
      <c r="J1455" s="1">
        <v>45928.083675381946</v>
      </c>
      <c r="K1455" t="s">
        <v>869</v>
      </c>
      <c r="L1455">
        <f t="shared" si="22"/>
        <v>1454</v>
      </c>
      <c r="M1455">
        <f>COUNTIF($A$2:A1455,A1455)</f>
        <v>7</v>
      </c>
    </row>
    <row r="1456" spans="1:13" x14ac:dyDescent="0.3">
      <c r="A1456">
        <v>12957</v>
      </c>
      <c r="B1456" t="s">
        <v>866</v>
      </c>
      <c r="C1456" t="s">
        <v>882</v>
      </c>
      <c r="D1456" t="s">
        <v>883</v>
      </c>
      <c r="E1456">
        <v>14</v>
      </c>
      <c r="F1456">
        <v>96.67</v>
      </c>
      <c r="G1456">
        <v>0</v>
      </c>
      <c r="H1456">
        <v>3.33</v>
      </c>
      <c r="I1456">
        <v>0</v>
      </c>
      <c r="J1456" s="1">
        <v>45928.083716469904</v>
      </c>
      <c r="K1456" t="s">
        <v>869</v>
      </c>
      <c r="L1456">
        <f t="shared" si="22"/>
        <v>1455</v>
      </c>
      <c r="M1456">
        <f>COUNTIF($A$2:A1456,A1456)</f>
        <v>8</v>
      </c>
    </row>
    <row r="1457" spans="1:13" x14ac:dyDescent="0.3">
      <c r="A1457">
        <v>12957</v>
      </c>
      <c r="B1457" t="s">
        <v>866</v>
      </c>
      <c r="C1457" t="s">
        <v>884</v>
      </c>
      <c r="D1457" t="s">
        <v>885</v>
      </c>
      <c r="E1457">
        <v>15</v>
      </c>
      <c r="F1457">
        <v>96.67</v>
      </c>
      <c r="G1457">
        <v>0</v>
      </c>
      <c r="H1457">
        <v>3.33</v>
      </c>
      <c r="I1457">
        <v>0</v>
      </c>
      <c r="J1457" s="1">
        <v>45928.083759745372</v>
      </c>
      <c r="K1457" t="s">
        <v>869</v>
      </c>
      <c r="L1457">
        <f t="shared" si="22"/>
        <v>1456</v>
      </c>
      <c r="M1457">
        <f>COUNTIF($A$2:A1457,A1457)</f>
        <v>9</v>
      </c>
    </row>
    <row r="1458" spans="1:13" x14ac:dyDescent="0.3">
      <c r="A1458">
        <v>12957</v>
      </c>
      <c r="B1458" t="s">
        <v>866</v>
      </c>
      <c r="C1458" t="s">
        <v>110</v>
      </c>
      <c r="D1458" t="s">
        <v>111</v>
      </c>
      <c r="F1458">
        <v>96.67</v>
      </c>
      <c r="G1458">
        <v>0</v>
      </c>
      <c r="H1458">
        <v>3.33</v>
      </c>
      <c r="I1458">
        <v>0</v>
      </c>
      <c r="J1458" s="1">
        <v>45928.083785000003</v>
      </c>
      <c r="K1458" t="s">
        <v>869</v>
      </c>
      <c r="L1458">
        <f t="shared" si="22"/>
        <v>1457</v>
      </c>
      <c r="M1458">
        <f>COUNTIF($A$2:A1458,A1458)</f>
        <v>10</v>
      </c>
    </row>
    <row r="1459" spans="1:13" x14ac:dyDescent="0.3">
      <c r="A1459">
        <v>12958</v>
      </c>
      <c r="B1459" t="s">
        <v>866</v>
      </c>
      <c r="C1459" t="s">
        <v>110</v>
      </c>
      <c r="D1459" t="s">
        <v>111</v>
      </c>
      <c r="F1459">
        <v>100</v>
      </c>
      <c r="G1459">
        <v>0</v>
      </c>
      <c r="H1459">
        <v>0</v>
      </c>
      <c r="I1459">
        <v>0</v>
      </c>
      <c r="J1459" s="1">
        <v>45928.083860104169</v>
      </c>
      <c r="K1459" t="s">
        <v>886</v>
      </c>
      <c r="L1459">
        <f t="shared" si="22"/>
        <v>1458</v>
      </c>
      <c r="M1459">
        <f>COUNTIF($A$2:A1459,A1459)</f>
        <v>1</v>
      </c>
    </row>
    <row r="1460" spans="1:13" x14ac:dyDescent="0.3">
      <c r="A1460">
        <v>12958</v>
      </c>
      <c r="B1460" t="s">
        <v>866</v>
      </c>
      <c r="C1460" t="s">
        <v>884</v>
      </c>
      <c r="D1460" t="s">
        <v>885</v>
      </c>
      <c r="E1460">
        <v>4</v>
      </c>
      <c r="F1460">
        <v>100</v>
      </c>
      <c r="G1460">
        <v>0</v>
      </c>
      <c r="H1460">
        <v>0</v>
      </c>
      <c r="I1460">
        <v>0</v>
      </c>
      <c r="J1460" s="1">
        <v>45928.083876921293</v>
      </c>
      <c r="K1460" t="s">
        <v>886</v>
      </c>
      <c r="L1460">
        <f t="shared" si="22"/>
        <v>1459</v>
      </c>
      <c r="M1460">
        <f>COUNTIF($A$2:A1460,A1460)</f>
        <v>2</v>
      </c>
    </row>
    <row r="1461" spans="1:13" x14ac:dyDescent="0.3">
      <c r="A1461">
        <v>12958</v>
      </c>
      <c r="B1461" t="s">
        <v>866</v>
      </c>
      <c r="C1461" t="s">
        <v>882</v>
      </c>
      <c r="D1461" t="s">
        <v>883</v>
      </c>
      <c r="E1461">
        <v>7</v>
      </c>
      <c r="F1461">
        <v>93.33</v>
      </c>
      <c r="G1461">
        <v>6.67</v>
      </c>
      <c r="H1461">
        <v>0</v>
      </c>
      <c r="I1461">
        <v>0</v>
      </c>
      <c r="J1461" s="1">
        <v>45928.083923206017</v>
      </c>
      <c r="K1461" t="s">
        <v>886</v>
      </c>
      <c r="L1461">
        <f t="shared" si="22"/>
        <v>1460</v>
      </c>
      <c r="M1461">
        <f>COUNTIF($A$2:A1461,A1461)</f>
        <v>3</v>
      </c>
    </row>
    <row r="1462" spans="1:13" x14ac:dyDescent="0.3">
      <c r="A1462">
        <v>12958</v>
      </c>
      <c r="B1462" t="s">
        <v>866</v>
      </c>
      <c r="C1462" t="s">
        <v>880</v>
      </c>
      <c r="D1462" t="s">
        <v>881</v>
      </c>
      <c r="F1462">
        <v>46.67</v>
      </c>
      <c r="G1462">
        <v>53.33</v>
      </c>
      <c r="H1462">
        <v>0</v>
      </c>
      <c r="I1462">
        <v>0</v>
      </c>
      <c r="J1462" s="1">
        <v>45928.083949780092</v>
      </c>
      <c r="K1462" t="s">
        <v>886</v>
      </c>
      <c r="L1462">
        <f t="shared" si="22"/>
        <v>1461</v>
      </c>
      <c r="M1462">
        <f>COUNTIF($A$2:A1462,A1462)</f>
        <v>4</v>
      </c>
    </row>
    <row r="1463" spans="1:13" x14ac:dyDescent="0.3">
      <c r="A1463">
        <v>12958</v>
      </c>
      <c r="B1463" t="s">
        <v>866</v>
      </c>
      <c r="C1463" t="s">
        <v>878</v>
      </c>
      <c r="D1463" t="s">
        <v>879</v>
      </c>
      <c r="E1463">
        <v>16</v>
      </c>
      <c r="F1463">
        <v>63.33</v>
      </c>
      <c r="G1463">
        <v>36.67</v>
      </c>
      <c r="H1463">
        <v>0</v>
      </c>
      <c r="I1463">
        <v>0</v>
      </c>
      <c r="J1463" s="1">
        <v>45928.083967997685</v>
      </c>
      <c r="K1463" t="s">
        <v>886</v>
      </c>
      <c r="L1463">
        <f t="shared" si="22"/>
        <v>1462</v>
      </c>
      <c r="M1463">
        <f>COUNTIF($A$2:A1463,A1463)</f>
        <v>5</v>
      </c>
    </row>
    <row r="1464" spans="1:13" x14ac:dyDescent="0.3">
      <c r="A1464">
        <v>12958</v>
      </c>
      <c r="B1464" t="s">
        <v>866</v>
      </c>
      <c r="C1464" t="s">
        <v>876</v>
      </c>
      <c r="D1464" t="s">
        <v>877</v>
      </c>
      <c r="E1464">
        <v>16</v>
      </c>
      <c r="F1464">
        <v>53.33</v>
      </c>
      <c r="G1464">
        <v>46.67</v>
      </c>
      <c r="H1464">
        <v>0</v>
      </c>
      <c r="I1464">
        <v>0</v>
      </c>
      <c r="J1464" s="1">
        <v>45928.083989050923</v>
      </c>
      <c r="K1464" t="s">
        <v>886</v>
      </c>
      <c r="L1464">
        <f t="shared" si="22"/>
        <v>1463</v>
      </c>
      <c r="M1464">
        <f>COUNTIF($A$2:A1464,A1464)</f>
        <v>6</v>
      </c>
    </row>
    <row r="1465" spans="1:13" x14ac:dyDescent="0.3">
      <c r="A1465">
        <v>12958</v>
      </c>
      <c r="B1465" t="s">
        <v>866</v>
      </c>
      <c r="C1465" t="s">
        <v>874</v>
      </c>
      <c r="D1465" t="s">
        <v>875</v>
      </c>
      <c r="E1465">
        <v>10</v>
      </c>
      <c r="F1465">
        <v>73.33</v>
      </c>
      <c r="G1465">
        <v>26.67</v>
      </c>
      <c r="H1465">
        <v>0</v>
      </c>
      <c r="I1465">
        <v>0</v>
      </c>
      <c r="J1465" s="1">
        <v>45928.084006226854</v>
      </c>
      <c r="K1465" t="s">
        <v>886</v>
      </c>
      <c r="L1465">
        <f t="shared" si="22"/>
        <v>1464</v>
      </c>
      <c r="M1465">
        <f>COUNTIF($A$2:A1465,A1465)</f>
        <v>7</v>
      </c>
    </row>
    <row r="1466" spans="1:13" x14ac:dyDescent="0.3">
      <c r="A1466">
        <v>12958</v>
      </c>
      <c r="B1466" t="s">
        <v>866</v>
      </c>
      <c r="C1466" t="s">
        <v>872</v>
      </c>
      <c r="D1466" t="s">
        <v>873</v>
      </c>
      <c r="E1466">
        <v>4</v>
      </c>
      <c r="F1466">
        <v>90</v>
      </c>
      <c r="G1466">
        <v>10</v>
      </c>
      <c r="H1466">
        <v>0</v>
      </c>
      <c r="I1466">
        <v>0</v>
      </c>
      <c r="J1466" s="1">
        <v>45928.084027442128</v>
      </c>
      <c r="K1466" t="s">
        <v>886</v>
      </c>
      <c r="L1466">
        <f t="shared" si="22"/>
        <v>1465</v>
      </c>
      <c r="M1466">
        <f>COUNTIF($A$2:A1466,A1466)</f>
        <v>8</v>
      </c>
    </row>
    <row r="1467" spans="1:13" x14ac:dyDescent="0.3">
      <c r="A1467">
        <v>12958</v>
      </c>
      <c r="B1467" t="s">
        <v>866</v>
      </c>
      <c r="C1467" t="s">
        <v>870</v>
      </c>
      <c r="D1467" t="s">
        <v>871</v>
      </c>
      <c r="E1467">
        <v>6</v>
      </c>
      <c r="F1467">
        <v>86.67</v>
      </c>
      <c r="G1467">
        <v>13.33</v>
      </c>
      <c r="H1467">
        <v>0</v>
      </c>
      <c r="I1467">
        <v>0</v>
      </c>
      <c r="J1467" s="1">
        <v>45928.084073923608</v>
      </c>
      <c r="K1467" t="s">
        <v>886</v>
      </c>
      <c r="L1467">
        <f t="shared" si="22"/>
        <v>1466</v>
      </c>
      <c r="M1467">
        <f>COUNTIF($A$2:A1467,A1467)</f>
        <v>9</v>
      </c>
    </row>
    <row r="1468" spans="1:13" x14ac:dyDescent="0.3">
      <c r="A1468">
        <v>12958</v>
      </c>
      <c r="B1468" t="s">
        <v>866</v>
      </c>
      <c r="C1468" t="s">
        <v>867</v>
      </c>
      <c r="D1468" t="s">
        <v>868</v>
      </c>
      <c r="F1468">
        <v>100</v>
      </c>
      <c r="G1468">
        <v>0</v>
      </c>
      <c r="H1468">
        <v>0</v>
      </c>
      <c r="I1468">
        <v>0</v>
      </c>
      <c r="J1468" s="1">
        <v>45928.084093124999</v>
      </c>
      <c r="K1468" t="s">
        <v>886</v>
      </c>
      <c r="L1468">
        <f t="shared" si="22"/>
        <v>1467</v>
      </c>
      <c r="M1468">
        <f>COUNTIF($A$2:A1468,A1468)</f>
        <v>10</v>
      </c>
    </row>
    <row r="1469" spans="1:13" x14ac:dyDescent="0.3">
      <c r="A1469">
        <v>22221</v>
      </c>
      <c r="B1469" t="s">
        <v>887</v>
      </c>
      <c r="C1469" t="s">
        <v>379</v>
      </c>
      <c r="D1469" t="s">
        <v>380</v>
      </c>
      <c r="E1469">
        <v>1</v>
      </c>
      <c r="F1469">
        <v>96.67</v>
      </c>
      <c r="G1469">
        <v>3.33</v>
      </c>
      <c r="H1469">
        <v>0</v>
      </c>
      <c r="I1469">
        <v>0</v>
      </c>
      <c r="J1469" s="1">
        <v>45928.08417037037</v>
      </c>
      <c r="K1469" t="s">
        <v>888</v>
      </c>
      <c r="L1469">
        <f t="shared" si="22"/>
        <v>1468</v>
      </c>
      <c r="M1469">
        <f>COUNTIF($A$2:A1469,A1469)</f>
        <v>1</v>
      </c>
    </row>
    <row r="1470" spans="1:13" x14ac:dyDescent="0.3">
      <c r="A1470">
        <v>22221</v>
      </c>
      <c r="B1470" t="s">
        <v>887</v>
      </c>
      <c r="C1470" t="s">
        <v>386</v>
      </c>
      <c r="D1470" t="s">
        <v>387</v>
      </c>
      <c r="E1470">
        <v>9</v>
      </c>
      <c r="F1470">
        <v>86.67</v>
      </c>
      <c r="G1470">
        <v>13.33</v>
      </c>
      <c r="H1470">
        <v>0</v>
      </c>
      <c r="I1470">
        <v>0</v>
      </c>
      <c r="J1470" s="1">
        <v>45928.084215763891</v>
      </c>
      <c r="K1470" t="s">
        <v>888</v>
      </c>
      <c r="L1470">
        <f t="shared" si="22"/>
        <v>1469</v>
      </c>
      <c r="M1470">
        <f>COUNTIF($A$2:A1470,A1470)</f>
        <v>2</v>
      </c>
    </row>
    <row r="1471" spans="1:13" x14ac:dyDescent="0.3">
      <c r="A1471">
        <v>22221</v>
      </c>
      <c r="B1471" t="s">
        <v>887</v>
      </c>
      <c r="C1471" t="s">
        <v>392</v>
      </c>
      <c r="D1471" t="s">
        <v>393</v>
      </c>
      <c r="F1471">
        <v>13.33</v>
      </c>
      <c r="G1471">
        <v>86.67</v>
      </c>
      <c r="H1471">
        <v>0</v>
      </c>
      <c r="I1471">
        <v>0</v>
      </c>
      <c r="J1471" s="1">
        <v>45928.084237141207</v>
      </c>
      <c r="K1471" t="s">
        <v>888</v>
      </c>
      <c r="L1471">
        <f t="shared" si="22"/>
        <v>1470</v>
      </c>
      <c r="M1471">
        <f>COUNTIF($A$2:A1471,A1471)</f>
        <v>3</v>
      </c>
    </row>
    <row r="1472" spans="1:13" x14ac:dyDescent="0.3">
      <c r="A1472">
        <v>22221</v>
      </c>
      <c r="B1472" t="s">
        <v>887</v>
      </c>
      <c r="C1472" t="s">
        <v>553</v>
      </c>
      <c r="D1472" t="s">
        <v>554</v>
      </c>
      <c r="F1472">
        <v>10</v>
      </c>
      <c r="G1472">
        <v>90</v>
      </c>
      <c r="H1472">
        <v>0</v>
      </c>
      <c r="I1472">
        <v>0</v>
      </c>
      <c r="J1472" s="1">
        <v>45928.084262037039</v>
      </c>
      <c r="K1472" t="s">
        <v>888</v>
      </c>
      <c r="L1472">
        <f t="shared" si="22"/>
        <v>1471</v>
      </c>
      <c r="M1472">
        <f>COUNTIF($A$2:A1472,A1472)</f>
        <v>4</v>
      </c>
    </row>
    <row r="1473" spans="1:13" x14ac:dyDescent="0.3">
      <c r="A1473">
        <v>22221</v>
      </c>
      <c r="B1473" t="s">
        <v>887</v>
      </c>
      <c r="C1473" t="s">
        <v>555</v>
      </c>
      <c r="D1473" t="s">
        <v>556</v>
      </c>
      <c r="E1473">
        <v>12</v>
      </c>
      <c r="F1473">
        <v>80</v>
      </c>
      <c r="G1473">
        <v>20</v>
      </c>
      <c r="H1473">
        <v>0</v>
      </c>
      <c r="I1473">
        <v>0</v>
      </c>
      <c r="J1473" s="1">
        <v>45928.084279409719</v>
      </c>
      <c r="K1473" t="s">
        <v>888</v>
      </c>
      <c r="L1473">
        <f t="shared" si="22"/>
        <v>1472</v>
      </c>
      <c r="M1473">
        <f>COUNTIF($A$2:A1473,A1473)</f>
        <v>5</v>
      </c>
    </row>
    <row r="1474" spans="1:13" x14ac:dyDescent="0.3">
      <c r="A1474">
        <v>22221</v>
      </c>
      <c r="B1474" t="s">
        <v>887</v>
      </c>
      <c r="C1474" t="s">
        <v>100</v>
      </c>
      <c r="D1474" t="s">
        <v>101</v>
      </c>
      <c r="E1474">
        <v>12</v>
      </c>
      <c r="F1474">
        <v>86.67</v>
      </c>
      <c r="G1474">
        <v>10</v>
      </c>
      <c r="H1474">
        <v>3.33</v>
      </c>
      <c r="I1474">
        <v>0</v>
      </c>
      <c r="J1474" s="1">
        <v>45928.08432130787</v>
      </c>
      <c r="K1474" t="s">
        <v>888</v>
      </c>
      <c r="L1474">
        <f t="shared" ref="L1474:L1537" si="23">ROW()-1</f>
        <v>1473</v>
      </c>
      <c r="M1474">
        <f>COUNTIF($A$2:A1474,A1474)</f>
        <v>6</v>
      </c>
    </row>
    <row r="1475" spans="1:13" x14ac:dyDescent="0.3">
      <c r="A1475">
        <v>22221</v>
      </c>
      <c r="B1475" t="s">
        <v>887</v>
      </c>
      <c r="C1475" t="s">
        <v>102</v>
      </c>
      <c r="D1475" t="s">
        <v>103</v>
      </c>
      <c r="E1475">
        <v>9</v>
      </c>
      <c r="F1475">
        <v>93.33</v>
      </c>
      <c r="G1475">
        <v>3.33</v>
      </c>
      <c r="H1475">
        <v>3.33</v>
      </c>
      <c r="I1475">
        <v>0.01</v>
      </c>
      <c r="J1475" s="1">
        <v>45928.084341516202</v>
      </c>
      <c r="K1475" t="s">
        <v>888</v>
      </c>
      <c r="L1475">
        <f t="shared" si="23"/>
        <v>1474</v>
      </c>
      <c r="M1475">
        <f>COUNTIF($A$2:A1475,A1475)</f>
        <v>7</v>
      </c>
    </row>
    <row r="1476" spans="1:13" x14ac:dyDescent="0.3">
      <c r="A1476">
        <v>22221</v>
      </c>
      <c r="B1476" t="s">
        <v>887</v>
      </c>
      <c r="C1476" t="s">
        <v>104</v>
      </c>
      <c r="D1476" t="s">
        <v>105</v>
      </c>
      <c r="E1476">
        <v>14</v>
      </c>
      <c r="F1476">
        <v>83.33</v>
      </c>
      <c r="G1476">
        <v>13.33</v>
      </c>
      <c r="H1476">
        <v>3.33</v>
      </c>
      <c r="I1476">
        <v>0.01</v>
      </c>
      <c r="J1476" s="1">
        <v>45928.084357615742</v>
      </c>
      <c r="K1476" t="s">
        <v>888</v>
      </c>
      <c r="L1476">
        <f t="shared" si="23"/>
        <v>1475</v>
      </c>
      <c r="M1476">
        <f>COUNTIF($A$2:A1476,A1476)</f>
        <v>8</v>
      </c>
    </row>
    <row r="1477" spans="1:13" x14ac:dyDescent="0.3">
      <c r="A1477">
        <v>22221</v>
      </c>
      <c r="B1477" t="s">
        <v>887</v>
      </c>
      <c r="C1477" t="s">
        <v>106</v>
      </c>
      <c r="D1477" t="s">
        <v>107</v>
      </c>
      <c r="F1477">
        <v>93.33</v>
      </c>
      <c r="G1477">
        <v>3.33</v>
      </c>
      <c r="H1477">
        <v>3.33</v>
      </c>
      <c r="I1477">
        <v>0</v>
      </c>
      <c r="J1477" s="1">
        <v>45928.084380613429</v>
      </c>
      <c r="K1477" t="s">
        <v>888</v>
      </c>
      <c r="L1477">
        <f t="shared" si="23"/>
        <v>1476</v>
      </c>
      <c r="M1477">
        <f>COUNTIF($A$2:A1477,A1477)</f>
        <v>9</v>
      </c>
    </row>
    <row r="1478" spans="1:13" x14ac:dyDescent="0.3">
      <c r="A1478">
        <v>22221</v>
      </c>
      <c r="B1478" t="s">
        <v>887</v>
      </c>
      <c r="C1478" t="s">
        <v>108</v>
      </c>
      <c r="D1478" t="s">
        <v>109</v>
      </c>
      <c r="F1478">
        <v>90</v>
      </c>
      <c r="G1478">
        <v>6.67</v>
      </c>
      <c r="H1478">
        <v>3.33</v>
      </c>
      <c r="I1478">
        <v>0</v>
      </c>
      <c r="J1478" s="1">
        <v>45928.084403287037</v>
      </c>
      <c r="K1478" t="s">
        <v>888</v>
      </c>
      <c r="L1478">
        <f t="shared" si="23"/>
        <v>1477</v>
      </c>
      <c r="M1478">
        <f>COUNTIF($A$2:A1478,A1478)</f>
        <v>10</v>
      </c>
    </row>
    <row r="1479" spans="1:13" x14ac:dyDescent="0.3">
      <c r="A1479">
        <v>22222</v>
      </c>
      <c r="B1479" t="s">
        <v>887</v>
      </c>
      <c r="C1479" t="s">
        <v>108</v>
      </c>
      <c r="D1479" t="s">
        <v>109</v>
      </c>
      <c r="E1479">
        <v>1</v>
      </c>
      <c r="F1479">
        <v>96.67</v>
      </c>
      <c r="G1479">
        <v>3.33</v>
      </c>
      <c r="H1479">
        <v>0</v>
      </c>
      <c r="I1479">
        <v>0</v>
      </c>
      <c r="J1479" s="1">
        <v>45928.084484108796</v>
      </c>
      <c r="K1479" t="s">
        <v>889</v>
      </c>
      <c r="L1479">
        <f t="shared" si="23"/>
        <v>1478</v>
      </c>
      <c r="M1479">
        <f>COUNTIF($A$2:A1479,A1479)</f>
        <v>1</v>
      </c>
    </row>
    <row r="1480" spans="1:13" x14ac:dyDescent="0.3">
      <c r="A1480">
        <v>22222</v>
      </c>
      <c r="B1480" t="s">
        <v>887</v>
      </c>
      <c r="C1480" t="s">
        <v>106</v>
      </c>
      <c r="D1480" t="s">
        <v>107</v>
      </c>
      <c r="E1480">
        <v>16</v>
      </c>
      <c r="F1480">
        <v>70</v>
      </c>
      <c r="G1480">
        <v>30</v>
      </c>
      <c r="H1480">
        <v>0</v>
      </c>
      <c r="I1480">
        <v>0</v>
      </c>
      <c r="J1480" s="1">
        <v>45928.084500717596</v>
      </c>
      <c r="K1480" t="s">
        <v>889</v>
      </c>
      <c r="L1480">
        <f t="shared" si="23"/>
        <v>1479</v>
      </c>
      <c r="M1480">
        <f>COUNTIF($A$2:A1480,A1480)</f>
        <v>2</v>
      </c>
    </row>
    <row r="1481" spans="1:13" x14ac:dyDescent="0.3">
      <c r="A1481">
        <v>22222</v>
      </c>
      <c r="B1481" t="s">
        <v>887</v>
      </c>
      <c r="C1481" t="s">
        <v>104</v>
      </c>
      <c r="D1481" t="s">
        <v>105</v>
      </c>
      <c r="E1481">
        <v>13</v>
      </c>
      <c r="F1481">
        <v>80</v>
      </c>
      <c r="G1481">
        <v>20</v>
      </c>
      <c r="H1481">
        <v>0</v>
      </c>
      <c r="I1481">
        <v>0</v>
      </c>
      <c r="J1481" s="1">
        <v>45928.084518078707</v>
      </c>
      <c r="K1481" t="s">
        <v>889</v>
      </c>
      <c r="L1481">
        <f t="shared" si="23"/>
        <v>1480</v>
      </c>
      <c r="M1481">
        <f>COUNTIF($A$2:A1481,A1481)</f>
        <v>3</v>
      </c>
    </row>
    <row r="1482" spans="1:13" x14ac:dyDescent="0.3">
      <c r="A1482">
        <v>22222</v>
      </c>
      <c r="B1482" t="s">
        <v>887</v>
      </c>
      <c r="C1482" t="s">
        <v>102</v>
      </c>
      <c r="D1482" t="s">
        <v>103</v>
      </c>
      <c r="E1482">
        <v>5</v>
      </c>
      <c r="F1482">
        <v>93.33</v>
      </c>
      <c r="G1482">
        <v>6.67</v>
      </c>
      <c r="H1482">
        <v>0</v>
      </c>
      <c r="I1482">
        <v>0</v>
      </c>
      <c r="J1482" s="1">
        <v>45928.084560740739</v>
      </c>
      <c r="K1482" t="s">
        <v>889</v>
      </c>
      <c r="L1482">
        <f t="shared" si="23"/>
        <v>1481</v>
      </c>
      <c r="M1482">
        <f>COUNTIF($A$2:A1482,A1482)</f>
        <v>4</v>
      </c>
    </row>
    <row r="1483" spans="1:13" x14ac:dyDescent="0.3">
      <c r="A1483">
        <v>22222</v>
      </c>
      <c r="B1483" t="s">
        <v>887</v>
      </c>
      <c r="C1483" t="s">
        <v>100</v>
      </c>
      <c r="D1483" t="s">
        <v>101</v>
      </c>
      <c r="E1483">
        <v>23</v>
      </c>
      <c r="F1483">
        <v>53.33</v>
      </c>
      <c r="G1483">
        <v>43.33</v>
      </c>
      <c r="H1483">
        <v>3.33</v>
      </c>
      <c r="I1483">
        <v>0.01</v>
      </c>
      <c r="J1483" s="1">
        <v>45928.084579861112</v>
      </c>
      <c r="K1483" t="s">
        <v>889</v>
      </c>
      <c r="L1483">
        <f t="shared" si="23"/>
        <v>1482</v>
      </c>
      <c r="M1483">
        <f>COUNTIF($A$2:A1483,A1483)</f>
        <v>5</v>
      </c>
    </row>
    <row r="1484" spans="1:13" x14ac:dyDescent="0.3">
      <c r="A1484">
        <v>22222</v>
      </c>
      <c r="B1484" t="s">
        <v>887</v>
      </c>
      <c r="C1484" t="s">
        <v>555</v>
      </c>
      <c r="D1484" t="s">
        <v>556</v>
      </c>
      <c r="E1484">
        <v>22</v>
      </c>
      <c r="F1484">
        <v>60</v>
      </c>
      <c r="G1484">
        <v>36.67</v>
      </c>
      <c r="H1484">
        <v>3.33</v>
      </c>
      <c r="I1484">
        <v>0</v>
      </c>
      <c r="J1484" s="1">
        <v>45928.084619953705</v>
      </c>
      <c r="K1484" t="s">
        <v>889</v>
      </c>
      <c r="L1484">
        <f t="shared" si="23"/>
        <v>1483</v>
      </c>
      <c r="M1484">
        <f>COUNTIF($A$2:A1484,A1484)</f>
        <v>6</v>
      </c>
    </row>
    <row r="1485" spans="1:13" x14ac:dyDescent="0.3">
      <c r="A1485">
        <v>22222</v>
      </c>
      <c r="B1485" t="s">
        <v>887</v>
      </c>
      <c r="C1485" t="s">
        <v>553</v>
      </c>
      <c r="D1485" t="s">
        <v>554</v>
      </c>
      <c r="E1485">
        <v>25</v>
      </c>
      <c r="F1485">
        <v>40</v>
      </c>
      <c r="G1485">
        <v>56.67</v>
      </c>
      <c r="H1485">
        <v>3.33</v>
      </c>
      <c r="I1485">
        <v>0</v>
      </c>
      <c r="J1485" s="1">
        <v>45928.084665694441</v>
      </c>
      <c r="K1485" t="s">
        <v>889</v>
      </c>
      <c r="L1485">
        <f t="shared" si="23"/>
        <v>1484</v>
      </c>
      <c r="M1485">
        <f>COUNTIF($A$2:A1485,A1485)</f>
        <v>7</v>
      </c>
    </row>
    <row r="1486" spans="1:13" x14ac:dyDescent="0.3">
      <c r="A1486">
        <v>22222</v>
      </c>
      <c r="B1486" t="s">
        <v>887</v>
      </c>
      <c r="C1486" t="s">
        <v>392</v>
      </c>
      <c r="D1486" t="s">
        <v>393</v>
      </c>
      <c r="E1486">
        <v>23</v>
      </c>
      <c r="F1486">
        <v>53.33</v>
      </c>
      <c r="G1486">
        <v>43.33</v>
      </c>
      <c r="H1486">
        <v>3.33</v>
      </c>
      <c r="I1486">
        <v>0.01</v>
      </c>
      <c r="J1486" s="1">
        <v>45928.084682303241</v>
      </c>
      <c r="K1486" t="s">
        <v>889</v>
      </c>
      <c r="L1486">
        <f t="shared" si="23"/>
        <v>1485</v>
      </c>
      <c r="M1486">
        <f>COUNTIF($A$2:A1486,A1486)</f>
        <v>8</v>
      </c>
    </row>
    <row r="1487" spans="1:13" x14ac:dyDescent="0.3">
      <c r="A1487">
        <v>22222</v>
      </c>
      <c r="B1487" t="s">
        <v>887</v>
      </c>
      <c r="C1487" t="s">
        <v>386</v>
      </c>
      <c r="D1487" t="s">
        <v>387</v>
      </c>
      <c r="E1487">
        <v>22</v>
      </c>
      <c r="F1487">
        <v>56.67</v>
      </c>
      <c r="G1487">
        <v>40</v>
      </c>
      <c r="H1487">
        <v>3.33</v>
      </c>
      <c r="I1487">
        <v>0</v>
      </c>
      <c r="J1487" s="1">
        <v>45928.084727210648</v>
      </c>
      <c r="K1487" t="s">
        <v>889</v>
      </c>
      <c r="L1487">
        <f t="shared" si="23"/>
        <v>1486</v>
      </c>
      <c r="M1487">
        <f>COUNTIF($A$2:A1487,A1487)</f>
        <v>9</v>
      </c>
    </row>
    <row r="1488" spans="1:13" x14ac:dyDescent="0.3">
      <c r="A1488">
        <v>22222</v>
      </c>
      <c r="B1488" t="s">
        <v>887</v>
      </c>
      <c r="C1488" t="s">
        <v>379</v>
      </c>
      <c r="D1488" t="s">
        <v>380</v>
      </c>
      <c r="F1488">
        <v>83.33</v>
      </c>
      <c r="G1488">
        <v>10</v>
      </c>
      <c r="H1488">
        <v>6.67</v>
      </c>
      <c r="I1488">
        <v>0</v>
      </c>
      <c r="J1488" s="1">
        <v>45928.084754699077</v>
      </c>
      <c r="K1488" t="s">
        <v>889</v>
      </c>
      <c r="L1488">
        <f t="shared" si="23"/>
        <v>1487</v>
      </c>
      <c r="M1488">
        <f>COUNTIF($A$2:A1488,A1488)</f>
        <v>10</v>
      </c>
    </row>
    <row r="1489" spans="1:13" x14ac:dyDescent="0.3">
      <c r="A1489">
        <v>22225</v>
      </c>
      <c r="B1489" t="s">
        <v>890</v>
      </c>
      <c r="C1489" t="s">
        <v>379</v>
      </c>
      <c r="D1489" t="s">
        <v>380</v>
      </c>
      <c r="E1489">
        <v>2</v>
      </c>
      <c r="F1489">
        <v>100</v>
      </c>
      <c r="G1489">
        <v>0</v>
      </c>
      <c r="H1489">
        <v>0</v>
      </c>
      <c r="I1489">
        <v>0</v>
      </c>
      <c r="J1489" s="1">
        <v>45928.084805613427</v>
      </c>
      <c r="K1489" t="s">
        <v>891</v>
      </c>
      <c r="L1489">
        <f t="shared" si="23"/>
        <v>1488</v>
      </c>
      <c r="M1489">
        <f>COUNTIF($A$2:A1489,A1489)</f>
        <v>1</v>
      </c>
    </row>
    <row r="1490" spans="1:13" x14ac:dyDescent="0.3">
      <c r="A1490">
        <v>22225</v>
      </c>
      <c r="B1490" t="s">
        <v>890</v>
      </c>
      <c r="C1490" t="s">
        <v>382</v>
      </c>
      <c r="D1490" t="s">
        <v>383</v>
      </c>
      <c r="E1490">
        <v>5</v>
      </c>
      <c r="F1490">
        <v>100</v>
      </c>
      <c r="G1490">
        <v>0</v>
      </c>
      <c r="H1490">
        <v>0</v>
      </c>
      <c r="I1490">
        <v>0</v>
      </c>
      <c r="J1490" s="1">
        <v>45928.084824074074</v>
      </c>
      <c r="K1490" t="s">
        <v>891</v>
      </c>
      <c r="L1490">
        <f t="shared" si="23"/>
        <v>1489</v>
      </c>
      <c r="M1490">
        <f>COUNTIF($A$2:A1490,A1490)</f>
        <v>2</v>
      </c>
    </row>
    <row r="1491" spans="1:13" x14ac:dyDescent="0.3">
      <c r="A1491">
        <v>22225</v>
      </c>
      <c r="B1491" t="s">
        <v>890</v>
      </c>
      <c r="C1491" t="s">
        <v>384</v>
      </c>
      <c r="D1491" t="s">
        <v>385</v>
      </c>
      <c r="E1491">
        <v>6</v>
      </c>
      <c r="F1491">
        <v>100</v>
      </c>
      <c r="G1491">
        <v>0</v>
      </c>
      <c r="H1491">
        <v>0</v>
      </c>
      <c r="I1491">
        <v>0</v>
      </c>
      <c r="J1491" s="1">
        <v>45928.084841145836</v>
      </c>
      <c r="K1491" t="s">
        <v>891</v>
      </c>
      <c r="L1491">
        <f t="shared" si="23"/>
        <v>1490</v>
      </c>
      <c r="M1491">
        <f>COUNTIF($A$2:A1491,A1491)</f>
        <v>3</v>
      </c>
    </row>
    <row r="1492" spans="1:13" x14ac:dyDescent="0.3">
      <c r="A1492">
        <v>22225</v>
      </c>
      <c r="B1492" t="s">
        <v>890</v>
      </c>
      <c r="C1492" t="s">
        <v>386</v>
      </c>
      <c r="D1492" t="s">
        <v>387</v>
      </c>
      <c r="E1492">
        <v>12</v>
      </c>
      <c r="F1492">
        <v>80.77</v>
      </c>
      <c r="G1492">
        <v>19.23</v>
      </c>
      <c r="H1492">
        <v>0</v>
      </c>
      <c r="I1492">
        <v>0</v>
      </c>
      <c r="J1492" s="1">
        <v>45928.084881608796</v>
      </c>
      <c r="K1492" t="s">
        <v>891</v>
      </c>
      <c r="L1492">
        <f t="shared" si="23"/>
        <v>1491</v>
      </c>
      <c r="M1492">
        <f>COUNTIF($A$2:A1492,A1492)</f>
        <v>4</v>
      </c>
    </row>
    <row r="1493" spans="1:13" x14ac:dyDescent="0.3">
      <c r="A1493">
        <v>22225</v>
      </c>
      <c r="B1493" t="s">
        <v>890</v>
      </c>
      <c r="C1493" t="s">
        <v>470</v>
      </c>
      <c r="D1493" t="s">
        <v>471</v>
      </c>
      <c r="E1493">
        <v>16</v>
      </c>
      <c r="F1493">
        <v>61.54</v>
      </c>
      <c r="G1493">
        <v>34.619999999999997</v>
      </c>
      <c r="H1493">
        <v>3.85</v>
      </c>
      <c r="I1493">
        <v>0</v>
      </c>
      <c r="J1493" s="1">
        <v>45928.084924340277</v>
      </c>
      <c r="K1493" t="s">
        <v>891</v>
      </c>
      <c r="L1493">
        <f t="shared" si="23"/>
        <v>1492</v>
      </c>
      <c r="M1493">
        <f>COUNTIF($A$2:A1493,A1493)</f>
        <v>5</v>
      </c>
    </row>
    <row r="1494" spans="1:13" x14ac:dyDescent="0.3">
      <c r="A1494">
        <v>22225</v>
      </c>
      <c r="B1494" t="s">
        <v>890</v>
      </c>
      <c r="C1494" t="s">
        <v>655</v>
      </c>
      <c r="D1494" t="s">
        <v>656</v>
      </c>
      <c r="E1494">
        <v>16</v>
      </c>
      <c r="F1494">
        <v>61.54</v>
      </c>
      <c r="G1494">
        <v>34.619999999999997</v>
      </c>
      <c r="H1494">
        <v>3.85</v>
      </c>
      <c r="I1494">
        <v>0</v>
      </c>
      <c r="J1494" s="1">
        <v>45928.084966192131</v>
      </c>
      <c r="K1494" t="s">
        <v>891</v>
      </c>
      <c r="L1494">
        <f t="shared" si="23"/>
        <v>1493</v>
      </c>
      <c r="M1494">
        <f>COUNTIF($A$2:A1494,A1494)</f>
        <v>6</v>
      </c>
    </row>
    <row r="1495" spans="1:13" x14ac:dyDescent="0.3">
      <c r="A1495">
        <v>22225</v>
      </c>
      <c r="B1495" t="s">
        <v>890</v>
      </c>
      <c r="C1495" t="s">
        <v>472</v>
      </c>
      <c r="D1495" t="s">
        <v>473</v>
      </c>
      <c r="E1495">
        <v>3</v>
      </c>
      <c r="F1495">
        <v>96.15</v>
      </c>
      <c r="G1495">
        <v>3.85</v>
      </c>
      <c r="H1495">
        <v>0</v>
      </c>
      <c r="I1495">
        <v>0</v>
      </c>
      <c r="J1495" s="1">
        <v>45928.085010023147</v>
      </c>
      <c r="K1495" t="s">
        <v>891</v>
      </c>
      <c r="L1495">
        <f t="shared" si="23"/>
        <v>1494</v>
      </c>
      <c r="M1495">
        <f>COUNTIF($A$2:A1495,A1495)</f>
        <v>7</v>
      </c>
    </row>
    <row r="1496" spans="1:13" x14ac:dyDescent="0.3">
      <c r="A1496">
        <v>22226</v>
      </c>
      <c r="B1496" t="s">
        <v>890</v>
      </c>
      <c r="C1496" t="s">
        <v>472</v>
      </c>
      <c r="D1496" t="s">
        <v>473</v>
      </c>
      <c r="E1496">
        <v>1</v>
      </c>
      <c r="F1496">
        <v>100</v>
      </c>
      <c r="G1496">
        <v>0</v>
      </c>
      <c r="H1496">
        <v>0</v>
      </c>
      <c r="I1496">
        <v>0</v>
      </c>
      <c r="J1496" s="1">
        <v>45928.085072939815</v>
      </c>
      <c r="K1496" t="s">
        <v>892</v>
      </c>
      <c r="L1496">
        <f t="shared" si="23"/>
        <v>1495</v>
      </c>
      <c r="M1496">
        <f>COUNTIF($A$2:A1496,A1496)</f>
        <v>1</v>
      </c>
    </row>
    <row r="1497" spans="1:13" x14ac:dyDescent="0.3">
      <c r="A1497">
        <v>22226</v>
      </c>
      <c r="B1497" t="s">
        <v>890</v>
      </c>
      <c r="C1497" t="s">
        <v>655</v>
      </c>
      <c r="D1497" t="s">
        <v>656</v>
      </c>
      <c r="E1497">
        <v>6</v>
      </c>
      <c r="F1497">
        <v>100</v>
      </c>
      <c r="G1497">
        <v>0</v>
      </c>
      <c r="H1497">
        <v>0</v>
      </c>
      <c r="I1497">
        <v>0</v>
      </c>
      <c r="J1497" s="1">
        <v>45928.085095358794</v>
      </c>
      <c r="K1497" t="s">
        <v>892</v>
      </c>
      <c r="L1497">
        <f t="shared" si="23"/>
        <v>1496</v>
      </c>
      <c r="M1497">
        <f>COUNTIF($A$2:A1497,A1497)</f>
        <v>2</v>
      </c>
    </row>
    <row r="1498" spans="1:13" x14ac:dyDescent="0.3">
      <c r="A1498">
        <v>22226</v>
      </c>
      <c r="B1498" t="s">
        <v>890</v>
      </c>
      <c r="C1498" t="s">
        <v>470</v>
      </c>
      <c r="D1498" t="s">
        <v>471</v>
      </c>
      <c r="E1498">
        <v>5</v>
      </c>
      <c r="F1498">
        <v>100</v>
      </c>
      <c r="G1498">
        <v>0</v>
      </c>
      <c r="H1498">
        <v>0</v>
      </c>
      <c r="I1498">
        <v>0</v>
      </c>
      <c r="J1498" s="1">
        <v>45928.085115231479</v>
      </c>
      <c r="K1498" t="s">
        <v>892</v>
      </c>
      <c r="L1498">
        <f t="shared" si="23"/>
        <v>1497</v>
      </c>
      <c r="M1498">
        <f>COUNTIF($A$2:A1498,A1498)</f>
        <v>3</v>
      </c>
    </row>
    <row r="1499" spans="1:13" x14ac:dyDescent="0.3">
      <c r="A1499">
        <v>22226</v>
      </c>
      <c r="B1499" t="s">
        <v>890</v>
      </c>
      <c r="C1499" t="s">
        <v>386</v>
      </c>
      <c r="D1499" t="s">
        <v>387</v>
      </c>
      <c r="F1499">
        <v>46.15</v>
      </c>
      <c r="G1499">
        <v>50</v>
      </c>
      <c r="H1499">
        <v>3.85</v>
      </c>
      <c r="I1499">
        <v>0</v>
      </c>
      <c r="J1499" s="1">
        <v>45928.085139988427</v>
      </c>
      <c r="K1499" t="s">
        <v>892</v>
      </c>
      <c r="L1499">
        <f t="shared" si="23"/>
        <v>1498</v>
      </c>
      <c r="M1499">
        <f>COUNTIF($A$2:A1499,A1499)</f>
        <v>4</v>
      </c>
    </row>
    <row r="1500" spans="1:13" x14ac:dyDescent="0.3">
      <c r="A1500">
        <v>22226</v>
      </c>
      <c r="B1500" t="s">
        <v>890</v>
      </c>
      <c r="C1500" t="s">
        <v>384</v>
      </c>
      <c r="D1500" t="s">
        <v>385</v>
      </c>
      <c r="E1500">
        <v>18</v>
      </c>
      <c r="F1500">
        <v>42.31</v>
      </c>
      <c r="G1500">
        <v>53.85</v>
      </c>
      <c r="H1500">
        <v>3.85</v>
      </c>
      <c r="I1500">
        <v>0</v>
      </c>
      <c r="J1500" s="1">
        <v>45928.085186655095</v>
      </c>
      <c r="K1500" t="s">
        <v>892</v>
      </c>
      <c r="L1500">
        <f t="shared" si="23"/>
        <v>1499</v>
      </c>
      <c r="M1500">
        <f>COUNTIF($A$2:A1500,A1500)</f>
        <v>5</v>
      </c>
    </row>
    <row r="1501" spans="1:13" x14ac:dyDescent="0.3">
      <c r="A1501">
        <v>22226</v>
      </c>
      <c r="B1501" t="s">
        <v>890</v>
      </c>
      <c r="C1501" t="s">
        <v>382</v>
      </c>
      <c r="D1501" t="s">
        <v>383</v>
      </c>
      <c r="E1501">
        <v>19</v>
      </c>
      <c r="F1501">
        <v>38.46</v>
      </c>
      <c r="G1501">
        <v>57.69</v>
      </c>
      <c r="H1501">
        <v>3.85</v>
      </c>
      <c r="I1501">
        <v>0</v>
      </c>
      <c r="J1501" s="1">
        <v>45928.085233865742</v>
      </c>
      <c r="K1501" t="s">
        <v>892</v>
      </c>
      <c r="L1501">
        <f t="shared" si="23"/>
        <v>1500</v>
      </c>
      <c r="M1501">
        <f>COUNTIF($A$2:A1501,A1501)</f>
        <v>6</v>
      </c>
    </row>
    <row r="1502" spans="1:13" x14ac:dyDescent="0.3">
      <c r="A1502">
        <v>22226</v>
      </c>
      <c r="B1502" t="s">
        <v>890</v>
      </c>
      <c r="C1502" t="s">
        <v>379</v>
      </c>
      <c r="D1502" t="s">
        <v>380</v>
      </c>
      <c r="E1502">
        <v>13</v>
      </c>
      <c r="F1502">
        <v>88.46</v>
      </c>
      <c r="G1502">
        <v>7.69</v>
      </c>
      <c r="H1502">
        <v>3.85</v>
      </c>
      <c r="I1502">
        <v>0</v>
      </c>
      <c r="J1502" s="1">
        <v>45928.085273888886</v>
      </c>
      <c r="K1502" t="s">
        <v>892</v>
      </c>
      <c r="L1502">
        <f t="shared" si="23"/>
        <v>1501</v>
      </c>
      <c r="M1502">
        <f>COUNTIF($A$2:A1502,A1502)</f>
        <v>7</v>
      </c>
    </row>
    <row r="1503" spans="1:13" x14ac:dyDescent="0.3">
      <c r="A1503">
        <v>11013</v>
      </c>
      <c r="B1503" t="s">
        <v>893</v>
      </c>
      <c r="C1503" t="s">
        <v>465</v>
      </c>
      <c r="D1503" t="s">
        <v>466</v>
      </c>
      <c r="F1503">
        <v>80</v>
      </c>
      <c r="G1503">
        <v>6.67</v>
      </c>
      <c r="H1503">
        <v>13.33</v>
      </c>
      <c r="I1503">
        <v>0</v>
      </c>
      <c r="J1503" s="1">
        <v>45928.085338819445</v>
      </c>
      <c r="K1503" t="s">
        <v>894</v>
      </c>
      <c r="L1503">
        <f t="shared" si="23"/>
        <v>1502</v>
      </c>
      <c r="M1503">
        <f>COUNTIF($A$2:A1503,A1503)</f>
        <v>1</v>
      </c>
    </row>
    <row r="1504" spans="1:13" x14ac:dyDescent="0.3">
      <c r="A1504">
        <v>11013</v>
      </c>
      <c r="B1504" t="s">
        <v>893</v>
      </c>
      <c r="C1504" t="s">
        <v>384</v>
      </c>
      <c r="D1504" t="s">
        <v>385</v>
      </c>
      <c r="E1504">
        <v>26</v>
      </c>
      <c r="F1504">
        <v>76.67</v>
      </c>
      <c r="G1504">
        <v>10</v>
      </c>
      <c r="H1504">
        <v>13.33</v>
      </c>
      <c r="I1504">
        <v>0</v>
      </c>
      <c r="J1504" s="1">
        <v>45928.085384386577</v>
      </c>
      <c r="K1504" t="s">
        <v>894</v>
      </c>
      <c r="L1504">
        <f t="shared" si="23"/>
        <v>1503</v>
      </c>
      <c r="M1504">
        <f>COUNTIF($A$2:A1504,A1504)</f>
        <v>2</v>
      </c>
    </row>
    <row r="1505" spans="1:13" x14ac:dyDescent="0.3">
      <c r="A1505">
        <v>11013</v>
      </c>
      <c r="B1505" t="s">
        <v>893</v>
      </c>
      <c r="C1505" t="s">
        <v>386</v>
      </c>
      <c r="D1505" t="s">
        <v>387</v>
      </c>
      <c r="E1505">
        <v>30</v>
      </c>
      <c r="F1505">
        <v>60</v>
      </c>
      <c r="G1505">
        <v>26.67</v>
      </c>
      <c r="H1505">
        <v>13.33</v>
      </c>
      <c r="I1505">
        <v>0</v>
      </c>
      <c r="J1505" s="1">
        <v>45928.085428124999</v>
      </c>
      <c r="K1505" t="s">
        <v>894</v>
      </c>
      <c r="L1505">
        <f t="shared" si="23"/>
        <v>1504</v>
      </c>
      <c r="M1505">
        <f>COUNTIF($A$2:A1505,A1505)</f>
        <v>3</v>
      </c>
    </row>
    <row r="1506" spans="1:13" x14ac:dyDescent="0.3">
      <c r="A1506">
        <v>11013</v>
      </c>
      <c r="B1506" t="s">
        <v>893</v>
      </c>
      <c r="C1506" t="s">
        <v>470</v>
      </c>
      <c r="D1506" t="s">
        <v>471</v>
      </c>
      <c r="F1506">
        <v>0</v>
      </c>
      <c r="G1506">
        <v>80</v>
      </c>
      <c r="H1506">
        <v>20</v>
      </c>
      <c r="I1506">
        <v>0</v>
      </c>
      <c r="J1506" s="1">
        <v>45928.08546065972</v>
      </c>
      <c r="K1506" t="s">
        <v>894</v>
      </c>
      <c r="L1506">
        <f t="shared" si="23"/>
        <v>1505</v>
      </c>
      <c r="M1506">
        <f>COUNTIF($A$2:A1506,A1506)</f>
        <v>4</v>
      </c>
    </row>
    <row r="1507" spans="1:13" x14ac:dyDescent="0.3">
      <c r="A1507">
        <v>11013</v>
      </c>
      <c r="B1507" t="s">
        <v>893</v>
      </c>
      <c r="C1507" t="s">
        <v>655</v>
      </c>
      <c r="D1507" t="s">
        <v>656</v>
      </c>
      <c r="E1507">
        <v>60</v>
      </c>
      <c r="F1507">
        <v>3.33</v>
      </c>
      <c r="G1507">
        <v>70</v>
      </c>
      <c r="H1507">
        <v>26.67</v>
      </c>
      <c r="I1507">
        <v>0</v>
      </c>
      <c r="J1507" s="1">
        <v>45928.085483252318</v>
      </c>
      <c r="K1507" t="s">
        <v>894</v>
      </c>
      <c r="L1507">
        <f t="shared" si="23"/>
        <v>1506</v>
      </c>
      <c r="M1507">
        <f>COUNTIF($A$2:A1507,A1507)</f>
        <v>5</v>
      </c>
    </row>
    <row r="1508" spans="1:13" x14ac:dyDescent="0.3">
      <c r="A1508">
        <v>11013</v>
      </c>
      <c r="B1508" t="s">
        <v>893</v>
      </c>
      <c r="C1508" t="s">
        <v>472</v>
      </c>
      <c r="D1508" t="s">
        <v>473</v>
      </c>
      <c r="E1508">
        <v>51</v>
      </c>
      <c r="F1508">
        <v>20</v>
      </c>
      <c r="G1508">
        <v>63.33</v>
      </c>
      <c r="H1508">
        <v>16.670000000000002</v>
      </c>
      <c r="I1508">
        <v>0</v>
      </c>
      <c r="J1508" s="1">
        <v>45928.085506932868</v>
      </c>
      <c r="K1508" t="s">
        <v>894</v>
      </c>
      <c r="L1508">
        <f t="shared" si="23"/>
        <v>1507</v>
      </c>
      <c r="M1508">
        <f>COUNTIF($A$2:A1508,A1508)</f>
        <v>6</v>
      </c>
    </row>
    <row r="1509" spans="1:13" x14ac:dyDescent="0.3">
      <c r="A1509">
        <v>11013</v>
      </c>
      <c r="B1509" t="s">
        <v>893</v>
      </c>
      <c r="C1509" t="s">
        <v>895</v>
      </c>
      <c r="D1509" t="s">
        <v>896</v>
      </c>
      <c r="E1509">
        <v>63</v>
      </c>
      <c r="F1509">
        <v>10</v>
      </c>
      <c r="G1509">
        <v>60</v>
      </c>
      <c r="H1509">
        <v>30</v>
      </c>
      <c r="I1509">
        <v>0</v>
      </c>
      <c r="J1509" s="1">
        <v>45928.085527881944</v>
      </c>
      <c r="K1509" t="s">
        <v>894</v>
      </c>
      <c r="L1509">
        <f t="shared" si="23"/>
        <v>1508</v>
      </c>
      <c r="M1509">
        <f>COUNTIF($A$2:A1509,A1509)</f>
        <v>7</v>
      </c>
    </row>
    <row r="1510" spans="1:13" x14ac:dyDescent="0.3">
      <c r="A1510">
        <v>11013</v>
      </c>
      <c r="B1510" t="s">
        <v>893</v>
      </c>
      <c r="C1510" t="s">
        <v>897</v>
      </c>
      <c r="D1510" t="s">
        <v>898</v>
      </c>
      <c r="E1510">
        <v>67</v>
      </c>
      <c r="F1510">
        <v>6.67</v>
      </c>
      <c r="G1510">
        <v>56.67</v>
      </c>
      <c r="H1510">
        <v>36.67</v>
      </c>
      <c r="I1510">
        <v>0</v>
      </c>
      <c r="J1510" s="1">
        <v>45928.085573009259</v>
      </c>
      <c r="K1510" t="s">
        <v>894</v>
      </c>
      <c r="L1510">
        <f t="shared" si="23"/>
        <v>1509</v>
      </c>
      <c r="M1510">
        <f>COUNTIF($A$2:A1510,A1510)</f>
        <v>8</v>
      </c>
    </row>
    <row r="1511" spans="1:13" x14ac:dyDescent="0.3">
      <c r="A1511">
        <v>11013</v>
      </c>
      <c r="B1511" t="s">
        <v>893</v>
      </c>
      <c r="C1511" t="s">
        <v>474</v>
      </c>
      <c r="D1511" t="s">
        <v>475</v>
      </c>
      <c r="E1511">
        <v>66</v>
      </c>
      <c r="F1511">
        <v>6.67</v>
      </c>
      <c r="G1511">
        <v>56.67</v>
      </c>
      <c r="H1511">
        <v>36.67</v>
      </c>
      <c r="I1511">
        <v>0</v>
      </c>
      <c r="J1511" s="1">
        <v>45928.085616585646</v>
      </c>
      <c r="K1511" t="s">
        <v>894</v>
      </c>
      <c r="L1511">
        <f t="shared" si="23"/>
        <v>1510</v>
      </c>
      <c r="M1511">
        <f>COUNTIF($A$2:A1511,A1511)</f>
        <v>9</v>
      </c>
    </row>
    <row r="1512" spans="1:13" x14ac:dyDescent="0.3">
      <c r="A1512">
        <v>11013</v>
      </c>
      <c r="B1512" t="s">
        <v>893</v>
      </c>
      <c r="C1512" t="s">
        <v>657</v>
      </c>
      <c r="D1512" t="s">
        <v>658</v>
      </c>
      <c r="E1512">
        <v>54</v>
      </c>
      <c r="F1512">
        <v>13.33</v>
      </c>
      <c r="G1512">
        <v>70</v>
      </c>
      <c r="H1512">
        <v>16.670000000000002</v>
      </c>
      <c r="I1512">
        <v>0</v>
      </c>
      <c r="J1512" s="1">
        <v>45928.085636678239</v>
      </c>
      <c r="K1512" t="s">
        <v>894</v>
      </c>
      <c r="L1512">
        <f t="shared" si="23"/>
        <v>1511</v>
      </c>
      <c r="M1512">
        <f>COUNTIF($A$2:A1512,A1512)</f>
        <v>10</v>
      </c>
    </row>
    <row r="1513" spans="1:13" x14ac:dyDescent="0.3">
      <c r="A1513">
        <v>11013</v>
      </c>
      <c r="B1513" t="s">
        <v>893</v>
      </c>
      <c r="C1513" t="s">
        <v>476</v>
      </c>
      <c r="D1513" t="s">
        <v>476</v>
      </c>
      <c r="E1513">
        <v>26</v>
      </c>
      <c r="F1513">
        <v>70</v>
      </c>
      <c r="G1513">
        <v>16.670000000000002</v>
      </c>
      <c r="H1513">
        <v>13.33</v>
      </c>
      <c r="I1513">
        <v>0</v>
      </c>
      <c r="J1513" s="1">
        <v>45928.085680868055</v>
      </c>
      <c r="K1513" t="s">
        <v>894</v>
      </c>
      <c r="L1513">
        <f t="shared" si="23"/>
        <v>1512</v>
      </c>
      <c r="M1513">
        <f>COUNTIF($A$2:A1513,A1513)</f>
        <v>11</v>
      </c>
    </row>
    <row r="1514" spans="1:13" x14ac:dyDescent="0.3">
      <c r="A1514">
        <v>11013</v>
      </c>
      <c r="B1514" t="s">
        <v>893</v>
      </c>
      <c r="C1514" t="s">
        <v>477</v>
      </c>
      <c r="D1514" t="s">
        <v>478</v>
      </c>
      <c r="E1514">
        <v>31</v>
      </c>
      <c r="F1514">
        <v>60</v>
      </c>
      <c r="G1514">
        <v>26.67</v>
      </c>
      <c r="H1514">
        <v>13.33</v>
      </c>
      <c r="I1514">
        <v>0</v>
      </c>
      <c r="J1514" s="1">
        <v>45928.085723472221</v>
      </c>
      <c r="K1514" t="s">
        <v>894</v>
      </c>
      <c r="L1514">
        <f t="shared" si="23"/>
        <v>1513</v>
      </c>
      <c r="M1514">
        <f>COUNTIF($A$2:A1514,A1514)</f>
        <v>12</v>
      </c>
    </row>
    <row r="1515" spans="1:13" x14ac:dyDescent="0.3">
      <c r="A1515">
        <v>11013</v>
      </c>
      <c r="B1515" t="s">
        <v>893</v>
      </c>
      <c r="C1515" t="s">
        <v>899</v>
      </c>
      <c r="D1515" t="s">
        <v>900</v>
      </c>
      <c r="E1515">
        <v>29</v>
      </c>
      <c r="F1515">
        <v>63.33</v>
      </c>
      <c r="G1515">
        <v>23.33</v>
      </c>
      <c r="H1515">
        <v>13.33</v>
      </c>
      <c r="I1515">
        <v>0.01</v>
      </c>
      <c r="J1515" s="1">
        <v>45928.085742118055</v>
      </c>
      <c r="K1515" t="s">
        <v>894</v>
      </c>
      <c r="L1515">
        <f t="shared" si="23"/>
        <v>1514</v>
      </c>
      <c r="M1515">
        <f>COUNTIF($A$2:A1515,A1515)</f>
        <v>13</v>
      </c>
    </row>
    <row r="1516" spans="1:13" x14ac:dyDescent="0.3">
      <c r="A1516">
        <v>11013</v>
      </c>
      <c r="B1516" t="s">
        <v>893</v>
      </c>
      <c r="C1516" t="s">
        <v>481</v>
      </c>
      <c r="D1516" t="s">
        <v>482</v>
      </c>
      <c r="E1516">
        <v>28</v>
      </c>
      <c r="F1516">
        <v>63.33</v>
      </c>
      <c r="G1516">
        <v>23.33</v>
      </c>
      <c r="H1516">
        <v>13.33</v>
      </c>
      <c r="I1516">
        <v>0.01</v>
      </c>
      <c r="J1516" s="1">
        <v>45928.085759780093</v>
      </c>
      <c r="K1516" t="s">
        <v>894</v>
      </c>
      <c r="L1516">
        <f t="shared" si="23"/>
        <v>1515</v>
      </c>
      <c r="M1516">
        <f>COUNTIF($A$2:A1516,A1516)</f>
        <v>14</v>
      </c>
    </row>
    <row r="1517" spans="1:13" x14ac:dyDescent="0.3">
      <c r="A1517">
        <v>11013</v>
      </c>
      <c r="B1517" t="s">
        <v>893</v>
      </c>
      <c r="C1517" t="s">
        <v>483</v>
      </c>
      <c r="D1517" t="s">
        <v>484</v>
      </c>
      <c r="E1517">
        <v>31</v>
      </c>
      <c r="F1517">
        <v>60</v>
      </c>
      <c r="G1517">
        <v>26.67</v>
      </c>
      <c r="H1517">
        <v>13.33</v>
      </c>
      <c r="I1517">
        <v>0</v>
      </c>
      <c r="J1517" s="1">
        <v>45928.08580291667</v>
      </c>
      <c r="K1517" t="s">
        <v>894</v>
      </c>
      <c r="L1517">
        <f t="shared" si="23"/>
        <v>1516</v>
      </c>
      <c r="M1517">
        <f>COUNTIF($A$2:A1517,A1517)</f>
        <v>15</v>
      </c>
    </row>
    <row r="1518" spans="1:13" x14ac:dyDescent="0.3">
      <c r="A1518">
        <v>11013</v>
      </c>
      <c r="B1518" t="s">
        <v>893</v>
      </c>
      <c r="C1518" t="s">
        <v>485</v>
      </c>
      <c r="D1518" t="s">
        <v>486</v>
      </c>
      <c r="E1518">
        <v>36</v>
      </c>
      <c r="F1518">
        <v>43.33</v>
      </c>
      <c r="G1518">
        <v>43.33</v>
      </c>
      <c r="H1518">
        <v>13.33</v>
      </c>
      <c r="I1518">
        <v>0.01</v>
      </c>
      <c r="J1518" s="1">
        <v>45928.085819803244</v>
      </c>
      <c r="K1518" t="s">
        <v>894</v>
      </c>
      <c r="L1518">
        <f t="shared" si="23"/>
        <v>1517</v>
      </c>
      <c r="M1518">
        <f>COUNTIF($A$2:A1518,A1518)</f>
        <v>16</v>
      </c>
    </row>
    <row r="1519" spans="1:13" x14ac:dyDescent="0.3">
      <c r="A1519">
        <v>11013</v>
      </c>
      <c r="B1519" t="s">
        <v>893</v>
      </c>
      <c r="C1519" t="s">
        <v>487</v>
      </c>
      <c r="D1519" t="s">
        <v>488</v>
      </c>
      <c r="E1519">
        <v>29</v>
      </c>
      <c r="F1519">
        <v>56.67</v>
      </c>
      <c r="G1519">
        <v>33.33</v>
      </c>
      <c r="H1519">
        <v>10</v>
      </c>
      <c r="I1519">
        <v>0</v>
      </c>
      <c r="J1519" s="1">
        <v>45928.085835729165</v>
      </c>
      <c r="K1519" t="s">
        <v>894</v>
      </c>
      <c r="L1519">
        <f t="shared" si="23"/>
        <v>1518</v>
      </c>
      <c r="M1519">
        <f>COUNTIF($A$2:A1519,A1519)</f>
        <v>17</v>
      </c>
    </row>
    <row r="1520" spans="1:13" x14ac:dyDescent="0.3">
      <c r="A1520">
        <v>11013</v>
      </c>
      <c r="B1520" t="s">
        <v>893</v>
      </c>
      <c r="C1520" t="s">
        <v>659</v>
      </c>
      <c r="D1520" t="s">
        <v>660</v>
      </c>
      <c r="E1520">
        <v>28</v>
      </c>
      <c r="F1520">
        <v>56.67</v>
      </c>
      <c r="G1520">
        <v>33.33</v>
      </c>
      <c r="H1520">
        <v>10</v>
      </c>
      <c r="I1520">
        <v>0</v>
      </c>
      <c r="J1520" s="1">
        <v>45928.085857430553</v>
      </c>
      <c r="K1520" t="s">
        <v>894</v>
      </c>
      <c r="L1520">
        <f t="shared" si="23"/>
        <v>1519</v>
      </c>
      <c r="M1520">
        <f>COUNTIF($A$2:A1520,A1520)</f>
        <v>18</v>
      </c>
    </row>
    <row r="1521" spans="1:13" x14ac:dyDescent="0.3">
      <c r="A1521">
        <v>11013</v>
      </c>
      <c r="B1521" t="s">
        <v>893</v>
      </c>
      <c r="C1521" t="s">
        <v>661</v>
      </c>
      <c r="D1521" t="s">
        <v>662</v>
      </c>
      <c r="E1521">
        <v>18</v>
      </c>
      <c r="F1521">
        <v>83.33</v>
      </c>
      <c r="G1521">
        <v>6.67</v>
      </c>
      <c r="H1521">
        <v>10</v>
      </c>
      <c r="I1521">
        <v>0</v>
      </c>
      <c r="J1521" s="1">
        <v>45928.085900520833</v>
      </c>
      <c r="K1521" t="s">
        <v>894</v>
      </c>
      <c r="L1521">
        <f t="shared" si="23"/>
        <v>1520</v>
      </c>
      <c r="M1521">
        <f>COUNTIF($A$2:A1521,A1521)</f>
        <v>19</v>
      </c>
    </row>
    <row r="1522" spans="1:13" x14ac:dyDescent="0.3">
      <c r="A1522">
        <v>11013</v>
      </c>
      <c r="B1522" t="s">
        <v>893</v>
      </c>
      <c r="C1522" t="s">
        <v>735</v>
      </c>
      <c r="D1522" t="s">
        <v>736</v>
      </c>
      <c r="F1522">
        <v>46.67</v>
      </c>
      <c r="G1522">
        <v>43.33</v>
      </c>
      <c r="H1522">
        <v>10</v>
      </c>
      <c r="I1522">
        <v>0</v>
      </c>
      <c r="J1522" s="1">
        <v>45928.08592769676</v>
      </c>
      <c r="K1522" t="s">
        <v>894</v>
      </c>
      <c r="L1522">
        <f t="shared" si="23"/>
        <v>1521</v>
      </c>
      <c r="M1522">
        <f>COUNTIF($A$2:A1522,A1522)</f>
        <v>20</v>
      </c>
    </row>
    <row r="1523" spans="1:13" x14ac:dyDescent="0.3">
      <c r="A1523">
        <v>11013</v>
      </c>
      <c r="B1523" t="s">
        <v>893</v>
      </c>
      <c r="C1523" t="s">
        <v>733</v>
      </c>
      <c r="D1523" t="s">
        <v>734</v>
      </c>
      <c r="F1523">
        <v>36.67</v>
      </c>
      <c r="G1523">
        <v>50</v>
      </c>
      <c r="H1523">
        <v>13.33</v>
      </c>
      <c r="I1523">
        <v>0</v>
      </c>
      <c r="J1523" s="1">
        <v>45928.08595364583</v>
      </c>
      <c r="K1523" t="s">
        <v>894</v>
      </c>
      <c r="L1523">
        <f t="shared" si="23"/>
        <v>1522</v>
      </c>
      <c r="M1523">
        <f>COUNTIF($A$2:A1523,A1523)</f>
        <v>21</v>
      </c>
    </row>
    <row r="1524" spans="1:13" x14ac:dyDescent="0.3">
      <c r="A1524">
        <v>11013</v>
      </c>
      <c r="B1524" t="s">
        <v>893</v>
      </c>
      <c r="C1524" t="s">
        <v>901</v>
      </c>
      <c r="D1524" t="s">
        <v>902</v>
      </c>
      <c r="F1524">
        <v>36.67</v>
      </c>
      <c r="G1524">
        <v>53.33</v>
      </c>
      <c r="H1524">
        <v>10</v>
      </c>
      <c r="I1524">
        <v>0</v>
      </c>
      <c r="J1524" s="1">
        <v>45928.085977048613</v>
      </c>
      <c r="K1524" t="s">
        <v>894</v>
      </c>
      <c r="L1524">
        <f t="shared" si="23"/>
        <v>1523</v>
      </c>
      <c r="M1524">
        <f>COUNTIF($A$2:A1524,A1524)</f>
        <v>22</v>
      </c>
    </row>
    <row r="1525" spans="1:13" x14ac:dyDescent="0.3">
      <c r="A1525">
        <v>11013</v>
      </c>
      <c r="B1525" t="s">
        <v>893</v>
      </c>
      <c r="C1525" t="s">
        <v>903</v>
      </c>
      <c r="D1525" t="s">
        <v>904</v>
      </c>
      <c r="E1525">
        <v>30</v>
      </c>
      <c r="F1525">
        <v>26.67</v>
      </c>
      <c r="G1525">
        <v>63.33</v>
      </c>
      <c r="H1525">
        <v>10</v>
      </c>
      <c r="I1525">
        <v>0</v>
      </c>
      <c r="J1525" s="1">
        <v>45928.085995254631</v>
      </c>
      <c r="K1525" t="s">
        <v>894</v>
      </c>
      <c r="L1525">
        <f t="shared" si="23"/>
        <v>1524</v>
      </c>
      <c r="M1525">
        <f>COUNTIF($A$2:A1525,A1525)</f>
        <v>23</v>
      </c>
    </row>
    <row r="1526" spans="1:13" x14ac:dyDescent="0.3">
      <c r="A1526">
        <v>11013</v>
      </c>
      <c r="B1526" t="s">
        <v>893</v>
      </c>
      <c r="C1526" t="s">
        <v>905</v>
      </c>
      <c r="D1526" t="s">
        <v>906</v>
      </c>
      <c r="E1526">
        <v>14</v>
      </c>
      <c r="F1526">
        <v>83.33</v>
      </c>
      <c r="G1526">
        <v>10</v>
      </c>
      <c r="H1526">
        <v>6.67</v>
      </c>
      <c r="I1526">
        <v>0</v>
      </c>
      <c r="J1526" s="1">
        <v>45928.086037083332</v>
      </c>
      <c r="K1526" t="s">
        <v>894</v>
      </c>
      <c r="L1526">
        <f t="shared" si="23"/>
        <v>1525</v>
      </c>
      <c r="M1526">
        <f>COUNTIF($A$2:A1526,A1526)</f>
        <v>24</v>
      </c>
    </row>
    <row r="1527" spans="1:13" x14ac:dyDescent="0.3">
      <c r="A1527">
        <v>11013</v>
      </c>
      <c r="B1527" t="s">
        <v>893</v>
      </c>
      <c r="C1527" t="s">
        <v>907</v>
      </c>
      <c r="D1527" t="s">
        <v>908</v>
      </c>
      <c r="F1527">
        <v>10</v>
      </c>
      <c r="G1527">
        <v>70</v>
      </c>
      <c r="H1527">
        <v>20</v>
      </c>
      <c r="I1527">
        <v>0</v>
      </c>
      <c r="J1527" s="1">
        <v>45928.086060624999</v>
      </c>
      <c r="K1527" t="s">
        <v>894</v>
      </c>
      <c r="L1527">
        <f t="shared" si="23"/>
        <v>1526</v>
      </c>
      <c r="M1527">
        <f>COUNTIF($A$2:A1527,A1527)</f>
        <v>25</v>
      </c>
    </row>
    <row r="1528" spans="1:13" x14ac:dyDescent="0.3">
      <c r="A1528">
        <v>11013</v>
      </c>
      <c r="B1528" t="s">
        <v>893</v>
      </c>
      <c r="C1528" t="s">
        <v>909</v>
      </c>
      <c r="D1528" t="s">
        <v>910</v>
      </c>
      <c r="E1528">
        <v>61</v>
      </c>
      <c r="F1528">
        <v>3.33</v>
      </c>
      <c r="G1528">
        <v>53.33</v>
      </c>
      <c r="H1528">
        <v>43.33</v>
      </c>
      <c r="I1528">
        <v>0.01</v>
      </c>
      <c r="J1528" s="1">
        <v>45928.086077905093</v>
      </c>
      <c r="K1528" t="s">
        <v>894</v>
      </c>
      <c r="L1528">
        <f t="shared" si="23"/>
        <v>1527</v>
      </c>
      <c r="M1528">
        <f>COUNTIF($A$2:A1528,A1528)</f>
        <v>26</v>
      </c>
    </row>
    <row r="1529" spans="1:13" x14ac:dyDescent="0.3">
      <c r="A1529">
        <v>11013</v>
      </c>
      <c r="B1529" t="s">
        <v>893</v>
      </c>
      <c r="C1529" t="s">
        <v>23</v>
      </c>
      <c r="D1529" t="s">
        <v>24</v>
      </c>
      <c r="F1529">
        <v>43.33</v>
      </c>
      <c r="G1529">
        <v>40</v>
      </c>
      <c r="H1529">
        <v>16.670000000000002</v>
      </c>
      <c r="I1529">
        <v>0</v>
      </c>
      <c r="J1529" s="1">
        <v>45928.086100335648</v>
      </c>
      <c r="K1529" t="s">
        <v>894</v>
      </c>
      <c r="L1529">
        <f t="shared" si="23"/>
        <v>1528</v>
      </c>
      <c r="M1529">
        <f>COUNTIF($A$2:A1529,A1529)</f>
        <v>27</v>
      </c>
    </row>
    <row r="1530" spans="1:13" x14ac:dyDescent="0.3">
      <c r="A1530">
        <v>11013</v>
      </c>
      <c r="B1530" t="s">
        <v>893</v>
      </c>
      <c r="C1530" t="s">
        <v>25</v>
      </c>
      <c r="D1530" t="s">
        <v>26</v>
      </c>
      <c r="E1530">
        <v>26</v>
      </c>
      <c r="F1530">
        <v>40</v>
      </c>
      <c r="G1530">
        <v>43.33</v>
      </c>
      <c r="H1530">
        <v>16.670000000000002</v>
      </c>
      <c r="I1530">
        <v>0</v>
      </c>
      <c r="J1530" s="1">
        <v>45928.086118993058</v>
      </c>
      <c r="K1530" t="s">
        <v>894</v>
      </c>
      <c r="L1530">
        <f t="shared" si="23"/>
        <v>1529</v>
      </c>
      <c r="M1530">
        <f>COUNTIF($A$2:A1530,A1530)</f>
        <v>28</v>
      </c>
    </row>
    <row r="1531" spans="1:13" x14ac:dyDescent="0.3">
      <c r="A1531">
        <v>11013</v>
      </c>
      <c r="B1531" t="s">
        <v>893</v>
      </c>
      <c r="C1531" t="s">
        <v>27</v>
      </c>
      <c r="D1531" t="s">
        <v>28</v>
      </c>
      <c r="E1531">
        <v>31</v>
      </c>
      <c r="F1531">
        <v>23.33</v>
      </c>
      <c r="G1531">
        <v>63.33</v>
      </c>
      <c r="H1531">
        <v>13.33</v>
      </c>
      <c r="I1531">
        <v>0.01</v>
      </c>
      <c r="J1531" s="1">
        <v>45928.086137939812</v>
      </c>
      <c r="K1531" t="s">
        <v>894</v>
      </c>
      <c r="L1531">
        <f t="shared" si="23"/>
        <v>1530</v>
      </c>
      <c r="M1531">
        <f>COUNTIF($A$2:A1531,A1531)</f>
        <v>29</v>
      </c>
    </row>
    <row r="1532" spans="1:13" x14ac:dyDescent="0.3">
      <c r="A1532">
        <v>11013</v>
      </c>
      <c r="B1532" t="s">
        <v>893</v>
      </c>
      <c r="C1532" t="s">
        <v>31</v>
      </c>
      <c r="D1532" t="s">
        <v>32</v>
      </c>
      <c r="F1532">
        <v>86.67</v>
      </c>
      <c r="G1532">
        <v>13.33</v>
      </c>
      <c r="H1532">
        <v>0</v>
      </c>
      <c r="I1532">
        <v>0</v>
      </c>
      <c r="J1532" s="1">
        <v>45928.086180613427</v>
      </c>
      <c r="K1532" t="s">
        <v>894</v>
      </c>
      <c r="L1532">
        <f t="shared" si="23"/>
        <v>1531</v>
      </c>
      <c r="M1532">
        <f>COUNTIF($A$2:A1532,A1532)</f>
        <v>30</v>
      </c>
    </row>
    <row r="1533" spans="1:13" x14ac:dyDescent="0.3">
      <c r="A1533">
        <v>11014</v>
      </c>
      <c r="B1533" t="s">
        <v>893</v>
      </c>
      <c r="C1533" t="s">
        <v>31</v>
      </c>
      <c r="D1533" t="s">
        <v>32</v>
      </c>
      <c r="E1533">
        <v>1</v>
      </c>
      <c r="F1533">
        <v>100</v>
      </c>
      <c r="G1533">
        <v>0</v>
      </c>
      <c r="H1533">
        <v>0</v>
      </c>
      <c r="I1533">
        <v>0</v>
      </c>
      <c r="J1533" s="1">
        <v>45928.086265451391</v>
      </c>
      <c r="K1533" t="s">
        <v>911</v>
      </c>
      <c r="L1533">
        <f t="shared" si="23"/>
        <v>1532</v>
      </c>
      <c r="M1533">
        <f>COUNTIF($A$2:A1533,A1533)</f>
        <v>1</v>
      </c>
    </row>
    <row r="1534" spans="1:13" x14ac:dyDescent="0.3">
      <c r="A1534">
        <v>11014</v>
      </c>
      <c r="B1534" t="s">
        <v>893</v>
      </c>
      <c r="C1534" t="s">
        <v>27</v>
      </c>
      <c r="D1534" t="s">
        <v>28</v>
      </c>
      <c r="F1534">
        <v>83.33</v>
      </c>
      <c r="G1534">
        <v>16.670000000000002</v>
      </c>
      <c r="H1534">
        <v>0</v>
      </c>
      <c r="I1534">
        <v>0</v>
      </c>
      <c r="J1534" s="1">
        <v>45928.086286585647</v>
      </c>
      <c r="K1534" t="s">
        <v>911</v>
      </c>
      <c r="L1534">
        <f t="shared" si="23"/>
        <v>1533</v>
      </c>
      <c r="M1534">
        <f>COUNTIF($A$2:A1534,A1534)</f>
        <v>2</v>
      </c>
    </row>
    <row r="1535" spans="1:13" x14ac:dyDescent="0.3">
      <c r="A1535">
        <v>11014</v>
      </c>
      <c r="B1535" t="s">
        <v>893</v>
      </c>
      <c r="C1535" t="s">
        <v>25</v>
      </c>
      <c r="D1535" t="s">
        <v>26</v>
      </c>
      <c r="E1535">
        <v>9</v>
      </c>
      <c r="F1535">
        <v>93.33</v>
      </c>
      <c r="G1535">
        <v>6.67</v>
      </c>
      <c r="H1535">
        <v>0</v>
      </c>
      <c r="I1535">
        <v>0</v>
      </c>
      <c r="J1535" s="1">
        <v>45928.086331157407</v>
      </c>
      <c r="K1535" t="s">
        <v>911</v>
      </c>
      <c r="L1535">
        <f t="shared" si="23"/>
        <v>1534</v>
      </c>
      <c r="M1535">
        <f>COUNTIF($A$2:A1535,A1535)</f>
        <v>3</v>
      </c>
    </row>
    <row r="1536" spans="1:13" x14ac:dyDescent="0.3">
      <c r="A1536">
        <v>11014</v>
      </c>
      <c r="B1536" t="s">
        <v>893</v>
      </c>
      <c r="C1536" t="s">
        <v>23</v>
      </c>
      <c r="D1536" t="s">
        <v>24</v>
      </c>
      <c r="E1536">
        <v>14</v>
      </c>
      <c r="F1536">
        <v>83.33</v>
      </c>
      <c r="G1536">
        <v>13.33</v>
      </c>
      <c r="H1536">
        <v>3.33</v>
      </c>
      <c r="I1536">
        <v>0.01</v>
      </c>
      <c r="J1536" s="1">
        <v>45928.086350405094</v>
      </c>
      <c r="K1536" t="s">
        <v>911</v>
      </c>
      <c r="L1536">
        <f t="shared" si="23"/>
        <v>1535</v>
      </c>
      <c r="M1536">
        <f>COUNTIF($A$2:A1536,A1536)</f>
        <v>4</v>
      </c>
    </row>
    <row r="1537" spans="1:13" x14ac:dyDescent="0.3">
      <c r="A1537">
        <v>11014</v>
      </c>
      <c r="B1537" t="s">
        <v>893</v>
      </c>
      <c r="C1537" t="s">
        <v>909</v>
      </c>
      <c r="D1537" t="s">
        <v>910</v>
      </c>
      <c r="E1537">
        <v>23</v>
      </c>
      <c r="F1537">
        <v>43.33</v>
      </c>
      <c r="G1537">
        <v>53.33</v>
      </c>
      <c r="H1537">
        <v>3.33</v>
      </c>
      <c r="I1537">
        <v>0.01</v>
      </c>
      <c r="J1537" s="1">
        <v>45928.086367847223</v>
      </c>
      <c r="K1537" t="s">
        <v>911</v>
      </c>
      <c r="L1537">
        <f t="shared" si="23"/>
        <v>1536</v>
      </c>
      <c r="M1537">
        <f>COUNTIF($A$2:A1537,A1537)</f>
        <v>5</v>
      </c>
    </row>
    <row r="1538" spans="1:13" x14ac:dyDescent="0.3">
      <c r="A1538">
        <v>11014</v>
      </c>
      <c r="B1538" t="s">
        <v>893</v>
      </c>
      <c r="C1538" t="s">
        <v>907</v>
      </c>
      <c r="D1538" t="s">
        <v>908</v>
      </c>
      <c r="E1538">
        <v>31</v>
      </c>
      <c r="F1538">
        <v>23.33</v>
      </c>
      <c r="G1538">
        <v>73.33</v>
      </c>
      <c r="H1538">
        <v>3.33</v>
      </c>
      <c r="I1538">
        <v>0.01</v>
      </c>
      <c r="J1538" s="1">
        <v>45928.086390081022</v>
      </c>
      <c r="K1538" t="s">
        <v>911</v>
      </c>
      <c r="L1538">
        <f t="shared" ref="L1538:L1601" si="24">ROW()-1</f>
        <v>1537</v>
      </c>
      <c r="M1538">
        <f>COUNTIF($A$2:A1538,A1538)</f>
        <v>6</v>
      </c>
    </row>
    <row r="1539" spans="1:13" x14ac:dyDescent="0.3">
      <c r="A1539">
        <v>11014</v>
      </c>
      <c r="B1539" t="s">
        <v>893</v>
      </c>
      <c r="C1539" t="s">
        <v>903</v>
      </c>
      <c r="D1539" t="s">
        <v>904</v>
      </c>
      <c r="E1539">
        <v>34</v>
      </c>
      <c r="F1539">
        <v>30</v>
      </c>
      <c r="G1539">
        <v>63.33</v>
      </c>
      <c r="H1539">
        <v>6.67</v>
      </c>
      <c r="I1539">
        <v>0</v>
      </c>
      <c r="J1539" s="1">
        <v>45928.086435069446</v>
      </c>
      <c r="K1539" t="s">
        <v>911</v>
      </c>
      <c r="L1539">
        <f t="shared" si="24"/>
        <v>1538</v>
      </c>
      <c r="M1539">
        <f>COUNTIF($A$2:A1539,A1539)</f>
        <v>7</v>
      </c>
    </row>
    <row r="1540" spans="1:13" x14ac:dyDescent="0.3">
      <c r="A1540">
        <v>11014</v>
      </c>
      <c r="B1540" t="s">
        <v>893</v>
      </c>
      <c r="C1540" t="s">
        <v>905</v>
      </c>
      <c r="D1540" t="s">
        <v>906</v>
      </c>
      <c r="E1540">
        <v>36</v>
      </c>
      <c r="F1540">
        <v>23.33</v>
      </c>
      <c r="G1540">
        <v>63.33</v>
      </c>
      <c r="H1540">
        <v>13.33</v>
      </c>
      <c r="I1540">
        <v>0.01</v>
      </c>
      <c r="J1540" s="1">
        <v>45928.086457118057</v>
      </c>
      <c r="K1540" t="s">
        <v>911</v>
      </c>
      <c r="L1540">
        <f t="shared" si="24"/>
        <v>1539</v>
      </c>
      <c r="M1540">
        <f>COUNTIF($A$2:A1540,A1540)</f>
        <v>8</v>
      </c>
    </row>
    <row r="1541" spans="1:13" x14ac:dyDescent="0.3">
      <c r="A1541">
        <v>11014</v>
      </c>
      <c r="B1541" t="s">
        <v>893</v>
      </c>
      <c r="C1541" t="s">
        <v>901</v>
      </c>
      <c r="D1541" t="s">
        <v>902</v>
      </c>
      <c r="E1541">
        <v>50</v>
      </c>
      <c r="F1541">
        <v>3.33</v>
      </c>
      <c r="G1541">
        <v>76.67</v>
      </c>
      <c r="H1541">
        <v>20</v>
      </c>
      <c r="I1541">
        <v>0</v>
      </c>
      <c r="J1541" s="1">
        <v>45928.086473993055</v>
      </c>
      <c r="K1541" t="s">
        <v>911</v>
      </c>
      <c r="L1541">
        <f t="shared" si="24"/>
        <v>1540</v>
      </c>
      <c r="M1541">
        <f>COUNTIF($A$2:A1541,A1541)</f>
        <v>9</v>
      </c>
    </row>
    <row r="1542" spans="1:13" x14ac:dyDescent="0.3">
      <c r="A1542">
        <v>11014</v>
      </c>
      <c r="B1542" t="s">
        <v>893</v>
      </c>
      <c r="C1542" t="s">
        <v>733</v>
      </c>
      <c r="D1542" t="s">
        <v>734</v>
      </c>
      <c r="E1542">
        <v>40</v>
      </c>
      <c r="F1542">
        <v>16.670000000000002</v>
      </c>
      <c r="G1542">
        <v>70</v>
      </c>
      <c r="H1542">
        <v>13.33</v>
      </c>
      <c r="I1542">
        <v>0</v>
      </c>
      <c r="J1542" s="1">
        <v>45928.086516782409</v>
      </c>
      <c r="K1542" t="s">
        <v>911</v>
      </c>
      <c r="L1542">
        <f t="shared" si="24"/>
        <v>1541</v>
      </c>
      <c r="M1542">
        <f>COUNTIF($A$2:A1542,A1542)</f>
        <v>10</v>
      </c>
    </row>
    <row r="1543" spans="1:13" x14ac:dyDescent="0.3">
      <c r="A1543">
        <v>11014</v>
      </c>
      <c r="B1543" t="s">
        <v>893</v>
      </c>
      <c r="C1543" t="s">
        <v>735</v>
      </c>
      <c r="D1543" t="s">
        <v>736</v>
      </c>
      <c r="E1543">
        <v>24</v>
      </c>
      <c r="F1543">
        <v>60</v>
      </c>
      <c r="G1543">
        <v>33.33</v>
      </c>
      <c r="H1543">
        <v>6.67</v>
      </c>
      <c r="I1543">
        <v>0</v>
      </c>
      <c r="J1543" s="1">
        <v>45928.086567395832</v>
      </c>
      <c r="K1543" t="s">
        <v>911</v>
      </c>
      <c r="L1543">
        <f t="shared" si="24"/>
        <v>1542</v>
      </c>
      <c r="M1543">
        <f>COUNTIF($A$2:A1543,A1543)</f>
        <v>11</v>
      </c>
    </row>
    <row r="1544" spans="1:13" x14ac:dyDescent="0.3">
      <c r="A1544">
        <v>11014</v>
      </c>
      <c r="B1544" t="s">
        <v>893</v>
      </c>
      <c r="C1544" t="s">
        <v>661</v>
      </c>
      <c r="D1544" t="s">
        <v>662</v>
      </c>
      <c r="F1544">
        <v>80</v>
      </c>
      <c r="G1544">
        <v>16.670000000000002</v>
      </c>
      <c r="H1544">
        <v>3.33</v>
      </c>
      <c r="I1544">
        <v>0</v>
      </c>
      <c r="J1544" s="1">
        <v>45928.086598159724</v>
      </c>
      <c r="K1544" t="s">
        <v>911</v>
      </c>
      <c r="L1544">
        <f t="shared" si="24"/>
        <v>1543</v>
      </c>
      <c r="M1544">
        <f>COUNTIF($A$2:A1544,A1544)</f>
        <v>12</v>
      </c>
    </row>
    <row r="1545" spans="1:13" x14ac:dyDescent="0.3">
      <c r="A1545">
        <v>11014</v>
      </c>
      <c r="B1545" t="s">
        <v>893</v>
      </c>
      <c r="C1545" t="s">
        <v>659</v>
      </c>
      <c r="D1545" t="s">
        <v>660</v>
      </c>
      <c r="E1545">
        <v>19</v>
      </c>
      <c r="F1545">
        <v>70</v>
      </c>
      <c r="G1545">
        <v>26.67</v>
      </c>
      <c r="H1545">
        <v>3.33</v>
      </c>
      <c r="I1545">
        <v>0</v>
      </c>
      <c r="J1545" s="1">
        <v>45928.086639247682</v>
      </c>
      <c r="K1545" t="s">
        <v>911</v>
      </c>
      <c r="L1545">
        <f t="shared" si="24"/>
        <v>1544</v>
      </c>
      <c r="M1545">
        <f>COUNTIF($A$2:A1545,A1545)</f>
        <v>13</v>
      </c>
    </row>
    <row r="1546" spans="1:13" x14ac:dyDescent="0.3">
      <c r="A1546">
        <v>11014</v>
      </c>
      <c r="B1546" t="s">
        <v>893</v>
      </c>
      <c r="C1546" t="s">
        <v>487</v>
      </c>
      <c r="D1546" t="s">
        <v>488</v>
      </c>
      <c r="E1546">
        <v>39</v>
      </c>
      <c r="F1546">
        <v>10</v>
      </c>
      <c r="G1546">
        <v>80</v>
      </c>
      <c r="H1546">
        <v>10</v>
      </c>
      <c r="I1546">
        <v>0</v>
      </c>
      <c r="J1546" s="1">
        <v>45928.086656932872</v>
      </c>
      <c r="K1546" t="s">
        <v>911</v>
      </c>
      <c r="L1546">
        <f t="shared" si="24"/>
        <v>1545</v>
      </c>
      <c r="M1546">
        <f>COUNTIF($A$2:A1546,A1546)</f>
        <v>14</v>
      </c>
    </row>
    <row r="1547" spans="1:13" x14ac:dyDescent="0.3">
      <c r="A1547">
        <v>11014</v>
      </c>
      <c r="B1547" t="s">
        <v>893</v>
      </c>
      <c r="C1547" t="s">
        <v>485</v>
      </c>
      <c r="D1547" t="s">
        <v>486</v>
      </c>
      <c r="E1547">
        <v>40</v>
      </c>
      <c r="F1547">
        <v>20</v>
      </c>
      <c r="G1547">
        <v>70</v>
      </c>
      <c r="H1547">
        <v>10</v>
      </c>
      <c r="I1547">
        <v>0</v>
      </c>
      <c r="J1547" s="1">
        <v>45928.08667611111</v>
      </c>
      <c r="K1547" t="s">
        <v>911</v>
      </c>
      <c r="L1547">
        <f t="shared" si="24"/>
        <v>1546</v>
      </c>
      <c r="M1547">
        <f>COUNTIF($A$2:A1547,A1547)</f>
        <v>15</v>
      </c>
    </row>
    <row r="1548" spans="1:13" x14ac:dyDescent="0.3">
      <c r="A1548">
        <v>11014</v>
      </c>
      <c r="B1548" t="s">
        <v>893</v>
      </c>
      <c r="C1548" t="s">
        <v>483</v>
      </c>
      <c r="D1548" t="s">
        <v>484</v>
      </c>
      <c r="E1548">
        <v>32</v>
      </c>
      <c r="F1548">
        <v>43.33</v>
      </c>
      <c r="G1548">
        <v>50</v>
      </c>
      <c r="H1548">
        <v>6.67</v>
      </c>
      <c r="I1548">
        <v>0</v>
      </c>
      <c r="J1548" s="1">
        <v>45928.086719016203</v>
      </c>
      <c r="K1548" t="s">
        <v>911</v>
      </c>
      <c r="L1548">
        <f t="shared" si="24"/>
        <v>1547</v>
      </c>
      <c r="M1548">
        <f>COUNTIF($A$2:A1548,A1548)</f>
        <v>16</v>
      </c>
    </row>
    <row r="1549" spans="1:13" x14ac:dyDescent="0.3">
      <c r="A1549">
        <v>11014</v>
      </c>
      <c r="B1549" t="s">
        <v>893</v>
      </c>
      <c r="C1549" t="s">
        <v>481</v>
      </c>
      <c r="D1549" t="s">
        <v>482</v>
      </c>
      <c r="F1549">
        <v>43.33</v>
      </c>
      <c r="G1549">
        <v>50</v>
      </c>
      <c r="H1549">
        <v>6.67</v>
      </c>
      <c r="I1549">
        <v>0</v>
      </c>
      <c r="J1549" s="1">
        <v>45928.086740983796</v>
      </c>
      <c r="K1549" t="s">
        <v>911</v>
      </c>
      <c r="L1549">
        <f t="shared" si="24"/>
        <v>1548</v>
      </c>
      <c r="M1549">
        <f>COUNTIF($A$2:A1549,A1549)</f>
        <v>17</v>
      </c>
    </row>
    <row r="1550" spans="1:13" x14ac:dyDescent="0.3">
      <c r="A1550">
        <v>11014</v>
      </c>
      <c r="B1550" t="s">
        <v>893</v>
      </c>
      <c r="C1550" t="s">
        <v>899</v>
      </c>
      <c r="D1550" t="s">
        <v>900</v>
      </c>
      <c r="E1550">
        <v>45</v>
      </c>
      <c r="F1550">
        <v>16.670000000000002</v>
      </c>
      <c r="G1550">
        <v>16.670000000000002</v>
      </c>
      <c r="H1550">
        <v>6.67</v>
      </c>
      <c r="I1550">
        <v>59.99</v>
      </c>
      <c r="J1550" s="1">
        <v>45928.08676082176</v>
      </c>
      <c r="K1550" t="s">
        <v>911</v>
      </c>
      <c r="L1550">
        <f t="shared" si="24"/>
        <v>1549</v>
      </c>
      <c r="M1550">
        <f>COUNTIF($A$2:A1550,A1550)</f>
        <v>18</v>
      </c>
    </row>
    <row r="1551" spans="1:13" x14ac:dyDescent="0.3">
      <c r="A1551">
        <v>11014</v>
      </c>
      <c r="B1551" t="s">
        <v>893</v>
      </c>
      <c r="C1551" t="s">
        <v>477</v>
      </c>
      <c r="D1551" t="s">
        <v>478</v>
      </c>
      <c r="E1551">
        <v>39</v>
      </c>
      <c r="F1551">
        <v>16.670000000000002</v>
      </c>
      <c r="G1551">
        <v>73.33</v>
      </c>
      <c r="H1551">
        <v>10</v>
      </c>
      <c r="I1551">
        <v>0</v>
      </c>
      <c r="J1551" s="1">
        <v>45928.086778969904</v>
      </c>
      <c r="K1551" t="s">
        <v>911</v>
      </c>
      <c r="L1551">
        <f t="shared" si="24"/>
        <v>1550</v>
      </c>
      <c r="M1551">
        <f>COUNTIF($A$2:A1551,A1551)</f>
        <v>19</v>
      </c>
    </row>
    <row r="1552" spans="1:13" x14ac:dyDescent="0.3">
      <c r="A1552">
        <v>11014</v>
      </c>
      <c r="B1552" t="s">
        <v>893</v>
      </c>
      <c r="C1552" t="s">
        <v>476</v>
      </c>
      <c r="D1552" t="s">
        <v>476</v>
      </c>
      <c r="E1552">
        <v>13</v>
      </c>
      <c r="F1552">
        <v>76.67</v>
      </c>
      <c r="G1552">
        <v>20</v>
      </c>
      <c r="H1552">
        <v>3.33</v>
      </c>
      <c r="I1552">
        <v>0</v>
      </c>
      <c r="J1552" s="1">
        <v>45928.08681847222</v>
      </c>
      <c r="K1552" t="s">
        <v>911</v>
      </c>
      <c r="L1552">
        <f t="shared" si="24"/>
        <v>1551</v>
      </c>
      <c r="M1552">
        <f>COUNTIF($A$2:A1552,A1552)</f>
        <v>20</v>
      </c>
    </row>
    <row r="1553" spans="1:13" x14ac:dyDescent="0.3">
      <c r="A1553">
        <v>11014</v>
      </c>
      <c r="B1553" t="s">
        <v>893</v>
      </c>
      <c r="C1553" t="s">
        <v>657</v>
      </c>
      <c r="D1553" t="s">
        <v>658</v>
      </c>
      <c r="E1553">
        <v>14</v>
      </c>
      <c r="F1553">
        <v>73.33</v>
      </c>
      <c r="G1553">
        <v>23.33</v>
      </c>
      <c r="H1553">
        <v>3.33</v>
      </c>
      <c r="I1553">
        <v>0.01</v>
      </c>
      <c r="J1553" s="1">
        <v>45928.08683965278</v>
      </c>
      <c r="K1553" t="s">
        <v>911</v>
      </c>
      <c r="L1553">
        <f t="shared" si="24"/>
        <v>1552</v>
      </c>
      <c r="M1553">
        <f>COUNTIF($A$2:A1553,A1553)</f>
        <v>21</v>
      </c>
    </row>
    <row r="1554" spans="1:13" x14ac:dyDescent="0.3">
      <c r="A1554">
        <v>11014</v>
      </c>
      <c r="B1554" t="s">
        <v>893</v>
      </c>
      <c r="C1554" t="s">
        <v>474</v>
      </c>
      <c r="D1554" t="s">
        <v>475</v>
      </c>
      <c r="E1554">
        <v>19</v>
      </c>
      <c r="F1554">
        <v>66.67</v>
      </c>
      <c r="G1554">
        <v>30</v>
      </c>
      <c r="H1554">
        <v>3.33</v>
      </c>
      <c r="I1554">
        <v>0</v>
      </c>
      <c r="J1554" s="1">
        <v>45928.086880752315</v>
      </c>
      <c r="K1554" t="s">
        <v>911</v>
      </c>
      <c r="L1554">
        <f t="shared" si="24"/>
        <v>1553</v>
      </c>
      <c r="M1554">
        <f>COUNTIF($A$2:A1554,A1554)</f>
        <v>22</v>
      </c>
    </row>
    <row r="1555" spans="1:13" x14ac:dyDescent="0.3">
      <c r="A1555">
        <v>11014</v>
      </c>
      <c r="B1555" t="s">
        <v>893</v>
      </c>
      <c r="C1555" t="s">
        <v>897</v>
      </c>
      <c r="D1555" t="s">
        <v>898</v>
      </c>
      <c r="E1555">
        <v>20</v>
      </c>
      <c r="F1555">
        <v>56.67</v>
      </c>
      <c r="G1555">
        <v>40</v>
      </c>
      <c r="H1555">
        <v>3.33</v>
      </c>
      <c r="I1555">
        <v>0</v>
      </c>
      <c r="J1555" s="1">
        <v>45928.086922002316</v>
      </c>
      <c r="K1555" t="s">
        <v>911</v>
      </c>
      <c r="L1555">
        <f t="shared" si="24"/>
        <v>1554</v>
      </c>
      <c r="M1555">
        <f>COUNTIF($A$2:A1555,A1555)</f>
        <v>23</v>
      </c>
    </row>
    <row r="1556" spans="1:13" x14ac:dyDescent="0.3">
      <c r="A1556">
        <v>11014</v>
      </c>
      <c r="B1556" t="s">
        <v>893</v>
      </c>
      <c r="C1556" t="s">
        <v>895</v>
      </c>
      <c r="D1556" t="s">
        <v>896</v>
      </c>
      <c r="F1556">
        <v>33.33</v>
      </c>
      <c r="G1556">
        <v>63.33</v>
      </c>
      <c r="H1556">
        <v>3.33</v>
      </c>
      <c r="I1556">
        <v>0</v>
      </c>
      <c r="J1556" s="1">
        <v>45928.086948807868</v>
      </c>
      <c r="K1556" t="s">
        <v>911</v>
      </c>
      <c r="L1556">
        <f t="shared" si="24"/>
        <v>1555</v>
      </c>
      <c r="M1556">
        <f>COUNTIF($A$2:A1556,A1556)</f>
        <v>24</v>
      </c>
    </row>
    <row r="1557" spans="1:13" x14ac:dyDescent="0.3">
      <c r="A1557">
        <v>11014</v>
      </c>
      <c r="B1557" t="s">
        <v>893</v>
      </c>
      <c r="C1557" t="s">
        <v>472</v>
      </c>
      <c r="D1557" t="s">
        <v>473</v>
      </c>
      <c r="E1557">
        <v>27</v>
      </c>
      <c r="F1557">
        <v>50</v>
      </c>
      <c r="G1557">
        <v>46.67</v>
      </c>
      <c r="H1557">
        <v>3.33</v>
      </c>
      <c r="I1557">
        <v>0</v>
      </c>
      <c r="J1557" s="1">
        <v>45928.086991898148</v>
      </c>
      <c r="K1557" t="s">
        <v>911</v>
      </c>
      <c r="L1557">
        <f t="shared" si="24"/>
        <v>1556</v>
      </c>
      <c r="M1557">
        <f>COUNTIF($A$2:A1557,A1557)</f>
        <v>25</v>
      </c>
    </row>
    <row r="1558" spans="1:13" x14ac:dyDescent="0.3">
      <c r="A1558">
        <v>11014</v>
      </c>
      <c r="B1558" t="s">
        <v>893</v>
      </c>
      <c r="C1558" t="s">
        <v>655</v>
      </c>
      <c r="D1558" t="s">
        <v>656</v>
      </c>
      <c r="E1558">
        <v>37</v>
      </c>
      <c r="F1558">
        <v>20</v>
      </c>
      <c r="G1558">
        <v>76.67</v>
      </c>
      <c r="H1558">
        <v>3.33</v>
      </c>
      <c r="I1558">
        <v>0</v>
      </c>
      <c r="J1558" s="1">
        <v>45928.087037627316</v>
      </c>
      <c r="K1558" t="s">
        <v>911</v>
      </c>
      <c r="L1558">
        <f t="shared" si="24"/>
        <v>1557</v>
      </c>
      <c r="M1558">
        <f>COUNTIF($A$2:A1558,A1558)</f>
        <v>26</v>
      </c>
    </row>
    <row r="1559" spans="1:13" x14ac:dyDescent="0.3">
      <c r="A1559">
        <v>11014</v>
      </c>
      <c r="B1559" t="s">
        <v>893</v>
      </c>
      <c r="C1559" t="s">
        <v>653</v>
      </c>
      <c r="D1559" t="s">
        <v>654</v>
      </c>
      <c r="E1559">
        <v>8</v>
      </c>
      <c r="F1559">
        <v>93.33</v>
      </c>
      <c r="G1559">
        <v>3.33</v>
      </c>
      <c r="H1559">
        <v>3.33</v>
      </c>
      <c r="I1559">
        <v>0.01</v>
      </c>
      <c r="J1559" s="1">
        <v>45928.087057777775</v>
      </c>
      <c r="K1559" t="s">
        <v>911</v>
      </c>
      <c r="L1559">
        <f t="shared" si="24"/>
        <v>1558</v>
      </c>
      <c r="M1559">
        <f>COUNTIF($A$2:A1559,A1559)</f>
        <v>27</v>
      </c>
    </row>
    <row r="1560" spans="1:13" x14ac:dyDescent="0.3">
      <c r="A1560">
        <v>11014</v>
      </c>
      <c r="B1560" t="s">
        <v>893</v>
      </c>
      <c r="C1560" t="s">
        <v>470</v>
      </c>
      <c r="D1560" t="s">
        <v>471</v>
      </c>
      <c r="E1560">
        <v>20</v>
      </c>
      <c r="F1560">
        <v>43.33</v>
      </c>
      <c r="G1560">
        <v>53.33</v>
      </c>
      <c r="H1560">
        <v>3.33</v>
      </c>
      <c r="I1560">
        <v>0.01</v>
      </c>
      <c r="J1560" s="1">
        <v>45928.087078090277</v>
      </c>
      <c r="K1560" t="s">
        <v>911</v>
      </c>
      <c r="L1560">
        <f t="shared" si="24"/>
        <v>1559</v>
      </c>
      <c r="M1560">
        <f>COUNTIF($A$2:A1560,A1560)</f>
        <v>28</v>
      </c>
    </row>
    <row r="1561" spans="1:13" x14ac:dyDescent="0.3">
      <c r="A1561">
        <v>11014</v>
      </c>
      <c r="B1561" t="s">
        <v>893</v>
      </c>
      <c r="C1561" t="s">
        <v>386</v>
      </c>
      <c r="D1561" t="s">
        <v>387</v>
      </c>
      <c r="E1561">
        <v>60</v>
      </c>
      <c r="F1561">
        <v>10</v>
      </c>
      <c r="G1561">
        <v>63.33</v>
      </c>
      <c r="H1561">
        <v>26.67</v>
      </c>
      <c r="I1561">
        <v>0</v>
      </c>
      <c r="J1561" s="1">
        <v>45928.087098206015</v>
      </c>
      <c r="K1561" t="s">
        <v>911</v>
      </c>
      <c r="L1561">
        <f t="shared" si="24"/>
        <v>1560</v>
      </c>
      <c r="M1561">
        <f>COUNTIF($A$2:A1561,A1561)</f>
        <v>29</v>
      </c>
    </row>
    <row r="1562" spans="1:13" x14ac:dyDescent="0.3">
      <c r="A1562">
        <v>11014</v>
      </c>
      <c r="B1562" t="s">
        <v>893</v>
      </c>
      <c r="C1562" t="s">
        <v>384</v>
      </c>
      <c r="D1562" t="s">
        <v>385</v>
      </c>
      <c r="E1562">
        <v>61</v>
      </c>
      <c r="F1562">
        <v>6.67</v>
      </c>
      <c r="G1562">
        <v>66.67</v>
      </c>
      <c r="H1562">
        <v>26.67</v>
      </c>
      <c r="I1562">
        <v>0</v>
      </c>
      <c r="J1562" s="1">
        <v>45928.087141458331</v>
      </c>
      <c r="K1562" t="s">
        <v>911</v>
      </c>
      <c r="L1562">
        <f t="shared" si="24"/>
        <v>1561</v>
      </c>
      <c r="M1562">
        <f>COUNTIF($A$2:A1562,A1562)</f>
        <v>30</v>
      </c>
    </row>
    <row r="1563" spans="1:13" x14ac:dyDescent="0.3">
      <c r="A1563">
        <v>11014</v>
      </c>
      <c r="B1563" t="s">
        <v>893</v>
      </c>
      <c r="C1563" t="s">
        <v>465</v>
      </c>
      <c r="D1563" t="s">
        <v>466</v>
      </c>
      <c r="E1563">
        <v>44</v>
      </c>
      <c r="F1563">
        <v>56.67</v>
      </c>
      <c r="G1563">
        <v>16.670000000000002</v>
      </c>
      <c r="H1563">
        <v>26.67</v>
      </c>
      <c r="I1563">
        <v>0</v>
      </c>
      <c r="J1563" s="1">
        <v>45928.087185972225</v>
      </c>
      <c r="K1563" t="s">
        <v>911</v>
      </c>
      <c r="L1563">
        <f t="shared" si="24"/>
        <v>1562</v>
      </c>
      <c r="M1563">
        <f>COUNTIF($A$2:A1563,A1563)</f>
        <v>31</v>
      </c>
    </row>
    <row r="1564" spans="1:13" x14ac:dyDescent="0.3">
      <c r="A1564">
        <v>11027</v>
      </c>
      <c r="B1564" t="s">
        <v>912</v>
      </c>
      <c r="C1564" t="s">
        <v>382</v>
      </c>
      <c r="D1564" t="s">
        <v>383</v>
      </c>
      <c r="E1564">
        <v>1</v>
      </c>
      <c r="F1564">
        <v>100</v>
      </c>
      <c r="G1564">
        <v>0</v>
      </c>
      <c r="H1564">
        <v>0</v>
      </c>
      <c r="I1564">
        <v>0</v>
      </c>
      <c r="J1564" s="1">
        <v>45928.087247662035</v>
      </c>
      <c r="K1564" t="s">
        <v>913</v>
      </c>
      <c r="L1564">
        <f t="shared" si="24"/>
        <v>1563</v>
      </c>
      <c r="M1564">
        <f>COUNTIF($A$2:A1564,A1564)</f>
        <v>1</v>
      </c>
    </row>
    <row r="1565" spans="1:13" x14ac:dyDescent="0.3">
      <c r="A1565">
        <v>11027</v>
      </c>
      <c r="B1565" t="s">
        <v>912</v>
      </c>
      <c r="C1565" t="s">
        <v>384</v>
      </c>
      <c r="D1565" t="s">
        <v>385</v>
      </c>
      <c r="E1565">
        <v>3</v>
      </c>
      <c r="F1565">
        <v>100</v>
      </c>
      <c r="G1565">
        <v>0</v>
      </c>
      <c r="H1565">
        <v>0</v>
      </c>
      <c r="I1565">
        <v>0</v>
      </c>
      <c r="J1565" s="1">
        <v>45928.087266666669</v>
      </c>
      <c r="K1565" t="s">
        <v>913</v>
      </c>
      <c r="L1565">
        <f t="shared" si="24"/>
        <v>1564</v>
      </c>
      <c r="M1565">
        <f>COUNTIF($A$2:A1565,A1565)</f>
        <v>2</v>
      </c>
    </row>
    <row r="1566" spans="1:13" x14ac:dyDescent="0.3">
      <c r="A1566">
        <v>11027</v>
      </c>
      <c r="B1566" t="s">
        <v>912</v>
      </c>
      <c r="C1566" t="s">
        <v>386</v>
      </c>
      <c r="D1566" t="s">
        <v>387</v>
      </c>
      <c r="E1566">
        <v>14</v>
      </c>
      <c r="F1566">
        <v>61.54</v>
      </c>
      <c r="G1566">
        <v>38.46</v>
      </c>
      <c r="H1566">
        <v>0</v>
      </c>
      <c r="I1566">
        <v>0</v>
      </c>
      <c r="J1566" s="1">
        <v>45928.08728670139</v>
      </c>
      <c r="K1566" t="s">
        <v>913</v>
      </c>
      <c r="L1566">
        <f t="shared" si="24"/>
        <v>1565</v>
      </c>
      <c r="M1566">
        <f>COUNTIF($A$2:A1566,A1566)</f>
        <v>3</v>
      </c>
    </row>
    <row r="1567" spans="1:13" x14ac:dyDescent="0.3">
      <c r="A1567">
        <v>11027</v>
      </c>
      <c r="B1567" t="s">
        <v>912</v>
      </c>
      <c r="C1567" t="s">
        <v>468</v>
      </c>
      <c r="D1567" t="s">
        <v>469</v>
      </c>
      <c r="E1567">
        <v>17</v>
      </c>
      <c r="F1567">
        <v>53.85</v>
      </c>
      <c r="G1567">
        <v>46.15</v>
      </c>
      <c r="H1567">
        <v>0</v>
      </c>
      <c r="I1567">
        <v>0</v>
      </c>
      <c r="J1567" s="1">
        <v>45928.087303854169</v>
      </c>
      <c r="K1567" t="s">
        <v>913</v>
      </c>
      <c r="L1567">
        <f t="shared" si="24"/>
        <v>1566</v>
      </c>
      <c r="M1567">
        <f>COUNTIF($A$2:A1567,A1567)</f>
        <v>4</v>
      </c>
    </row>
    <row r="1568" spans="1:13" x14ac:dyDescent="0.3">
      <c r="A1568">
        <v>11027</v>
      </c>
      <c r="B1568" t="s">
        <v>912</v>
      </c>
      <c r="C1568" t="s">
        <v>914</v>
      </c>
      <c r="D1568" t="s">
        <v>915</v>
      </c>
      <c r="E1568">
        <v>20</v>
      </c>
      <c r="F1568">
        <v>30.77</v>
      </c>
      <c r="G1568">
        <v>69.23</v>
      </c>
      <c r="H1568">
        <v>0</v>
      </c>
      <c r="I1568">
        <v>0</v>
      </c>
      <c r="J1568" s="1">
        <v>45928.087322002313</v>
      </c>
      <c r="K1568" t="s">
        <v>913</v>
      </c>
      <c r="L1568">
        <f t="shared" si="24"/>
        <v>1567</v>
      </c>
      <c r="M1568">
        <f>COUNTIF($A$2:A1568,A1568)</f>
        <v>5</v>
      </c>
    </row>
    <row r="1569" spans="1:13" x14ac:dyDescent="0.3">
      <c r="A1569">
        <v>11027</v>
      </c>
      <c r="B1569" t="s">
        <v>912</v>
      </c>
      <c r="C1569" t="s">
        <v>916</v>
      </c>
      <c r="D1569" t="s">
        <v>917</v>
      </c>
      <c r="E1569">
        <v>18</v>
      </c>
      <c r="F1569">
        <v>38.46</v>
      </c>
      <c r="G1569">
        <v>61.54</v>
      </c>
      <c r="H1569">
        <v>0</v>
      </c>
      <c r="I1569">
        <v>0</v>
      </c>
      <c r="J1569" s="1">
        <v>45928.087340046295</v>
      </c>
      <c r="K1569" t="s">
        <v>913</v>
      </c>
      <c r="L1569">
        <f t="shared" si="24"/>
        <v>1568</v>
      </c>
      <c r="M1569">
        <f>COUNTIF($A$2:A1569,A1569)</f>
        <v>6</v>
      </c>
    </row>
    <row r="1570" spans="1:13" x14ac:dyDescent="0.3">
      <c r="A1570">
        <v>11027</v>
      </c>
      <c r="B1570" t="s">
        <v>912</v>
      </c>
      <c r="C1570" t="s">
        <v>470</v>
      </c>
      <c r="D1570" t="s">
        <v>471</v>
      </c>
      <c r="E1570">
        <v>21</v>
      </c>
      <c r="F1570">
        <v>61.54</v>
      </c>
      <c r="G1570">
        <v>30.77</v>
      </c>
      <c r="H1570">
        <v>7.69</v>
      </c>
      <c r="I1570">
        <v>0</v>
      </c>
      <c r="J1570" s="1">
        <v>45928.087382118058</v>
      </c>
      <c r="K1570" t="s">
        <v>913</v>
      </c>
      <c r="L1570">
        <f t="shared" si="24"/>
        <v>1569</v>
      </c>
      <c r="M1570">
        <f>COUNTIF($A$2:A1570,A1570)</f>
        <v>7</v>
      </c>
    </row>
    <row r="1571" spans="1:13" x14ac:dyDescent="0.3">
      <c r="A1571">
        <v>11027</v>
      </c>
      <c r="B1571" t="s">
        <v>912</v>
      </c>
      <c r="C1571" t="s">
        <v>918</v>
      </c>
      <c r="D1571" t="s">
        <v>919</v>
      </c>
      <c r="E1571">
        <v>28</v>
      </c>
      <c r="F1571">
        <v>15.38</v>
      </c>
      <c r="G1571">
        <v>76.92</v>
      </c>
      <c r="H1571">
        <v>7.69</v>
      </c>
      <c r="I1571">
        <v>0.01</v>
      </c>
      <c r="J1571" s="1">
        <v>45928.087408518521</v>
      </c>
      <c r="K1571" t="s">
        <v>913</v>
      </c>
      <c r="L1571">
        <f t="shared" si="24"/>
        <v>1570</v>
      </c>
      <c r="M1571">
        <f>COUNTIF($A$2:A1571,A1571)</f>
        <v>8</v>
      </c>
    </row>
    <row r="1572" spans="1:13" x14ac:dyDescent="0.3">
      <c r="A1572">
        <v>11027</v>
      </c>
      <c r="B1572" t="s">
        <v>912</v>
      </c>
      <c r="C1572" t="s">
        <v>920</v>
      </c>
      <c r="D1572" t="s">
        <v>921</v>
      </c>
      <c r="E1572">
        <v>31</v>
      </c>
      <c r="F1572">
        <v>7.69</v>
      </c>
      <c r="G1572">
        <v>84.62</v>
      </c>
      <c r="H1572">
        <v>7.69</v>
      </c>
      <c r="I1572">
        <v>0</v>
      </c>
      <c r="J1572" s="1">
        <v>45928.087450312501</v>
      </c>
      <c r="K1572" t="s">
        <v>913</v>
      </c>
      <c r="L1572">
        <f t="shared" si="24"/>
        <v>1571</v>
      </c>
      <c r="M1572">
        <f>COUNTIF($A$2:A1572,A1572)</f>
        <v>9</v>
      </c>
    </row>
    <row r="1573" spans="1:13" x14ac:dyDescent="0.3">
      <c r="A1573">
        <v>11027</v>
      </c>
      <c r="B1573" t="s">
        <v>912</v>
      </c>
      <c r="C1573" t="s">
        <v>653</v>
      </c>
      <c r="D1573" t="s">
        <v>654</v>
      </c>
      <c r="E1573">
        <v>27</v>
      </c>
      <c r="F1573">
        <v>23.08</v>
      </c>
      <c r="G1573">
        <v>69.23</v>
      </c>
      <c r="H1573">
        <v>7.69</v>
      </c>
      <c r="I1573">
        <v>0</v>
      </c>
      <c r="J1573" s="1">
        <v>45928.087494502317</v>
      </c>
      <c r="K1573" t="s">
        <v>913</v>
      </c>
      <c r="L1573">
        <f t="shared" si="24"/>
        <v>1572</v>
      </c>
      <c r="M1573">
        <f>COUNTIF($A$2:A1573,A1573)</f>
        <v>10</v>
      </c>
    </row>
    <row r="1574" spans="1:13" x14ac:dyDescent="0.3">
      <c r="A1574">
        <v>11027</v>
      </c>
      <c r="B1574" t="s">
        <v>912</v>
      </c>
      <c r="C1574" t="s">
        <v>922</v>
      </c>
      <c r="D1574" t="s">
        <v>923</v>
      </c>
      <c r="E1574">
        <v>29</v>
      </c>
      <c r="F1574">
        <v>15.38</v>
      </c>
      <c r="G1574">
        <v>76.92</v>
      </c>
      <c r="H1574">
        <v>7.69</v>
      </c>
      <c r="I1574">
        <v>0.01</v>
      </c>
      <c r="J1574" s="1">
        <v>45928.087514525461</v>
      </c>
      <c r="K1574" t="s">
        <v>913</v>
      </c>
      <c r="L1574">
        <f t="shared" si="24"/>
        <v>1573</v>
      </c>
      <c r="M1574">
        <f>COUNTIF($A$2:A1574,A1574)</f>
        <v>11</v>
      </c>
    </row>
    <row r="1575" spans="1:13" x14ac:dyDescent="0.3">
      <c r="A1575">
        <v>11027</v>
      </c>
      <c r="B1575" t="s">
        <v>912</v>
      </c>
      <c r="C1575" t="s">
        <v>924</v>
      </c>
      <c r="D1575" t="s">
        <v>924</v>
      </c>
      <c r="E1575">
        <v>41</v>
      </c>
      <c r="F1575">
        <v>0</v>
      </c>
      <c r="G1575">
        <v>84.62</v>
      </c>
      <c r="H1575">
        <v>15.38</v>
      </c>
      <c r="I1575">
        <v>0</v>
      </c>
      <c r="J1575" s="1">
        <v>45928.087556307873</v>
      </c>
      <c r="K1575" t="s">
        <v>913</v>
      </c>
      <c r="L1575">
        <f t="shared" si="24"/>
        <v>1574</v>
      </c>
      <c r="M1575">
        <f>COUNTIF($A$2:A1575,A1575)</f>
        <v>12</v>
      </c>
    </row>
    <row r="1576" spans="1:13" x14ac:dyDescent="0.3">
      <c r="A1576">
        <v>11027</v>
      </c>
      <c r="B1576" t="s">
        <v>912</v>
      </c>
      <c r="C1576" t="s">
        <v>925</v>
      </c>
      <c r="D1576" t="s">
        <v>925</v>
      </c>
      <c r="E1576">
        <v>44</v>
      </c>
      <c r="F1576">
        <v>0</v>
      </c>
      <c r="G1576">
        <v>84.62</v>
      </c>
      <c r="H1576">
        <v>15.38</v>
      </c>
      <c r="I1576">
        <v>0</v>
      </c>
      <c r="J1576" s="1">
        <v>45928.087598715276</v>
      </c>
      <c r="K1576" t="s">
        <v>913</v>
      </c>
      <c r="L1576">
        <f t="shared" si="24"/>
        <v>1575</v>
      </c>
      <c r="M1576">
        <f>COUNTIF($A$2:A1576,A1576)</f>
        <v>13</v>
      </c>
    </row>
    <row r="1577" spans="1:13" x14ac:dyDescent="0.3">
      <c r="A1577">
        <v>11027</v>
      </c>
      <c r="B1577" t="s">
        <v>912</v>
      </c>
      <c r="C1577" t="s">
        <v>655</v>
      </c>
      <c r="D1577" t="s">
        <v>656</v>
      </c>
      <c r="E1577">
        <v>46</v>
      </c>
      <c r="F1577">
        <v>0</v>
      </c>
      <c r="G1577">
        <v>84.62</v>
      </c>
      <c r="H1577">
        <v>15.38</v>
      </c>
      <c r="I1577">
        <v>0</v>
      </c>
      <c r="J1577" s="1">
        <v>45928.087640787038</v>
      </c>
      <c r="K1577" t="s">
        <v>913</v>
      </c>
      <c r="L1577">
        <f t="shared" si="24"/>
        <v>1576</v>
      </c>
      <c r="M1577">
        <f>COUNTIF($A$2:A1577,A1577)</f>
        <v>14</v>
      </c>
    </row>
    <row r="1578" spans="1:13" x14ac:dyDescent="0.3">
      <c r="A1578">
        <v>11027</v>
      </c>
      <c r="B1578" t="s">
        <v>912</v>
      </c>
      <c r="C1578" t="s">
        <v>926</v>
      </c>
      <c r="D1578" t="s">
        <v>927</v>
      </c>
      <c r="F1578">
        <v>23.08</v>
      </c>
      <c r="G1578">
        <v>69.23</v>
      </c>
      <c r="H1578">
        <v>7.69</v>
      </c>
      <c r="I1578">
        <v>0</v>
      </c>
      <c r="J1578" s="1">
        <v>45928.087661770835</v>
      </c>
      <c r="K1578" t="s">
        <v>913</v>
      </c>
      <c r="L1578">
        <f t="shared" si="24"/>
        <v>1577</v>
      </c>
      <c r="M1578">
        <f>COUNTIF($A$2:A1578,A1578)</f>
        <v>15</v>
      </c>
    </row>
    <row r="1579" spans="1:13" x14ac:dyDescent="0.3">
      <c r="A1579">
        <v>11027</v>
      </c>
      <c r="B1579" t="s">
        <v>912</v>
      </c>
      <c r="C1579" t="s">
        <v>928</v>
      </c>
      <c r="D1579" t="s">
        <v>929</v>
      </c>
      <c r="E1579">
        <v>35</v>
      </c>
      <c r="F1579">
        <v>7.69</v>
      </c>
      <c r="G1579">
        <v>76.92</v>
      </c>
      <c r="H1579">
        <v>15.38</v>
      </c>
      <c r="I1579">
        <v>0.01</v>
      </c>
      <c r="J1579" s="1">
        <v>45928.087679942131</v>
      </c>
      <c r="K1579" t="s">
        <v>913</v>
      </c>
      <c r="L1579">
        <f t="shared" si="24"/>
        <v>1578</v>
      </c>
      <c r="M1579">
        <f>COUNTIF($A$2:A1579,A1579)</f>
        <v>16</v>
      </c>
    </row>
    <row r="1580" spans="1:13" x14ac:dyDescent="0.3">
      <c r="A1580">
        <v>11027</v>
      </c>
      <c r="B1580" t="s">
        <v>912</v>
      </c>
      <c r="C1580" t="s">
        <v>930</v>
      </c>
      <c r="D1580" t="s">
        <v>931</v>
      </c>
      <c r="E1580">
        <v>34</v>
      </c>
      <c r="F1580">
        <v>15.38</v>
      </c>
      <c r="G1580">
        <v>69.23</v>
      </c>
      <c r="H1580">
        <v>15.38</v>
      </c>
      <c r="I1580">
        <v>0.01</v>
      </c>
      <c r="J1580" s="1">
        <v>45928.08769615741</v>
      </c>
      <c r="K1580" t="s">
        <v>913</v>
      </c>
      <c r="L1580">
        <f t="shared" si="24"/>
        <v>1579</v>
      </c>
      <c r="M1580">
        <f>COUNTIF($A$2:A1580,A1580)</f>
        <v>17</v>
      </c>
    </row>
    <row r="1581" spans="1:13" x14ac:dyDescent="0.3">
      <c r="A1581">
        <v>11027</v>
      </c>
      <c r="B1581" t="s">
        <v>912</v>
      </c>
      <c r="C1581" t="s">
        <v>932</v>
      </c>
      <c r="D1581" t="s">
        <v>933</v>
      </c>
      <c r="E1581">
        <v>44</v>
      </c>
      <c r="F1581">
        <v>0</v>
      </c>
      <c r="G1581">
        <v>84.62</v>
      </c>
      <c r="H1581">
        <v>15.38</v>
      </c>
      <c r="I1581">
        <v>0</v>
      </c>
      <c r="J1581" s="1">
        <v>45928.08773806713</v>
      </c>
      <c r="K1581" t="s">
        <v>913</v>
      </c>
      <c r="L1581">
        <f t="shared" si="24"/>
        <v>1580</v>
      </c>
      <c r="M1581">
        <f>COUNTIF($A$2:A1581,A1581)</f>
        <v>18</v>
      </c>
    </row>
    <row r="1582" spans="1:13" x14ac:dyDescent="0.3">
      <c r="A1582">
        <v>11027</v>
      </c>
      <c r="B1582" t="s">
        <v>912</v>
      </c>
      <c r="C1582" t="s">
        <v>934</v>
      </c>
      <c r="D1582" t="s">
        <v>935</v>
      </c>
      <c r="E1582">
        <v>51</v>
      </c>
      <c r="F1582">
        <v>0</v>
      </c>
      <c r="G1582">
        <v>84.62</v>
      </c>
      <c r="H1582">
        <v>15.38</v>
      </c>
      <c r="I1582">
        <v>0</v>
      </c>
      <c r="J1582" s="1">
        <v>45928.087781574075</v>
      </c>
      <c r="K1582" t="s">
        <v>913</v>
      </c>
      <c r="L1582">
        <f t="shared" si="24"/>
        <v>1581</v>
      </c>
      <c r="M1582">
        <f>COUNTIF($A$2:A1582,A1582)</f>
        <v>19</v>
      </c>
    </row>
    <row r="1583" spans="1:13" x14ac:dyDescent="0.3">
      <c r="A1583">
        <v>11027</v>
      </c>
      <c r="B1583" t="s">
        <v>912</v>
      </c>
      <c r="C1583" t="s">
        <v>936</v>
      </c>
      <c r="D1583" t="s">
        <v>937</v>
      </c>
      <c r="E1583">
        <v>55</v>
      </c>
      <c r="F1583">
        <v>0</v>
      </c>
      <c r="G1583">
        <v>76.92</v>
      </c>
      <c r="H1583">
        <v>23.08</v>
      </c>
      <c r="I1583">
        <v>0</v>
      </c>
      <c r="J1583" s="1">
        <v>45928.087799583336</v>
      </c>
      <c r="K1583" t="s">
        <v>913</v>
      </c>
      <c r="L1583">
        <f t="shared" si="24"/>
        <v>1582</v>
      </c>
      <c r="M1583">
        <f>COUNTIF($A$2:A1583,A1583)</f>
        <v>20</v>
      </c>
    </row>
    <row r="1584" spans="1:13" x14ac:dyDescent="0.3">
      <c r="A1584">
        <v>11027</v>
      </c>
      <c r="B1584" t="s">
        <v>912</v>
      </c>
      <c r="C1584" t="s">
        <v>938</v>
      </c>
      <c r="D1584" t="s">
        <v>939</v>
      </c>
      <c r="E1584">
        <v>12</v>
      </c>
      <c r="F1584">
        <v>76.92</v>
      </c>
      <c r="G1584">
        <v>23.08</v>
      </c>
      <c r="H1584">
        <v>0</v>
      </c>
      <c r="I1584">
        <v>0</v>
      </c>
      <c r="J1584" s="1">
        <v>45928.087819791668</v>
      </c>
      <c r="K1584" t="s">
        <v>913</v>
      </c>
      <c r="L1584">
        <f t="shared" si="24"/>
        <v>1583</v>
      </c>
      <c r="M1584">
        <f>COUNTIF($A$2:A1584,A1584)</f>
        <v>21</v>
      </c>
    </row>
    <row r="1585" spans="1:13" x14ac:dyDescent="0.3">
      <c r="A1585">
        <v>11027</v>
      </c>
      <c r="B1585" t="s">
        <v>912</v>
      </c>
      <c r="C1585" t="s">
        <v>940</v>
      </c>
      <c r="D1585" t="s">
        <v>941</v>
      </c>
      <c r="E1585">
        <v>16</v>
      </c>
      <c r="F1585">
        <v>69.23</v>
      </c>
      <c r="G1585">
        <v>30.77</v>
      </c>
      <c r="H1585">
        <v>0</v>
      </c>
      <c r="I1585">
        <v>0</v>
      </c>
      <c r="J1585" s="1">
        <v>45928.087862453707</v>
      </c>
      <c r="K1585" t="s">
        <v>913</v>
      </c>
      <c r="L1585">
        <f t="shared" si="24"/>
        <v>1584</v>
      </c>
      <c r="M1585">
        <f>COUNTIF($A$2:A1585,A1585)</f>
        <v>22</v>
      </c>
    </row>
    <row r="1586" spans="1:13" x14ac:dyDescent="0.3">
      <c r="A1586">
        <v>11027</v>
      </c>
      <c r="B1586" t="s">
        <v>912</v>
      </c>
      <c r="C1586" t="s">
        <v>942</v>
      </c>
      <c r="D1586" t="s">
        <v>943</v>
      </c>
      <c r="E1586">
        <v>18</v>
      </c>
      <c r="F1586">
        <v>61.54</v>
      </c>
      <c r="G1586">
        <v>38.46</v>
      </c>
      <c r="H1586">
        <v>0</v>
      </c>
      <c r="I1586">
        <v>0</v>
      </c>
      <c r="J1586" s="1">
        <v>45928.087881250001</v>
      </c>
      <c r="K1586" t="s">
        <v>913</v>
      </c>
      <c r="L1586">
        <f t="shared" si="24"/>
        <v>1585</v>
      </c>
      <c r="M1586">
        <f>COUNTIF($A$2:A1586,A1586)</f>
        <v>23</v>
      </c>
    </row>
    <row r="1587" spans="1:13" x14ac:dyDescent="0.3">
      <c r="A1587">
        <v>11027</v>
      </c>
      <c r="B1587" t="s">
        <v>912</v>
      </c>
      <c r="C1587" t="s">
        <v>944</v>
      </c>
      <c r="D1587" t="s">
        <v>945</v>
      </c>
      <c r="E1587">
        <v>19</v>
      </c>
      <c r="F1587">
        <v>61.54</v>
      </c>
      <c r="G1587">
        <v>38.46</v>
      </c>
      <c r="H1587">
        <v>0</v>
      </c>
      <c r="I1587">
        <v>0</v>
      </c>
      <c r="J1587" s="1">
        <v>45928.087901469909</v>
      </c>
      <c r="K1587" t="s">
        <v>913</v>
      </c>
      <c r="L1587">
        <f t="shared" si="24"/>
        <v>1586</v>
      </c>
      <c r="M1587">
        <f>COUNTIF($A$2:A1587,A1587)</f>
        <v>24</v>
      </c>
    </row>
    <row r="1588" spans="1:13" x14ac:dyDescent="0.3">
      <c r="A1588">
        <v>11027</v>
      </c>
      <c r="B1588" t="s">
        <v>912</v>
      </c>
      <c r="C1588" t="s">
        <v>946</v>
      </c>
      <c r="D1588" t="s">
        <v>947</v>
      </c>
      <c r="E1588">
        <v>21</v>
      </c>
      <c r="F1588">
        <v>61.54</v>
      </c>
      <c r="G1588">
        <v>38.46</v>
      </c>
      <c r="H1588">
        <v>0</v>
      </c>
      <c r="I1588">
        <v>0</v>
      </c>
      <c r="J1588" s="1">
        <v>45928.087920810183</v>
      </c>
      <c r="K1588" t="s">
        <v>913</v>
      </c>
      <c r="L1588">
        <f t="shared" si="24"/>
        <v>1587</v>
      </c>
      <c r="M1588">
        <f>COUNTIF($A$2:A1588,A1588)</f>
        <v>25</v>
      </c>
    </row>
    <row r="1589" spans="1:13" x14ac:dyDescent="0.3">
      <c r="A1589">
        <v>11027</v>
      </c>
      <c r="B1589" t="s">
        <v>912</v>
      </c>
      <c r="C1589" t="s">
        <v>948</v>
      </c>
      <c r="D1589" t="s">
        <v>949</v>
      </c>
      <c r="E1589">
        <v>26</v>
      </c>
      <c r="F1589">
        <v>46.15</v>
      </c>
      <c r="G1589">
        <v>46.15</v>
      </c>
      <c r="H1589">
        <v>7.69</v>
      </c>
      <c r="I1589">
        <v>0.01</v>
      </c>
      <c r="J1589" s="1">
        <v>45928.087940324076</v>
      </c>
      <c r="K1589" t="s">
        <v>913</v>
      </c>
      <c r="L1589">
        <f t="shared" si="24"/>
        <v>1588</v>
      </c>
      <c r="M1589">
        <f>COUNTIF($A$2:A1589,A1589)</f>
        <v>26</v>
      </c>
    </row>
    <row r="1590" spans="1:13" x14ac:dyDescent="0.3">
      <c r="A1590">
        <v>11027</v>
      </c>
      <c r="B1590" t="s">
        <v>912</v>
      </c>
      <c r="C1590" t="s">
        <v>950</v>
      </c>
      <c r="D1590" t="s">
        <v>951</v>
      </c>
      <c r="E1590">
        <v>29</v>
      </c>
      <c r="F1590">
        <v>15.38</v>
      </c>
      <c r="G1590">
        <v>76.92</v>
      </c>
      <c r="H1590">
        <v>7.69</v>
      </c>
      <c r="I1590">
        <v>0.01</v>
      </c>
      <c r="J1590" s="1">
        <v>45928.087960092591</v>
      </c>
      <c r="K1590" t="s">
        <v>913</v>
      </c>
      <c r="L1590">
        <f t="shared" si="24"/>
        <v>1589</v>
      </c>
      <c r="M1590">
        <f>COUNTIF($A$2:A1590,A1590)</f>
        <v>27</v>
      </c>
    </row>
    <row r="1591" spans="1:13" x14ac:dyDescent="0.3">
      <c r="A1591">
        <v>11027</v>
      </c>
      <c r="B1591" t="s">
        <v>912</v>
      </c>
      <c r="C1591" t="s">
        <v>952</v>
      </c>
      <c r="D1591" t="s">
        <v>953</v>
      </c>
      <c r="E1591">
        <v>38</v>
      </c>
      <c r="F1591">
        <v>0</v>
      </c>
      <c r="G1591">
        <v>84.62</v>
      </c>
      <c r="H1591">
        <v>15.38</v>
      </c>
      <c r="I1591">
        <v>0</v>
      </c>
      <c r="J1591" s="1">
        <v>45928.088003506942</v>
      </c>
      <c r="K1591" t="s">
        <v>913</v>
      </c>
      <c r="L1591">
        <f t="shared" si="24"/>
        <v>1590</v>
      </c>
      <c r="M1591">
        <f>COUNTIF($A$2:A1591,A1591)</f>
        <v>28</v>
      </c>
    </row>
    <row r="1592" spans="1:13" x14ac:dyDescent="0.3">
      <c r="A1592">
        <v>11027</v>
      </c>
      <c r="B1592" t="s">
        <v>912</v>
      </c>
      <c r="C1592" t="s">
        <v>954</v>
      </c>
      <c r="D1592" t="s">
        <v>955</v>
      </c>
      <c r="E1592">
        <v>2</v>
      </c>
      <c r="F1592">
        <v>84.62</v>
      </c>
      <c r="G1592">
        <v>15.38</v>
      </c>
      <c r="H1592">
        <v>0</v>
      </c>
      <c r="I1592">
        <v>0</v>
      </c>
      <c r="J1592" s="1">
        <v>45928.088047245372</v>
      </c>
      <c r="K1592" t="s">
        <v>913</v>
      </c>
      <c r="L1592">
        <f t="shared" si="24"/>
        <v>1591</v>
      </c>
      <c r="M1592">
        <f>COUNTIF($A$2:A1592,A1592)</f>
        <v>29</v>
      </c>
    </row>
    <row r="1593" spans="1:13" x14ac:dyDescent="0.3">
      <c r="A1593">
        <v>11028</v>
      </c>
      <c r="B1593" t="s">
        <v>912</v>
      </c>
      <c r="C1593" t="s">
        <v>954</v>
      </c>
      <c r="D1593" t="s">
        <v>955</v>
      </c>
      <c r="E1593">
        <v>0</v>
      </c>
      <c r="F1593">
        <v>100</v>
      </c>
      <c r="G1593">
        <v>0</v>
      </c>
      <c r="H1593">
        <v>0</v>
      </c>
      <c r="I1593">
        <v>0</v>
      </c>
      <c r="J1593" s="1">
        <v>45928.088110775461</v>
      </c>
      <c r="K1593" t="s">
        <v>956</v>
      </c>
      <c r="L1593">
        <f t="shared" si="24"/>
        <v>1592</v>
      </c>
      <c r="M1593">
        <f>COUNTIF($A$2:A1593,A1593)</f>
        <v>1</v>
      </c>
    </row>
    <row r="1594" spans="1:13" x14ac:dyDescent="0.3">
      <c r="A1594">
        <v>11028</v>
      </c>
      <c r="B1594" t="s">
        <v>912</v>
      </c>
      <c r="C1594" t="s">
        <v>952</v>
      </c>
      <c r="D1594" t="s">
        <v>953</v>
      </c>
      <c r="E1594">
        <v>13</v>
      </c>
      <c r="F1594">
        <v>76.92</v>
      </c>
      <c r="G1594">
        <v>23.08</v>
      </c>
      <c r="H1594">
        <v>0</v>
      </c>
      <c r="I1594">
        <v>0</v>
      </c>
      <c r="J1594" s="1">
        <v>45928.088131122684</v>
      </c>
      <c r="K1594" t="s">
        <v>956</v>
      </c>
      <c r="L1594">
        <f t="shared" si="24"/>
        <v>1593</v>
      </c>
      <c r="M1594">
        <f>COUNTIF($A$2:A1594,A1594)</f>
        <v>2</v>
      </c>
    </row>
    <row r="1595" spans="1:13" x14ac:dyDescent="0.3">
      <c r="A1595">
        <v>11028</v>
      </c>
      <c r="B1595" t="s">
        <v>912</v>
      </c>
      <c r="C1595" t="s">
        <v>950</v>
      </c>
      <c r="D1595" t="s">
        <v>951</v>
      </c>
      <c r="E1595">
        <v>21</v>
      </c>
      <c r="F1595">
        <v>30.77</v>
      </c>
      <c r="G1595">
        <v>69.23</v>
      </c>
      <c r="H1595">
        <v>0</v>
      </c>
      <c r="I1595">
        <v>0</v>
      </c>
      <c r="J1595" s="1">
        <v>45928.08815077546</v>
      </c>
      <c r="K1595" t="s">
        <v>956</v>
      </c>
      <c r="L1595">
        <f t="shared" si="24"/>
        <v>1594</v>
      </c>
      <c r="M1595">
        <f>COUNTIF($A$2:A1595,A1595)</f>
        <v>3</v>
      </c>
    </row>
    <row r="1596" spans="1:13" x14ac:dyDescent="0.3">
      <c r="A1596">
        <v>11028</v>
      </c>
      <c r="B1596" t="s">
        <v>912</v>
      </c>
      <c r="C1596" t="s">
        <v>948</v>
      </c>
      <c r="D1596" t="s">
        <v>949</v>
      </c>
      <c r="E1596">
        <v>19</v>
      </c>
      <c r="F1596">
        <v>46.15</v>
      </c>
      <c r="G1596">
        <v>53.85</v>
      </c>
      <c r="H1596">
        <v>0</v>
      </c>
      <c r="I1596">
        <v>0</v>
      </c>
      <c r="J1596" s="1">
        <v>45928.088170115741</v>
      </c>
      <c r="K1596" t="s">
        <v>956</v>
      </c>
      <c r="L1596">
        <f t="shared" si="24"/>
        <v>1595</v>
      </c>
      <c r="M1596">
        <f>COUNTIF($A$2:A1596,A1596)</f>
        <v>4</v>
      </c>
    </row>
    <row r="1597" spans="1:13" x14ac:dyDescent="0.3">
      <c r="A1597">
        <v>11028</v>
      </c>
      <c r="B1597" t="s">
        <v>912</v>
      </c>
      <c r="C1597" t="s">
        <v>946</v>
      </c>
      <c r="D1597" t="s">
        <v>947</v>
      </c>
      <c r="E1597">
        <v>11</v>
      </c>
      <c r="F1597">
        <v>76.92</v>
      </c>
      <c r="G1597">
        <v>23.08</v>
      </c>
      <c r="H1597">
        <v>0</v>
      </c>
      <c r="I1597">
        <v>0</v>
      </c>
      <c r="J1597" s="1">
        <v>45928.088189780094</v>
      </c>
      <c r="K1597" t="s">
        <v>956</v>
      </c>
      <c r="L1597">
        <f t="shared" si="24"/>
        <v>1596</v>
      </c>
      <c r="M1597">
        <f>COUNTIF($A$2:A1597,A1597)</f>
        <v>5</v>
      </c>
    </row>
    <row r="1598" spans="1:13" x14ac:dyDescent="0.3">
      <c r="A1598">
        <v>11028</v>
      </c>
      <c r="B1598" t="s">
        <v>912</v>
      </c>
      <c r="C1598" t="s">
        <v>944</v>
      </c>
      <c r="D1598" t="s">
        <v>945</v>
      </c>
      <c r="E1598">
        <v>8</v>
      </c>
      <c r="F1598">
        <v>76.92</v>
      </c>
      <c r="G1598">
        <v>23.08</v>
      </c>
      <c r="H1598">
        <v>0</v>
      </c>
      <c r="I1598">
        <v>0</v>
      </c>
      <c r="J1598" s="1">
        <v>45928.08820662037</v>
      </c>
      <c r="K1598" t="s">
        <v>956</v>
      </c>
      <c r="L1598">
        <f t="shared" si="24"/>
        <v>1597</v>
      </c>
      <c r="M1598">
        <f>COUNTIF($A$2:A1598,A1598)</f>
        <v>6</v>
      </c>
    </row>
    <row r="1599" spans="1:13" x14ac:dyDescent="0.3">
      <c r="A1599">
        <v>11028</v>
      </c>
      <c r="B1599" t="s">
        <v>912</v>
      </c>
      <c r="C1599" t="s">
        <v>942</v>
      </c>
      <c r="D1599" t="s">
        <v>943</v>
      </c>
      <c r="E1599">
        <v>7</v>
      </c>
      <c r="F1599">
        <v>76.92</v>
      </c>
      <c r="G1599">
        <v>23.08</v>
      </c>
      <c r="H1599">
        <v>0</v>
      </c>
      <c r="I1599">
        <v>0</v>
      </c>
      <c r="J1599" s="1">
        <v>45928.088225277781</v>
      </c>
      <c r="K1599" t="s">
        <v>956</v>
      </c>
      <c r="L1599">
        <f t="shared" si="24"/>
        <v>1598</v>
      </c>
      <c r="M1599">
        <f>COUNTIF($A$2:A1599,A1599)</f>
        <v>7</v>
      </c>
    </row>
    <row r="1600" spans="1:13" x14ac:dyDescent="0.3">
      <c r="A1600">
        <v>11028</v>
      </c>
      <c r="B1600" t="s">
        <v>912</v>
      </c>
      <c r="C1600" t="s">
        <v>940</v>
      </c>
      <c r="D1600" t="s">
        <v>941</v>
      </c>
      <c r="E1600">
        <v>6</v>
      </c>
      <c r="F1600">
        <v>92.31</v>
      </c>
      <c r="G1600">
        <v>7.69</v>
      </c>
      <c r="H1600">
        <v>0</v>
      </c>
      <c r="I1600">
        <v>0</v>
      </c>
      <c r="J1600" s="1">
        <v>45928.088269282409</v>
      </c>
      <c r="K1600" t="s">
        <v>956</v>
      </c>
      <c r="L1600">
        <f t="shared" si="24"/>
        <v>1599</v>
      </c>
      <c r="M1600">
        <f>COUNTIF($A$2:A1600,A1600)</f>
        <v>8</v>
      </c>
    </row>
    <row r="1601" spans="1:13" x14ac:dyDescent="0.3">
      <c r="A1601">
        <v>11028</v>
      </c>
      <c r="B1601" t="s">
        <v>912</v>
      </c>
      <c r="C1601" t="s">
        <v>938</v>
      </c>
      <c r="D1601" t="s">
        <v>939</v>
      </c>
      <c r="F1601">
        <v>100</v>
      </c>
      <c r="G1601">
        <v>0</v>
      </c>
      <c r="H1601">
        <v>0</v>
      </c>
      <c r="I1601">
        <v>0</v>
      </c>
      <c r="J1601" s="1">
        <v>45928.088290925924</v>
      </c>
      <c r="K1601" t="s">
        <v>956</v>
      </c>
      <c r="L1601">
        <f t="shared" si="24"/>
        <v>1600</v>
      </c>
      <c r="M1601">
        <f>COUNTIF($A$2:A1601,A1601)</f>
        <v>9</v>
      </c>
    </row>
    <row r="1602" spans="1:13" x14ac:dyDescent="0.3">
      <c r="A1602">
        <v>11028</v>
      </c>
      <c r="B1602" t="s">
        <v>912</v>
      </c>
      <c r="C1602" t="s">
        <v>936</v>
      </c>
      <c r="D1602" t="s">
        <v>937</v>
      </c>
      <c r="E1602">
        <v>8</v>
      </c>
      <c r="F1602">
        <v>100</v>
      </c>
      <c r="G1602">
        <v>0</v>
      </c>
      <c r="H1602">
        <v>0</v>
      </c>
      <c r="I1602">
        <v>0</v>
      </c>
      <c r="J1602" s="1">
        <v>45928.08830938657</v>
      </c>
      <c r="K1602" t="s">
        <v>956</v>
      </c>
      <c r="L1602">
        <f t="shared" ref="L1602:L1665" si="25">ROW()-1</f>
        <v>1601</v>
      </c>
      <c r="M1602">
        <f>COUNTIF($A$2:A1602,A1602)</f>
        <v>10</v>
      </c>
    </row>
    <row r="1603" spans="1:13" x14ac:dyDescent="0.3">
      <c r="A1603">
        <v>11028</v>
      </c>
      <c r="B1603" t="s">
        <v>912</v>
      </c>
      <c r="C1603" t="s">
        <v>934</v>
      </c>
      <c r="D1603" t="s">
        <v>935</v>
      </c>
      <c r="F1603">
        <v>61.54</v>
      </c>
      <c r="G1603">
        <v>38.46</v>
      </c>
      <c r="H1603">
        <v>0</v>
      </c>
      <c r="I1603">
        <v>0</v>
      </c>
      <c r="J1603" s="1">
        <v>45928.088334594904</v>
      </c>
      <c r="K1603" t="s">
        <v>956</v>
      </c>
      <c r="L1603">
        <f t="shared" si="25"/>
        <v>1602</v>
      </c>
      <c r="M1603">
        <f>COUNTIF($A$2:A1603,A1603)</f>
        <v>11</v>
      </c>
    </row>
    <row r="1604" spans="1:13" x14ac:dyDescent="0.3">
      <c r="A1604">
        <v>11028</v>
      </c>
      <c r="B1604" t="s">
        <v>912</v>
      </c>
      <c r="C1604" t="s">
        <v>932</v>
      </c>
      <c r="D1604" t="s">
        <v>933</v>
      </c>
      <c r="E1604">
        <v>20</v>
      </c>
      <c r="F1604">
        <v>30.77</v>
      </c>
      <c r="G1604">
        <v>69.23</v>
      </c>
      <c r="H1604">
        <v>0</v>
      </c>
      <c r="I1604">
        <v>0</v>
      </c>
      <c r="J1604" s="1">
        <v>45928.088352233797</v>
      </c>
      <c r="K1604" t="s">
        <v>956</v>
      </c>
      <c r="L1604">
        <f t="shared" si="25"/>
        <v>1603</v>
      </c>
      <c r="M1604">
        <f>COUNTIF($A$2:A1604,A1604)</f>
        <v>12</v>
      </c>
    </row>
    <row r="1605" spans="1:13" x14ac:dyDescent="0.3">
      <c r="A1605">
        <v>11028</v>
      </c>
      <c r="B1605" t="s">
        <v>912</v>
      </c>
      <c r="C1605" t="s">
        <v>930</v>
      </c>
      <c r="D1605" t="s">
        <v>931</v>
      </c>
      <c r="F1605">
        <v>30.77</v>
      </c>
      <c r="G1605">
        <v>69.23</v>
      </c>
      <c r="H1605">
        <v>0</v>
      </c>
      <c r="I1605">
        <v>0</v>
      </c>
      <c r="J1605" s="1">
        <v>45928.088377233798</v>
      </c>
      <c r="K1605" t="s">
        <v>956</v>
      </c>
      <c r="L1605">
        <f t="shared" si="25"/>
        <v>1604</v>
      </c>
      <c r="M1605">
        <f>COUNTIF($A$2:A1605,A1605)</f>
        <v>13</v>
      </c>
    </row>
    <row r="1606" spans="1:13" x14ac:dyDescent="0.3">
      <c r="A1606">
        <v>11028</v>
      </c>
      <c r="B1606" t="s">
        <v>912</v>
      </c>
      <c r="C1606" t="s">
        <v>928</v>
      </c>
      <c r="D1606" t="s">
        <v>929</v>
      </c>
      <c r="E1606">
        <v>26</v>
      </c>
      <c r="F1606">
        <v>7.69</v>
      </c>
      <c r="G1606">
        <v>92.31</v>
      </c>
      <c r="H1606">
        <v>0</v>
      </c>
      <c r="I1606">
        <v>0</v>
      </c>
      <c r="J1606" s="1">
        <v>45928.088394548613</v>
      </c>
      <c r="K1606" t="s">
        <v>956</v>
      </c>
      <c r="L1606">
        <f t="shared" si="25"/>
        <v>1605</v>
      </c>
      <c r="M1606">
        <f>COUNTIF($A$2:A1606,A1606)</f>
        <v>14</v>
      </c>
    </row>
    <row r="1607" spans="1:13" x14ac:dyDescent="0.3">
      <c r="A1607">
        <v>11028</v>
      </c>
      <c r="B1607" t="s">
        <v>912</v>
      </c>
      <c r="C1607" t="s">
        <v>926</v>
      </c>
      <c r="D1607" t="s">
        <v>927</v>
      </c>
      <c r="E1607">
        <v>5</v>
      </c>
      <c r="F1607">
        <v>100</v>
      </c>
      <c r="G1607">
        <v>0</v>
      </c>
      <c r="H1607">
        <v>0</v>
      </c>
      <c r="I1607">
        <v>0</v>
      </c>
      <c r="J1607" s="1">
        <v>45928.088410381948</v>
      </c>
      <c r="K1607" t="s">
        <v>956</v>
      </c>
      <c r="L1607">
        <f t="shared" si="25"/>
        <v>1606</v>
      </c>
      <c r="M1607">
        <f>COUNTIF($A$2:A1607,A1607)</f>
        <v>15</v>
      </c>
    </row>
    <row r="1608" spans="1:13" x14ac:dyDescent="0.3">
      <c r="A1608">
        <v>11028</v>
      </c>
      <c r="B1608" t="s">
        <v>912</v>
      </c>
      <c r="C1608" t="s">
        <v>655</v>
      </c>
      <c r="D1608" t="s">
        <v>656</v>
      </c>
      <c r="E1608">
        <v>33</v>
      </c>
      <c r="F1608">
        <v>23.08</v>
      </c>
      <c r="G1608">
        <v>76.92</v>
      </c>
      <c r="H1608">
        <v>0</v>
      </c>
      <c r="I1608">
        <v>0</v>
      </c>
      <c r="J1608" s="1">
        <v>45928.088429826392</v>
      </c>
      <c r="K1608" t="s">
        <v>956</v>
      </c>
      <c r="L1608">
        <f t="shared" si="25"/>
        <v>1607</v>
      </c>
      <c r="M1608">
        <f>COUNTIF($A$2:A1608,A1608)</f>
        <v>16</v>
      </c>
    </row>
    <row r="1609" spans="1:13" x14ac:dyDescent="0.3">
      <c r="A1609">
        <v>11028</v>
      </c>
      <c r="B1609" t="s">
        <v>912</v>
      </c>
      <c r="C1609" t="s">
        <v>925</v>
      </c>
      <c r="D1609" t="s">
        <v>925</v>
      </c>
      <c r="E1609">
        <v>26</v>
      </c>
      <c r="F1609">
        <v>38.46</v>
      </c>
      <c r="G1609">
        <v>61.54</v>
      </c>
      <c r="H1609">
        <v>0</v>
      </c>
      <c r="I1609">
        <v>0</v>
      </c>
      <c r="J1609" s="1">
        <v>45928.088446631948</v>
      </c>
      <c r="K1609" t="s">
        <v>956</v>
      </c>
      <c r="L1609">
        <f t="shared" si="25"/>
        <v>1608</v>
      </c>
      <c r="M1609">
        <f>COUNTIF($A$2:A1609,A1609)</f>
        <v>17</v>
      </c>
    </row>
    <row r="1610" spans="1:13" x14ac:dyDescent="0.3">
      <c r="A1610">
        <v>11028</v>
      </c>
      <c r="B1610" t="s">
        <v>912</v>
      </c>
      <c r="C1610" t="s">
        <v>924</v>
      </c>
      <c r="D1610" t="s">
        <v>924</v>
      </c>
      <c r="E1610">
        <v>30</v>
      </c>
      <c r="F1610">
        <v>30.77</v>
      </c>
      <c r="G1610">
        <v>69.23</v>
      </c>
      <c r="H1610">
        <v>0</v>
      </c>
      <c r="I1610">
        <v>0</v>
      </c>
      <c r="J1610" s="1">
        <v>45928.088466921297</v>
      </c>
      <c r="K1610" t="s">
        <v>956</v>
      </c>
      <c r="L1610">
        <f t="shared" si="25"/>
        <v>1609</v>
      </c>
      <c r="M1610">
        <f>COUNTIF($A$2:A1610,A1610)</f>
        <v>18</v>
      </c>
    </row>
    <row r="1611" spans="1:13" x14ac:dyDescent="0.3">
      <c r="A1611">
        <v>11028</v>
      </c>
      <c r="B1611" t="s">
        <v>912</v>
      </c>
      <c r="C1611" t="s">
        <v>922</v>
      </c>
      <c r="D1611" t="s">
        <v>923</v>
      </c>
      <c r="E1611">
        <v>13</v>
      </c>
      <c r="F1611">
        <v>46.15</v>
      </c>
      <c r="G1611">
        <v>53.85</v>
      </c>
      <c r="H1611">
        <v>0</v>
      </c>
      <c r="I1611">
        <v>0</v>
      </c>
      <c r="J1611" s="1">
        <v>45928.08848309028</v>
      </c>
      <c r="K1611" t="s">
        <v>956</v>
      </c>
      <c r="L1611">
        <f t="shared" si="25"/>
        <v>1610</v>
      </c>
      <c r="M1611">
        <f>COUNTIF($A$2:A1611,A1611)</f>
        <v>19</v>
      </c>
    </row>
    <row r="1612" spans="1:13" x14ac:dyDescent="0.3">
      <c r="A1612">
        <v>11028</v>
      </c>
      <c r="B1612" t="s">
        <v>912</v>
      </c>
      <c r="C1612" t="s">
        <v>653</v>
      </c>
      <c r="D1612" t="s">
        <v>654</v>
      </c>
      <c r="E1612">
        <v>6</v>
      </c>
      <c r="F1612">
        <v>84.62</v>
      </c>
      <c r="G1612">
        <v>15.38</v>
      </c>
      <c r="H1612">
        <v>0</v>
      </c>
      <c r="I1612">
        <v>0</v>
      </c>
      <c r="J1612" s="1">
        <v>45928.088525555555</v>
      </c>
      <c r="K1612" t="s">
        <v>956</v>
      </c>
      <c r="L1612">
        <f t="shared" si="25"/>
        <v>1611</v>
      </c>
      <c r="M1612">
        <f>COUNTIF($A$2:A1612,A1612)</f>
        <v>20</v>
      </c>
    </row>
    <row r="1613" spans="1:13" x14ac:dyDescent="0.3">
      <c r="A1613">
        <v>11028</v>
      </c>
      <c r="B1613" t="s">
        <v>912</v>
      </c>
      <c r="C1613" t="s">
        <v>920</v>
      </c>
      <c r="D1613" t="s">
        <v>921</v>
      </c>
      <c r="E1613">
        <v>10</v>
      </c>
      <c r="F1613">
        <v>76.92</v>
      </c>
      <c r="G1613">
        <v>23.08</v>
      </c>
      <c r="H1613">
        <v>0</v>
      </c>
      <c r="I1613">
        <v>0</v>
      </c>
      <c r="J1613" s="1">
        <v>45928.088546701387</v>
      </c>
      <c r="K1613" t="s">
        <v>956</v>
      </c>
      <c r="L1613">
        <f t="shared" si="25"/>
        <v>1612</v>
      </c>
      <c r="M1613">
        <f>COUNTIF($A$2:A1613,A1613)</f>
        <v>21</v>
      </c>
    </row>
    <row r="1614" spans="1:13" x14ac:dyDescent="0.3">
      <c r="A1614">
        <v>11028</v>
      </c>
      <c r="B1614" t="s">
        <v>912</v>
      </c>
      <c r="C1614" t="s">
        <v>918</v>
      </c>
      <c r="D1614" t="s">
        <v>919</v>
      </c>
      <c r="E1614">
        <v>15</v>
      </c>
      <c r="F1614">
        <v>61.54</v>
      </c>
      <c r="G1614">
        <v>38.46</v>
      </c>
      <c r="H1614">
        <v>0</v>
      </c>
      <c r="I1614">
        <v>0</v>
      </c>
      <c r="J1614" s="1">
        <v>45928.088567500003</v>
      </c>
      <c r="K1614" t="s">
        <v>956</v>
      </c>
      <c r="L1614">
        <f t="shared" si="25"/>
        <v>1613</v>
      </c>
      <c r="M1614">
        <f>COUNTIF($A$2:A1614,A1614)</f>
        <v>22</v>
      </c>
    </row>
    <row r="1615" spans="1:13" x14ac:dyDescent="0.3">
      <c r="A1615">
        <v>11028</v>
      </c>
      <c r="B1615" t="s">
        <v>912</v>
      </c>
      <c r="C1615" t="s">
        <v>470</v>
      </c>
      <c r="D1615" t="s">
        <v>471</v>
      </c>
      <c r="E1615">
        <v>18</v>
      </c>
      <c r="F1615">
        <v>53.85</v>
      </c>
      <c r="G1615">
        <v>46.15</v>
      </c>
      <c r="H1615">
        <v>0</v>
      </c>
      <c r="I1615">
        <v>0</v>
      </c>
      <c r="J1615" s="1">
        <v>45928.088586990743</v>
      </c>
      <c r="K1615" t="s">
        <v>956</v>
      </c>
      <c r="L1615">
        <f t="shared" si="25"/>
        <v>1614</v>
      </c>
      <c r="M1615">
        <f>COUNTIF($A$2:A1615,A1615)</f>
        <v>23</v>
      </c>
    </row>
    <row r="1616" spans="1:13" x14ac:dyDescent="0.3">
      <c r="A1616">
        <v>11028</v>
      </c>
      <c r="B1616" t="s">
        <v>912</v>
      </c>
      <c r="C1616" t="s">
        <v>916</v>
      </c>
      <c r="D1616" t="s">
        <v>917</v>
      </c>
      <c r="F1616">
        <v>7.69</v>
      </c>
      <c r="G1616">
        <v>92.31</v>
      </c>
      <c r="H1616">
        <v>0</v>
      </c>
      <c r="I1616">
        <v>0</v>
      </c>
      <c r="J1616" s="1">
        <v>45928.088609409722</v>
      </c>
      <c r="K1616" t="s">
        <v>956</v>
      </c>
      <c r="L1616">
        <f t="shared" si="25"/>
        <v>1615</v>
      </c>
      <c r="M1616">
        <f>COUNTIF($A$2:A1616,A1616)</f>
        <v>24</v>
      </c>
    </row>
    <row r="1617" spans="1:13" x14ac:dyDescent="0.3">
      <c r="A1617">
        <v>11028</v>
      </c>
      <c r="B1617" t="s">
        <v>912</v>
      </c>
      <c r="C1617" t="s">
        <v>914</v>
      </c>
      <c r="D1617" t="s">
        <v>915</v>
      </c>
      <c r="E1617">
        <v>29</v>
      </c>
      <c r="F1617">
        <v>7.69</v>
      </c>
      <c r="G1617">
        <v>92.31</v>
      </c>
      <c r="H1617">
        <v>0</v>
      </c>
      <c r="I1617">
        <v>0</v>
      </c>
      <c r="J1617" s="1">
        <v>45928.088631307874</v>
      </c>
      <c r="K1617" t="s">
        <v>956</v>
      </c>
      <c r="L1617">
        <f t="shared" si="25"/>
        <v>1616</v>
      </c>
      <c r="M1617">
        <f>COUNTIF($A$2:A1617,A1617)</f>
        <v>25</v>
      </c>
    </row>
    <row r="1618" spans="1:13" x14ac:dyDescent="0.3">
      <c r="A1618">
        <v>11028</v>
      </c>
      <c r="B1618" t="s">
        <v>912</v>
      </c>
      <c r="C1618" t="s">
        <v>468</v>
      </c>
      <c r="D1618" t="s">
        <v>469</v>
      </c>
      <c r="E1618">
        <v>10</v>
      </c>
      <c r="F1618">
        <v>69.23</v>
      </c>
      <c r="G1618">
        <v>30.77</v>
      </c>
      <c r="H1618">
        <v>0</v>
      </c>
      <c r="I1618">
        <v>0</v>
      </c>
      <c r="J1618" s="1">
        <v>45928.088671967591</v>
      </c>
      <c r="K1618" t="s">
        <v>956</v>
      </c>
      <c r="L1618">
        <f t="shared" si="25"/>
        <v>1617</v>
      </c>
      <c r="M1618">
        <f>COUNTIF($A$2:A1618,A1618)</f>
        <v>26</v>
      </c>
    </row>
    <row r="1619" spans="1:13" x14ac:dyDescent="0.3">
      <c r="A1619">
        <v>11028</v>
      </c>
      <c r="B1619" t="s">
        <v>912</v>
      </c>
      <c r="C1619" t="s">
        <v>386</v>
      </c>
      <c r="D1619" t="s">
        <v>387</v>
      </c>
      <c r="E1619">
        <v>29</v>
      </c>
      <c r="F1619">
        <v>23.08</v>
      </c>
      <c r="G1619">
        <v>76.92</v>
      </c>
      <c r="H1619">
        <v>0</v>
      </c>
      <c r="I1619">
        <v>0</v>
      </c>
      <c r="J1619" s="1">
        <v>45928.088691886573</v>
      </c>
      <c r="K1619" t="s">
        <v>956</v>
      </c>
      <c r="L1619">
        <f t="shared" si="25"/>
        <v>1618</v>
      </c>
      <c r="M1619">
        <f>COUNTIF($A$2:A1619,A1619)</f>
        <v>27</v>
      </c>
    </row>
    <row r="1620" spans="1:13" x14ac:dyDescent="0.3">
      <c r="A1620">
        <v>11028</v>
      </c>
      <c r="B1620" t="s">
        <v>912</v>
      </c>
      <c r="C1620" t="s">
        <v>384</v>
      </c>
      <c r="D1620" t="s">
        <v>385</v>
      </c>
      <c r="E1620">
        <v>29</v>
      </c>
      <c r="F1620">
        <v>15.38</v>
      </c>
      <c r="G1620">
        <v>84.62</v>
      </c>
      <c r="H1620">
        <v>0</v>
      </c>
      <c r="I1620">
        <v>0</v>
      </c>
      <c r="J1620" s="1">
        <v>45928.088712037039</v>
      </c>
      <c r="K1620" t="s">
        <v>956</v>
      </c>
      <c r="L1620">
        <f t="shared" si="25"/>
        <v>1619</v>
      </c>
      <c r="M1620">
        <f>COUNTIF($A$2:A1620,A1620)</f>
        <v>28</v>
      </c>
    </row>
    <row r="1621" spans="1:13" x14ac:dyDescent="0.3">
      <c r="A1621">
        <v>11028</v>
      </c>
      <c r="B1621" t="s">
        <v>912</v>
      </c>
      <c r="C1621" t="s">
        <v>382</v>
      </c>
      <c r="D1621" t="s">
        <v>383</v>
      </c>
      <c r="E1621">
        <v>15</v>
      </c>
      <c r="F1621">
        <v>69.23</v>
      </c>
      <c r="G1621">
        <v>30.77</v>
      </c>
      <c r="H1621">
        <v>0</v>
      </c>
      <c r="I1621">
        <v>0</v>
      </c>
      <c r="J1621" s="1">
        <v>45928.088755555553</v>
      </c>
      <c r="K1621" t="s">
        <v>956</v>
      </c>
      <c r="L1621">
        <f t="shared" si="25"/>
        <v>1620</v>
      </c>
      <c r="M1621">
        <f>COUNTIF($A$2:A1621,A1621)</f>
        <v>29</v>
      </c>
    </row>
    <row r="1622" spans="1:13" x14ac:dyDescent="0.3">
      <c r="A1622">
        <v>12367</v>
      </c>
      <c r="B1622" t="s">
        <v>957</v>
      </c>
      <c r="C1622" t="s">
        <v>958</v>
      </c>
      <c r="D1622" t="s">
        <v>959</v>
      </c>
      <c r="E1622">
        <v>8</v>
      </c>
      <c r="F1622">
        <v>93.42</v>
      </c>
      <c r="G1622">
        <v>0.55000000000000004</v>
      </c>
      <c r="H1622">
        <v>1.64</v>
      </c>
      <c r="I1622">
        <v>4.3899999999999997</v>
      </c>
      <c r="J1622" s="1">
        <v>45928.088810543981</v>
      </c>
      <c r="K1622" t="s">
        <v>960</v>
      </c>
      <c r="L1622">
        <f t="shared" si="25"/>
        <v>1621</v>
      </c>
      <c r="M1622">
        <f>COUNTIF($A$2:A1622,A1622)</f>
        <v>1</v>
      </c>
    </row>
    <row r="1623" spans="1:13" x14ac:dyDescent="0.3">
      <c r="A1623">
        <v>12367</v>
      </c>
      <c r="B1623" t="s">
        <v>957</v>
      </c>
      <c r="C1623" t="s">
        <v>961</v>
      </c>
      <c r="D1623" t="s">
        <v>962</v>
      </c>
      <c r="E1623">
        <v>12</v>
      </c>
      <c r="F1623">
        <v>81.64</v>
      </c>
      <c r="G1623">
        <v>11.78</v>
      </c>
      <c r="H1623">
        <v>1.37</v>
      </c>
      <c r="I1623">
        <v>5.21</v>
      </c>
      <c r="J1623" s="1">
        <v>45928.088826817133</v>
      </c>
      <c r="K1623" t="s">
        <v>960</v>
      </c>
      <c r="L1623">
        <f t="shared" si="25"/>
        <v>1622</v>
      </c>
      <c r="M1623">
        <f>COUNTIF($A$2:A1623,A1623)</f>
        <v>2</v>
      </c>
    </row>
    <row r="1624" spans="1:13" x14ac:dyDescent="0.3">
      <c r="A1624">
        <v>12367</v>
      </c>
      <c r="B1624" t="s">
        <v>957</v>
      </c>
      <c r="C1624" t="s">
        <v>963</v>
      </c>
      <c r="D1624" t="s">
        <v>964</v>
      </c>
      <c r="E1624">
        <v>11</v>
      </c>
      <c r="F1624">
        <v>85.75</v>
      </c>
      <c r="G1624">
        <v>7.67</v>
      </c>
      <c r="H1624">
        <v>1.37</v>
      </c>
      <c r="I1624">
        <v>5.21</v>
      </c>
      <c r="J1624" s="1">
        <v>45928.088846736115</v>
      </c>
      <c r="K1624" t="s">
        <v>960</v>
      </c>
      <c r="L1624">
        <f t="shared" si="25"/>
        <v>1623</v>
      </c>
      <c r="M1624">
        <f>COUNTIF($A$2:A1624,A1624)</f>
        <v>3</v>
      </c>
    </row>
    <row r="1625" spans="1:13" x14ac:dyDescent="0.3">
      <c r="A1625">
        <v>12367</v>
      </c>
      <c r="B1625" t="s">
        <v>957</v>
      </c>
      <c r="C1625" t="s">
        <v>965</v>
      </c>
      <c r="D1625" t="s">
        <v>966</v>
      </c>
      <c r="E1625">
        <v>16</v>
      </c>
      <c r="F1625">
        <v>65.209999999999994</v>
      </c>
      <c r="G1625">
        <v>28.22</v>
      </c>
      <c r="H1625">
        <v>1.37</v>
      </c>
      <c r="I1625">
        <v>5.2</v>
      </c>
      <c r="J1625" s="1">
        <v>45928.08886434028</v>
      </c>
      <c r="K1625" t="s">
        <v>960</v>
      </c>
      <c r="L1625">
        <f t="shared" si="25"/>
        <v>1624</v>
      </c>
      <c r="M1625">
        <f>COUNTIF($A$2:A1625,A1625)</f>
        <v>4</v>
      </c>
    </row>
    <row r="1626" spans="1:13" x14ac:dyDescent="0.3">
      <c r="A1626">
        <v>12367</v>
      </c>
      <c r="B1626" t="s">
        <v>957</v>
      </c>
      <c r="C1626" t="s">
        <v>967</v>
      </c>
      <c r="D1626" t="s">
        <v>968</v>
      </c>
      <c r="E1626">
        <v>18</v>
      </c>
      <c r="F1626">
        <v>48.49</v>
      </c>
      <c r="G1626">
        <v>44.93</v>
      </c>
      <c r="H1626">
        <v>1.37</v>
      </c>
      <c r="I1626">
        <v>5.21</v>
      </c>
      <c r="J1626" s="1">
        <v>45928.088884548612</v>
      </c>
      <c r="K1626" t="s">
        <v>960</v>
      </c>
      <c r="L1626">
        <f t="shared" si="25"/>
        <v>1625</v>
      </c>
      <c r="M1626">
        <f>COUNTIF($A$2:A1626,A1626)</f>
        <v>5</v>
      </c>
    </row>
    <row r="1627" spans="1:13" x14ac:dyDescent="0.3">
      <c r="A1627">
        <v>12367</v>
      </c>
      <c r="B1627" t="s">
        <v>957</v>
      </c>
      <c r="C1627" t="s">
        <v>969</v>
      </c>
      <c r="D1627" t="s">
        <v>970</v>
      </c>
      <c r="E1627">
        <v>18</v>
      </c>
      <c r="F1627">
        <v>52.6</v>
      </c>
      <c r="G1627">
        <v>40.82</v>
      </c>
      <c r="H1627">
        <v>1.37</v>
      </c>
      <c r="I1627">
        <v>5.21</v>
      </c>
      <c r="J1627" s="1">
        <v>45928.088905092591</v>
      </c>
      <c r="K1627" t="s">
        <v>960</v>
      </c>
      <c r="L1627">
        <f t="shared" si="25"/>
        <v>1626</v>
      </c>
      <c r="M1627">
        <f>COUNTIF($A$2:A1627,A1627)</f>
        <v>6</v>
      </c>
    </row>
    <row r="1628" spans="1:13" x14ac:dyDescent="0.3">
      <c r="A1628">
        <v>12367</v>
      </c>
      <c r="B1628" t="s">
        <v>957</v>
      </c>
      <c r="C1628" t="s">
        <v>971</v>
      </c>
      <c r="D1628" t="s">
        <v>972</v>
      </c>
      <c r="E1628">
        <v>20</v>
      </c>
      <c r="F1628">
        <v>44.66</v>
      </c>
      <c r="G1628">
        <v>48.77</v>
      </c>
      <c r="H1628">
        <v>1.37</v>
      </c>
      <c r="I1628">
        <v>5.2</v>
      </c>
      <c r="J1628" s="1">
        <v>45928.088924826392</v>
      </c>
      <c r="K1628" t="s">
        <v>960</v>
      </c>
      <c r="L1628">
        <f t="shared" si="25"/>
        <v>1627</v>
      </c>
      <c r="M1628">
        <f>COUNTIF($A$2:A1628,A1628)</f>
        <v>7</v>
      </c>
    </row>
    <row r="1629" spans="1:13" x14ac:dyDescent="0.3">
      <c r="A1629">
        <v>12367</v>
      </c>
      <c r="B1629" t="s">
        <v>957</v>
      </c>
      <c r="C1629" t="s">
        <v>778</v>
      </c>
      <c r="D1629" t="s">
        <v>779</v>
      </c>
      <c r="E1629">
        <v>14</v>
      </c>
      <c r="F1629">
        <v>79.180000000000007</v>
      </c>
      <c r="G1629">
        <v>13.97</v>
      </c>
      <c r="H1629">
        <v>2.4700000000000002</v>
      </c>
      <c r="I1629">
        <v>4.38</v>
      </c>
      <c r="J1629" s="1">
        <v>45928.088944768519</v>
      </c>
      <c r="K1629" t="s">
        <v>960</v>
      </c>
      <c r="L1629">
        <f t="shared" si="25"/>
        <v>1628</v>
      </c>
      <c r="M1629">
        <f>COUNTIF($A$2:A1629,A1629)</f>
        <v>8</v>
      </c>
    </row>
    <row r="1630" spans="1:13" x14ac:dyDescent="0.3">
      <c r="A1630">
        <v>12367</v>
      </c>
      <c r="B1630" t="s">
        <v>957</v>
      </c>
      <c r="C1630" t="s">
        <v>973</v>
      </c>
      <c r="D1630" t="s">
        <v>974</v>
      </c>
      <c r="F1630">
        <v>74.52</v>
      </c>
      <c r="G1630">
        <v>18.899999999999999</v>
      </c>
      <c r="H1630">
        <v>2.19</v>
      </c>
      <c r="I1630">
        <v>4.38</v>
      </c>
      <c r="J1630" s="1">
        <v>45928.088978495369</v>
      </c>
      <c r="K1630" t="s">
        <v>960</v>
      </c>
      <c r="L1630">
        <f t="shared" si="25"/>
        <v>1629</v>
      </c>
      <c r="M1630">
        <f>COUNTIF($A$2:A1630,A1630)</f>
        <v>9</v>
      </c>
    </row>
    <row r="1631" spans="1:13" x14ac:dyDescent="0.3">
      <c r="A1631">
        <v>12367</v>
      </c>
      <c r="B1631" t="s">
        <v>957</v>
      </c>
      <c r="C1631" t="s">
        <v>975</v>
      </c>
      <c r="D1631" t="s">
        <v>976</v>
      </c>
      <c r="E1631">
        <v>21</v>
      </c>
      <c r="F1631">
        <v>59.73</v>
      </c>
      <c r="G1631">
        <v>33.15</v>
      </c>
      <c r="H1631">
        <v>2.74</v>
      </c>
      <c r="I1631">
        <v>4.38</v>
      </c>
      <c r="J1631" s="1">
        <v>45928.088999409723</v>
      </c>
      <c r="K1631" t="s">
        <v>960</v>
      </c>
      <c r="L1631">
        <f t="shared" si="25"/>
        <v>1630</v>
      </c>
      <c r="M1631">
        <f>COUNTIF($A$2:A1631,A1631)</f>
        <v>10</v>
      </c>
    </row>
    <row r="1632" spans="1:13" x14ac:dyDescent="0.3">
      <c r="A1632">
        <v>12367</v>
      </c>
      <c r="B1632" t="s">
        <v>957</v>
      </c>
      <c r="C1632" t="s">
        <v>977</v>
      </c>
      <c r="D1632" t="s">
        <v>978</v>
      </c>
      <c r="E1632">
        <v>24</v>
      </c>
      <c r="F1632">
        <v>43.84</v>
      </c>
      <c r="G1632">
        <v>48.77</v>
      </c>
      <c r="H1632">
        <v>3.01</v>
      </c>
      <c r="I1632">
        <v>4.38</v>
      </c>
      <c r="J1632" s="1">
        <v>45928.089021493055</v>
      </c>
      <c r="K1632" t="s">
        <v>960</v>
      </c>
      <c r="L1632">
        <f t="shared" si="25"/>
        <v>1631</v>
      </c>
      <c r="M1632">
        <f>COUNTIF($A$2:A1632,A1632)</f>
        <v>11</v>
      </c>
    </row>
    <row r="1633" spans="1:13" x14ac:dyDescent="0.3">
      <c r="A1633">
        <v>12367</v>
      </c>
      <c r="B1633" t="s">
        <v>957</v>
      </c>
      <c r="C1633" t="s">
        <v>780</v>
      </c>
      <c r="D1633" t="s">
        <v>781</v>
      </c>
      <c r="E1633">
        <v>30</v>
      </c>
      <c r="F1633">
        <v>21.92</v>
      </c>
      <c r="G1633">
        <v>69.86</v>
      </c>
      <c r="H1633">
        <v>3.84</v>
      </c>
      <c r="I1633">
        <v>4.38</v>
      </c>
      <c r="J1633" s="1">
        <v>45928.089041678242</v>
      </c>
      <c r="K1633" t="s">
        <v>960</v>
      </c>
      <c r="L1633">
        <f t="shared" si="25"/>
        <v>1632</v>
      </c>
      <c r="M1633">
        <f>COUNTIF($A$2:A1633,A1633)</f>
        <v>12</v>
      </c>
    </row>
    <row r="1634" spans="1:13" x14ac:dyDescent="0.3">
      <c r="A1634">
        <v>12367</v>
      </c>
      <c r="B1634" t="s">
        <v>957</v>
      </c>
      <c r="C1634" t="s">
        <v>979</v>
      </c>
      <c r="D1634" t="s">
        <v>979</v>
      </c>
      <c r="E1634">
        <v>38</v>
      </c>
      <c r="F1634">
        <v>7.4</v>
      </c>
      <c r="G1634">
        <v>83.29</v>
      </c>
      <c r="H1634">
        <v>4.93</v>
      </c>
      <c r="I1634">
        <v>4.38</v>
      </c>
      <c r="J1634" s="1">
        <v>45928.089061585648</v>
      </c>
      <c r="K1634" t="s">
        <v>960</v>
      </c>
      <c r="L1634">
        <f t="shared" si="25"/>
        <v>1633</v>
      </c>
      <c r="M1634">
        <f>COUNTIF($A$2:A1634,A1634)</f>
        <v>13</v>
      </c>
    </row>
    <row r="1635" spans="1:13" x14ac:dyDescent="0.3">
      <c r="A1635">
        <v>12367</v>
      </c>
      <c r="B1635" t="s">
        <v>957</v>
      </c>
      <c r="C1635" t="s">
        <v>980</v>
      </c>
      <c r="D1635" t="s">
        <v>981</v>
      </c>
      <c r="E1635">
        <v>41</v>
      </c>
      <c r="F1635">
        <v>6.85</v>
      </c>
      <c r="G1635">
        <v>81.37</v>
      </c>
      <c r="H1635">
        <v>7.4</v>
      </c>
      <c r="I1635">
        <v>4.38</v>
      </c>
      <c r="J1635" s="1">
        <v>45928.089080578706</v>
      </c>
      <c r="K1635" t="s">
        <v>960</v>
      </c>
      <c r="L1635">
        <f t="shared" si="25"/>
        <v>1634</v>
      </c>
      <c r="M1635">
        <f>COUNTIF($A$2:A1635,A1635)</f>
        <v>14</v>
      </c>
    </row>
    <row r="1636" spans="1:13" x14ac:dyDescent="0.3">
      <c r="A1636">
        <v>12367</v>
      </c>
      <c r="B1636" t="s">
        <v>957</v>
      </c>
      <c r="C1636" t="s">
        <v>982</v>
      </c>
      <c r="D1636" t="s">
        <v>983</v>
      </c>
      <c r="F1636">
        <v>3.29</v>
      </c>
      <c r="G1636">
        <v>81.92</v>
      </c>
      <c r="H1636">
        <v>10.41</v>
      </c>
      <c r="I1636">
        <v>4.38</v>
      </c>
      <c r="J1636" s="1">
        <v>45928.089111678244</v>
      </c>
      <c r="K1636" t="s">
        <v>960</v>
      </c>
      <c r="L1636">
        <f t="shared" si="25"/>
        <v>1635</v>
      </c>
      <c r="M1636">
        <f>COUNTIF($A$2:A1636,A1636)</f>
        <v>15</v>
      </c>
    </row>
    <row r="1637" spans="1:13" x14ac:dyDescent="0.3">
      <c r="A1637">
        <v>12367</v>
      </c>
      <c r="B1637" t="s">
        <v>957</v>
      </c>
      <c r="C1637" t="s">
        <v>984</v>
      </c>
      <c r="D1637" t="s">
        <v>985</v>
      </c>
      <c r="E1637">
        <v>48</v>
      </c>
      <c r="F1637">
        <v>2.4700000000000002</v>
      </c>
      <c r="G1637">
        <v>79.180000000000007</v>
      </c>
      <c r="H1637">
        <v>13.97</v>
      </c>
      <c r="I1637">
        <v>4.38</v>
      </c>
      <c r="J1637" s="1">
        <v>45928.08912877315</v>
      </c>
      <c r="K1637" t="s">
        <v>960</v>
      </c>
      <c r="L1637">
        <f t="shared" si="25"/>
        <v>1636</v>
      </c>
      <c r="M1637">
        <f>COUNTIF($A$2:A1637,A1637)</f>
        <v>16</v>
      </c>
    </row>
    <row r="1638" spans="1:13" x14ac:dyDescent="0.3">
      <c r="A1638">
        <v>12367</v>
      </c>
      <c r="B1638" t="s">
        <v>957</v>
      </c>
      <c r="C1638" t="s">
        <v>986</v>
      </c>
      <c r="D1638" t="s">
        <v>987</v>
      </c>
      <c r="E1638">
        <v>48</v>
      </c>
      <c r="F1638">
        <v>3.29</v>
      </c>
      <c r="G1638">
        <v>76.989999999999995</v>
      </c>
      <c r="H1638">
        <v>15.34</v>
      </c>
      <c r="I1638">
        <v>4.38</v>
      </c>
      <c r="J1638" s="1">
        <v>45928.089145011574</v>
      </c>
      <c r="K1638" t="s">
        <v>960</v>
      </c>
      <c r="L1638">
        <f t="shared" si="25"/>
        <v>1637</v>
      </c>
      <c r="M1638">
        <f>COUNTIF($A$2:A1638,A1638)</f>
        <v>17</v>
      </c>
    </row>
    <row r="1639" spans="1:13" x14ac:dyDescent="0.3">
      <c r="A1639">
        <v>12367</v>
      </c>
      <c r="B1639" t="s">
        <v>957</v>
      </c>
      <c r="C1639" t="s">
        <v>782</v>
      </c>
      <c r="D1639" t="s">
        <v>783</v>
      </c>
      <c r="E1639">
        <v>38</v>
      </c>
      <c r="F1639">
        <v>18.079999999999998</v>
      </c>
      <c r="G1639">
        <v>67.95</v>
      </c>
      <c r="H1639">
        <v>9.59</v>
      </c>
      <c r="I1639">
        <v>4.38</v>
      </c>
      <c r="J1639" s="1">
        <v>45928.089160636577</v>
      </c>
      <c r="K1639" t="s">
        <v>960</v>
      </c>
      <c r="L1639">
        <f t="shared" si="25"/>
        <v>1638</v>
      </c>
      <c r="M1639">
        <f>COUNTIF($A$2:A1639,A1639)</f>
        <v>18</v>
      </c>
    </row>
    <row r="1640" spans="1:13" x14ac:dyDescent="0.3">
      <c r="A1640">
        <v>12367</v>
      </c>
      <c r="B1640" t="s">
        <v>957</v>
      </c>
      <c r="C1640" t="s">
        <v>230</v>
      </c>
      <c r="D1640" t="s">
        <v>230</v>
      </c>
      <c r="E1640">
        <v>55</v>
      </c>
      <c r="F1640">
        <v>4.1100000000000003</v>
      </c>
      <c r="G1640">
        <v>68.489999999999995</v>
      </c>
      <c r="H1640">
        <v>23.01</v>
      </c>
      <c r="I1640">
        <v>4.3899999999999997</v>
      </c>
      <c r="J1640" s="1">
        <v>45928.089180694442</v>
      </c>
      <c r="K1640" t="s">
        <v>960</v>
      </c>
      <c r="L1640">
        <f t="shared" si="25"/>
        <v>1639</v>
      </c>
      <c r="M1640">
        <f>COUNTIF($A$2:A1640,A1640)</f>
        <v>19</v>
      </c>
    </row>
    <row r="1641" spans="1:13" x14ac:dyDescent="0.3">
      <c r="A1641">
        <v>12367</v>
      </c>
      <c r="B1641" t="s">
        <v>957</v>
      </c>
      <c r="C1641" t="s">
        <v>228</v>
      </c>
      <c r="D1641" t="s">
        <v>229</v>
      </c>
      <c r="E1641">
        <v>65</v>
      </c>
      <c r="F1641">
        <v>2.74</v>
      </c>
      <c r="G1641">
        <v>59.73</v>
      </c>
      <c r="H1641">
        <v>33.15</v>
      </c>
      <c r="I1641">
        <v>4.38</v>
      </c>
      <c r="J1641" s="1">
        <v>45928.08919953704</v>
      </c>
      <c r="K1641" t="s">
        <v>960</v>
      </c>
      <c r="L1641">
        <f t="shared" si="25"/>
        <v>1640</v>
      </c>
      <c r="M1641">
        <f>COUNTIF($A$2:A1641,A1641)</f>
        <v>20</v>
      </c>
    </row>
    <row r="1642" spans="1:13" x14ac:dyDescent="0.3">
      <c r="A1642">
        <v>12367</v>
      </c>
      <c r="B1642" t="s">
        <v>957</v>
      </c>
      <c r="C1642" t="s">
        <v>224</v>
      </c>
      <c r="D1642" t="s">
        <v>225</v>
      </c>
      <c r="F1642">
        <v>54.52</v>
      </c>
      <c r="G1642">
        <v>25.21</v>
      </c>
      <c r="H1642">
        <v>15.89</v>
      </c>
      <c r="I1642">
        <v>4.38</v>
      </c>
      <c r="J1642" s="1">
        <v>45928.089232071761</v>
      </c>
      <c r="K1642" t="s">
        <v>960</v>
      </c>
      <c r="L1642">
        <f t="shared" si="25"/>
        <v>1641</v>
      </c>
      <c r="M1642">
        <f>COUNTIF($A$2:A1642,A1642)</f>
        <v>21</v>
      </c>
    </row>
    <row r="1643" spans="1:13" x14ac:dyDescent="0.3">
      <c r="A1643">
        <v>12367</v>
      </c>
      <c r="B1643" t="s">
        <v>957</v>
      </c>
      <c r="C1643" t="s">
        <v>784</v>
      </c>
      <c r="D1643" t="s">
        <v>785</v>
      </c>
      <c r="E1643">
        <v>101</v>
      </c>
      <c r="F1643">
        <v>2.19</v>
      </c>
      <c r="G1643">
        <v>3.01</v>
      </c>
      <c r="H1643">
        <v>5.21</v>
      </c>
      <c r="I1643">
        <v>89.59</v>
      </c>
      <c r="J1643" s="1">
        <v>45928.089252777776</v>
      </c>
      <c r="K1643" t="s">
        <v>960</v>
      </c>
      <c r="L1643">
        <f t="shared" si="25"/>
        <v>1642</v>
      </c>
      <c r="M1643">
        <f>COUNTIF($A$2:A1643,A1643)</f>
        <v>22</v>
      </c>
    </row>
    <row r="1644" spans="1:13" x14ac:dyDescent="0.3">
      <c r="A1644">
        <v>12367</v>
      </c>
      <c r="B1644" t="s">
        <v>957</v>
      </c>
      <c r="C1644" t="s">
        <v>786</v>
      </c>
      <c r="D1644" t="s">
        <v>787</v>
      </c>
      <c r="E1644">
        <v>53</v>
      </c>
      <c r="F1644">
        <v>28.77</v>
      </c>
      <c r="G1644">
        <v>45.75</v>
      </c>
      <c r="H1644">
        <v>21.1</v>
      </c>
      <c r="I1644">
        <v>4.38</v>
      </c>
      <c r="J1644" s="1">
        <v>45928.089267881944</v>
      </c>
      <c r="K1644" t="s">
        <v>960</v>
      </c>
      <c r="L1644">
        <f t="shared" si="25"/>
        <v>1643</v>
      </c>
      <c r="M1644">
        <f>COUNTIF($A$2:A1644,A1644)</f>
        <v>23</v>
      </c>
    </row>
    <row r="1645" spans="1:13" x14ac:dyDescent="0.3">
      <c r="A1645">
        <v>12367</v>
      </c>
      <c r="B1645" t="s">
        <v>957</v>
      </c>
      <c r="C1645" t="s">
        <v>788</v>
      </c>
      <c r="D1645" t="s">
        <v>789</v>
      </c>
      <c r="E1645">
        <v>37</v>
      </c>
      <c r="F1645">
        <v>71.510000000000005</v>
      </c>
      <c r="G1645">
        <v>6.85</v>
      </c>
      <c r="H1645">
        <v>17.260000000000002</v>
      </c>
      <c r="I1645">
        <v>4.38</v>
      </c>
      <c r="J1645" s="1">
        <v>45928.089284652779</v>
      </c>
      <c r="K1645" t="s">
        <v>960</v>
      </c>
      <c r="L1645">
        <f t="shared" si="25"/>
        <v>1644</v>
      </c>
      <c r="M1645">
        <f>COUNTIF($A$2:A1645,A1645)</f>
        <v>24</v>
      </c>
    </row>
    <row r="1646" spans="1:13" x14ac:dyDescent="0.3">
      <c r="A1646">
        <v>12368</v>
      </c>
      <c r="B1646" t="s">
        <v>957</v>
      </c>
      <c r="C1646" t="s">
        <v>788</v>
      </c>
      <c r="D1646" t="s">
        <v>789</v>
      </c>
      <c r="F1646">
        <v>100</v>
      </c>
      <c r="G1646">
        <v>0</v>
      </c>
      <c r="H1646">
        <v>0</v>
      </c>
      <c r="I1646">
        <v>0</v>
      </c>
      <c r="J1646" s="1">
        <v>45928.089347893518</v>
      </c>
      <c r="K1646" t="s">
        <v>988</v>
      </c>
      <c r="L1646">
        <f t="shared" si="25"/>
        <v>1645</v>
      </c>
      <c r="M1646">
        <f>COUNTIF($A$2:A1646,A1646)</f>
        <v>1</v>
      </c>
    </row>
    <row r="1647" spans="1:13" x14ac:dyDescent="0.3">
      <c r="A1647">
        <v>12368</v>
      </c>
      <c r="B1647" t="s">
        <v>957</v>
      </c>
      <c r="C1647" t="s">
        <v>786</v>
      </c>
      <c r="D1647" t="s">
        <v>787</v>
      </c>
      <c r="F1647">
        <v>16.670000000000002</v>
      </c>
      <c r="G1647">
        <v>60</v>
      </c>
      <c r="H1647">
        <v>23.33</v>
      </c>
      <c r="I1647">
        <v>0</v>
      </c>
      <c r="J1647" s="1">
        <v>45928.089371678238</v>
      </c>
      <c r="K1647" t="s">
        <v>988</v>
      </c>
      <c r="L1647">
        <f t="shared" si="25"/>
        <v>1646</v>
      </c>
      <c r="M1647">
        <f>COUNTIF($A$2:A1647,A1647)</f>
        <v>2</v>
      </c>
    </row>
    <row r="1648" spans="1:13" x14ac:dyDescent="0.3">
      <c r="A1648">
        <v>12368</v>
      </c>
      <c r="B1648" t="s">
        <v>957</v>
      </c>
      <c r="C1648" t="s">
        <v>224</v>
      </c>
      <c r="D1648" t="s">
        <v>225</v>
      </c>
      <c r="F1648">
        <v>63.33</v>
      </c>
      <c r="G1648">
        <v>23.33</v>
      </c>
      <c r="H1648">
        <v>13.33</v>
      </c>
      <c r="I1648">
        <v>0</v>
      </c>
      <c r="J1648" s="1">
        <v>45928.089396597221</v>
      </c>
      <c r="K1648" t="s">
        <v>988</v>
      </c>
      <c r="L1648">
        <f t="shared" si="25"/>
        <v>1647</v>
      </c>
      <c r="M1648">
        <f>COUNTIF($A$2:A1648,A1648)</f>
        <v>3</v>
      </c>
    </row>
    <row r="1649" spans="1:13" x14ac:dyDescent="0.3">
      <c r="A1649">
        <v>12368</v>
      </c>
      <c r="B1649" t="s">
        <v>957</v>
      </c>
      <c r="C1649" t="s">
        <v>228</v>
      </c>
      <c r="D1649" t="s">
        <v>229</v>
      </c>
      <c r="E1649">
        <v>30</v>
      </c>
      <c r="F1649">
        <v>56.67</v>
      </c>
      <c r="G1649">
        <v>23.33</v>
      </c>
      <c r="H1649">
        <v>20</v>
      </c>
      <c r="I1649">
        <v>0</v>
      </c>
      <c r="J1649" s="1">
        <v>45928.089412766203</v>
      </c>
      <c r="K1649" t="s">
        <v>988</v>
      </c>
      <c r="L1649">
        <f t="shared" si="25"/>
        <v>1648</v>
      </c>
      <c r="M1649">
        <f>COUNTIF($A$2:A1649,A1649)</f>
        <v>4</v>
      </c>
    </row>
    <row r="1650" spans="1:13" x14ac:dyDescent="0.3">
      <c r="A1650">
        <v>12368</v>
      </c>
      <c r="B1650" t="s">
        <v>957</v>
      </c>
      <c r="C1650" t="s">
        <v>230</v>
      </c>
      <c r="D1650" t="s">
        <v>230</v>
      </c>
      <c r="E1650">
        <v>35</v>
      </c>
      <c r="F1650">
        <v>46.67</v>
      </c>
      <c r="G1650">
        <v>33.33</v>
      </c>
      <c r="H1650">
        <v>20</v>
      </c>
      <c r="I1650">
        <v>0</v>
      </c>
      <c r="J1650" s="1">
        <v>45928.089431701388</v>
      </c>
      <c r="K1650" t="s">
        <v>988</v>
      </c>
      <c r="L1650">
        <f t="shared" si="25"/>
        <v>1649</v>
      </c>
      <c r="M1650">
        <f>COUNTIF($A$2:A1650,A1650)</f>
        <v>5</v>
      </c>
    </row>
    <row r="1651" spans="1:13" x14ac:dyDescent="0.3">
      <c r="A1651">
        <v>12368</v>
      </c>
      <c r="B1651" t="s">
        <v>957</v>
      </c>
      <c r="C1651" t="s">
        <v>782</v>
      </c>
      <c r="D1651" t="s">
        <v>783</v>
      </c>
      <c r="E1651">
        <v>54</v>
      </c>
      <c r="F1651">
        <v>10</v>
      </c>
      <c r="G1651">
        <v>63.33</v>
      </c>
      <c r="H1651">
        <v>26.67</v>
      </c>
      <c r="I1651">
        <v>0</v>
      </c>
      <c r="J1651" s="1">
        <v>45928.089451701388</v>
      </c>
      <c r="K1651" t="s">
        <v>988</v>
      </c>
      <c r="L1651">
        <f t="shared" si="25"/>
        <v>1650</v>
      </c>
      <c r="M1651">
        <f>COUNTIF($A$2:A1651,A1651)</f>
        <v>6</v>
      </c>
    </row>
    <row r="1652" spans="1:13" x14ac:dyDescent="0.3">
      <c r="A1652">
        <v>12368</v>
      </c>
      <c r="B1652" t="s">
        <v>957</v>
      </c>
      <c r="C1652" t="s">
        <v>986</v>
      </c>
      <c r="D1652" t="s">
        <v>987</v>
      </c>
      <c r="E1652">
        <v>56</v>
      </c>
      <c r="F1652">
        <v>10</v>
      </c>
      <c r="G1652">
        <v>63.33</v>
      </c>
      <c r="H1652">
        <v>26.67</v>
      </c>
      <c r="I1652">
        <v>0</v>
      </c>
      <c r="J1652" s="1">
        <v>45928.089473032407</v>
      </c>
      <c r="K1652" t="s">
        <v>988</v>
      </c>
      <c r="L1652">
        <f t="shared" si="25"/>
        <v>1651</v>
      </c>
      <c r="M1652">
        <f>COUNTIF($A$2:A1652,A1652)</f>
        <v>7</v>
      </c>
    </row>
    <row r="1653" spans="1:13" x14ac:dyDescent="0.3">
      <c r="A1653">
        <v>12368</v>
      </c>
      <c r="B1653" t="s">
        <v>957</v>
      </c>
      <c r="C1653" t="s">
        <v>984</v>
      </c>
      <c r="D1653" t="s">
        <v>985</v>
      </c>
      <c r="E1653">
        <v>63</v>
      </c>
      <c r="F1653">
        <v>0</v>
      </c>
      <c r="G1653">
        <v>66.67</v>
      </c>
      <c r="H1653">
        <v>33.33</v>
      </c>
      <c r="I1653">
        <v>0</v>
      </c>
      <c r="J1653" s="1">
        <v>45928.089494027779</v>
      </c>
      <c r="K1653" t="s">
        <v>988</v>
      </c>
      <c r="L1653">
        <f t="shared" si="25"/>
        <v>1652</v>
      </c>
      <c r="M1653">
        <f>COUNTIF($A$2:A1653,A1653)</f>
        <v>8</v>
      </c>
    </row>
    <row r="1654" spans="1:13" x14ac:dyDescent="0.3">
      <c r="A1654">
        <v>12368</v>
      </c>
      <c r="B1654" t="s">
        <v>957</v>
      </c>
      <c r="C1654" t="s">
        <v>982</v>
      </c>
      <c r="D1654" t="s">
        <v>983</v>
      </c>
      <c r="E1654">
        <v>64</v>
      </c>
      <c r="F1654">
        <v>0</v>
      </c>
      <c r="G1654">
        <v>70</v>
      </c>
      <c r="H1654">
        <v>30</v>
      </c>
      <c r="I1654">
        <v>0</v>
      </c>
      <c r="J1654" s="1">
        <v>45928.089512627317</v>
      </c>
      <c r="K1654" t="s">
        <v>988</v>
      </c>
      <c r="L1654">
        <f t="shared" si="25"/>
        <v>1653</v>
      </c>
      <c r="M1654">
        <f>COUNTIF($A$2:A1654,A1654)</f>
        <v>9</v>
      </c>
    </row>
    <row r="1655" spans="1:13" x14ac:dyDescent="0.3">
      <c r="A1655">
        <v>12368</v>
      </c>
      <c r="B1655" t="s">
        <v>957</v>
      </c>
      <c r="C1655" t="s">
        <v>980</v>
      </c>
      <c r="D1655" t="s">
        <v>981</v>
      </c>
      <c r="F1655">
        <v>0</v>
      </c>
      <c r="G1655">
        <v>66.67</v>
      </c>
      <c r="H1655">
        <v>33.33</v>
      </c>
      <c r="I1655">
        <v>0</v>
      </c>
      <c r="J1655" s="1">
        <v>45928.089537395834</v>
      </c>
      <c r="K1655" t="s">
        <v>988</v>
      </c>
      <c r="L1655">
        <f t="shared" si="25"/>
        <v>1654</v>
      </c>
      <c r="M1655">
        <f>COUNTIF($A$2:A1655,A1655)</f>
        <v>10</v>
      </c>
    </row>
    <row r="1656" spans="1:13" x14ac:dyDescent="0.3">
      <c r="A1656">
        <v>12368</v>
      </c>
      <c r="B1656" t="s">
        <v>957</v>
      </c>
      <c r="C1656" t="s">
        <v>979</v>
      </c>
      <c r="D1656" t="s">
        <v>979</v>
      </c>
      <c r="E1656">
        <v>67</v>
      </c>
      <c r="F1656">
        <v>0</v>
      </c>
      <c r="G1656">
        <v>70</v>
      </c>
      <c r="H1656">
        <v>30</v>
      </c>
      <c r="I1656">
        <v>0</v>
      </c>
      <c r="J1656" s="1">
        <v>45928.089557361112</v>
      </c>
      <c r="K1656" t="s">
        <v>988</v>
      </c>
      <c r="L1656">
        <f t="shared" si="25"/>
        <v>1655</v>
      </c>
      <c r="M1656">
        <f>COUNTIF($A$2:A1656,A1656)</f>
        <v>11</v>
      </c>
    </row>
    <row r="1657" spans="1:13" x14ac:dyDescent="0.3">
      <c r="A1657">
        <v>12368</v>
      </c>
      <c r="B1657" t="s">
        <v>957</v>
      </c>
      <c r="C1657" t="s">
        <v>780</v>
      </c>
      <c r="D1657" t="s">
        <v>781</v>
      </c>
      <c r="E1657">
        <v>71</v>
      </c>
      <c r="F1657">
        <v>0</v>
      </c>
      <c r="G1657">
        <v>63.33</v>
      </c>
      <c r="H1657">
        <v>36.67</v>
      </c>
      <c r="I1657">
        <v>0</v>
      </c>
      <c r="J1657" s="1">
        <v>45928.08957733796</v>
      </c>
      <c r="K1657" t="s">
        <v>988</v>
      </c>
      <c r="L1657">
        <f t="shared" si="25"/>
        <v>1656</v>
      </c>
      <c r="M1657">
        <f>COUNTIF($A$2:A1657,A1657)</f>
        <v>12</v>
      </c>
    </row>
    <row r="1658" spans="1:13" x14ac:dyDescent="0.3">
      <c r="A1658">
        <v>12368</v>
      </c>
      <c r="B1658" t="s">
        <v>957</v>
      </c>
      <c r="C1658" t="s">
        <v>977</v>
      </c>
      <c r="D1658" t="s">
        <v>978</v>
      </c>
      <c r="F1658">
        <v>0</v>
      </c>
      <c r="G1658">
        <v>56.67</v>
      </c>
      <c r="H1658">
        <v>43.33</v>
      </c>
      <c r="I1658">
        <v>0</v>
      </c>
      <c r="J1658" s="1">
        <v>45928.089599085652</v>
      </c>
      <c r="K1658" t="s">
        <v>988</v>
      </c>
      <c r="L1658">
        <f t="shared" si="25"/>
        <v>1657</v>
      </c>
      <c r="M1658">
        <f>COUNTIF($A$2:A1658,A1658)</f>
        <v>13</v>
      </c>
    </row>
    <row r="1659" spans="1:13" x14ac:dyDescent="0.3">
      <c r="A1659">
        <v>12368</v>
      </c>
      <c r="B1659" t="s">
        <v>957</v>
      </c>
      <c r="C1659" t="s">
        <v>975</v>
      </c>
      <c r="D1659" t="s">
        <v>976</v>
      </c>
      <c r="E1659">
        <v>75</v>
      </c>
      <c r="F1659">
        <v>0</v>
      </c>
      <c r="G1659">
        <v>56.67</v>
      </c>
      <c r="H1659">
        <v>43.33</v>
      </c>
      <c r="I1659">
        <v>0</v>
      </c>
      <c r="J1659" s="1">
        <v>45928.089619722225</v>
      </c>
      <c r="K1659" t="s">
        <v>988</v>
      </c>
      <c r="L1659">
        <f t="shared" si="25"/>
        <v>1658</v>
      </c>
      <c r="M1659">
        <f>COUNTIF($A$2:A1659,A1659)</f>
        <v>14</v>
      </c>
    </row>
    <row r="1660" spans="1:13" x14ac:dyDescent="0.3">
      <c r="A1660">
        <v>12368</v>
      </c>
      <c r="B1660" t="s">
        <v>957</v>
      </c>
      <c r="C1660" t="s">
        <v>973</v>
      </c>
      <c r="D1660" t="s">
        <v>974</v>
      </c>
      <c r="E1660">
        <v>67</v>
      </c>
      <c r="F1660">
        <v>3.33</v>
      </c>
      <c r="G1660">
        <v>66.67</v>
      </c>
      <c r="H1660">
        <v>30</v>
      </c>
      <c r="I1660">
        <v>0</v>
      </c>
      <c r="J1660" s="1">
        <v>45928.089636805555</v>
      </c>
      <c r="K1660" t="s">
        <v>988</v>
      </c>
      <c r="L1660">
        <f t="shared" si="25"/>
        <v>1659</v>
      </c>
      <c r="M1660">
        <f>COUNTIF($A$2:A1660,A1660)</f>
        <v>15</v>
      </c>
    </row>
    <row r="1661" spans="1:13" x14ac:dyDescent="0.3">
      <c r="A1661">
        <v>12368</v>
      </c>
      <c r="B1661" t="s">
        <v>957</v>
      </c>
      <c r="C1661" t="s">
        <v>778</v>
      </c>
      <c r="D1661" t="s">
        <v>779</v>
      </c>
      <c r="E1661">
        <v>24</v>
      </c>
      <c r="F1661">
        <v>73.33</v>
      </c>
      <c r="G1661">
        <v>13.33</v>
      </c>
      <c r="H1661">
        <v>13.33</v>
      </c>
      <c r="I1661">
        <v>0.01</v>
      </c>
      <c r="J1661" s="1">
        <v>45928.089656203701</v>
      </c>
      <c r="K1661" t="s">
        <v>988</v>
      </c>
      <c r="L1661">
        <f t="shared" si="25"/>
        <v>1660</v>
      </c>
      <c r="M1661">
        <f>COUNTIF($A$2:A1661,A1661)</f>
        <v>16</v>
      </c>
    </row>
    <row r="1662" spans="1:13" x14ac:dyDescent="0.3">
      <c r="A1662">
        <v>12368</v>
      </c>
      <c r="B1662" t="s">
        <v>957</v>
      </c>
      <c r="C1662" t="s">
        <v>971</v>
      </c>
      <c r="D1662" t="s">
        <v>972</v>
      </c>
      <c r="F1662">
        <v>73.33</v>
      </c>
      <c r="G1662">
        <v>13.33</v>
      </c>
      <c r="H1662">
        <v>13.33</v>
      </c>
      <c r="I1662">
        <v>0</v>
      </c>
      <c r="J1662" s="1">
        <v>45928.089681064812</v>
      </c>
      <c r="K1662" t="s">
        <v>988</v>
      </c>
      <c r="L1662">
        <f t="shared" si="25"/>
        <v>1661</v>
      </c>
      <c r="M1662">
        <f>COUNTIF($A$2:A1662,A1662)</f>
        <v>17</v>
      </c>
    </row>
    <row r="1663" spans="1:13" x14ac:dyDescent="0.3">
      <c r="A1663">
        <v>12368</v>
      </c>
      <c r="B1663" t="s">
        <v>957</v>
      </c>
      <c r="C1663" t="s">
        <v>969</v>
      </c>
      <c r="D1663" t="s">
        <v>970</v>
      </c>
      <c r="E1663">
        <v>26</v>
      </c>
      <c r="F1663">
        <v>73.33</v>
      </c>
      <c r="G1663">
        <v>13.33</v>
      </c>
      <c r="H1663">
        <v>13.33</v>
      </c>
      <c r="I1663">
        <v>0.01</v>
      </c>
      <c r="J1663" s="1">
        <v>45928.089698993055</v>
      </c>
      <c r="K1663" t="s">
        <v>988</v>
      </c>
      <c r="L1663">
        <f t="shared" si="25"/>
        <v>1662</v>
      </c>
      <c r="M1663">
        <f>COUNTIF($A$2:A1663,A1663)</f>
        <v>18</v>
      </c>
    </row>
    <row r="1664" spans="1:13" x14ac:dyDescent="0.3">
      <c r="A1664">
        <v>12368</v>
      </c>
      <c r="B1664" t="s">
        <v>957</v>
      </c>
      <c r="C1664" t="s">
        <v>967</v>
      </c>
      <c r="D1664" t="s">
        <v>968</v>
      </c>
      <c r="E1664">
        <v>26</v>
      </c>
      <c r="F1664">
        <v>73.33</v>
      </c>
      <c r="G1664">
        <v>13.33</v>
      </c>
      <c r="H1664">
        <v>13.33</v>
      </c>
      <c r="I1664">
        <v>0.01</v>
      </c>
      <c r="J1664" s="1">
        <v>45928.089719166666</v>
      </c>
      <c r="K1664" t="s">
        <v>988</v>
      </c>
      <c r="L1664">
        <f t="shared" si="25"/>
        <v>1663</v>
      </c>
      <c r="M1664">
        <f>COUNTIF($A$2:A1664,A1664)</f>
        <v>19</v>
      </c>
    </row>
    <row r="1665" spans="1:13" x14ac:dyDescent="0.3">
      <c r="A1665">
        <v>12368</v>
      </c>
      <c r="B1665" t="s">
        <v>957</v>
      </c>
      <c r="C1665" t="s">
        <v>965</v>
      </c>
      <c r="D1665" t="s">
        <v>966</v>
      </c>
      <c r="E1665">
        <v>34</v>
      </c>
      <c r="F1665">
        <v>53.33</v>
      </c>
      <c r="G1665">
        <v>30</v>
      </c>
      <c r="H1665">
        <v>16.670000000000002</v>
      </c>
      <c r="I1665">
        <v>0</v>
      </c>
      <c r="J1665" s="1">
        <v>45928.089735555557</v>
      </c>
      <c r="K1665" t="s">
        <v>988</v>
      </c>
      <c r="L1665">
        <f t="shared" si="25"/>
        <v>1664</v>
      </c>
      <c r="M1665">
        <f>COUNTIF($A$2:A1665,A1665)</f>
        <v>20</v>
      </c>
    </row>
    <row r="1666" spans="1:13" x14ac:dyDescent="0.3">
      <c r="A1666">
        <v>12368</v>
      </c>
      <c r="B1666" t="s">
        <v>957</v>
      </c>
      <c r="C1666" t="s">
        <v>963</v>
      </c>
      <c r="D1666" t="s">
        <v>964</v>
      </c>
      <c r="E1666">
        <v>41</v>
      </c>
      <c r="F1666">
        <v>23.33</v>
      </c>
      <c r="G1666">
        <v>60</v>
      </c>
      <c r="H1666">
        <v>16.670000000000002</v>
      </c>
      <c r="I1666">
        <v>0</v>
      </c>
      <c r="J1666" s="1">
        <v>45928.089755312503</v>
      </c>
      <c r="K1666" t="s">
        <v>988</v>
      </c>
      <c r="L1666">
        <f t="shared" ref="L1666:L1729" si="26">ROW()-1</f>
        <v>1665</v>
      </c>
      <c r="M1666">
        <f>COUNTIF($A$2:A1666,A1666)</f>
        <v>21</v>
      </c>
    </row>
    <row r="1667" spans="1:13" x14ac:dyDescent="0.3">
      <c r="A1667">
        <v>12368</v>
      </c>
      <c r="B1667" t="s">
        <v>957</v>
      </c>
      <c r="C1667" t="s">
        <v>961</v>
      </c>
      <c r="D1667" t="s">
        <v>962</v>
      </c>
      <c r="E1667">
        <v>34</v>
      </c>
      <c r="F1667">
        <v>50</v>
      </c>
      <c r="G1667">
        <v>33.33</v>
      </c>
      <c r="H1667">
        <v>16.670000000000002</v>
      </c>
      <c r="I1667">
        <v>0</v>
      </c>
      <c r="J1667" s="1">
        <v>45928.089775960645</v>
      </c>
      <c r="K1667" t="s">
        <v>988</v>
      </c>
      <c r="L1667">
        <f t="shared" si="26"/>
        <v>1666</v>
      </c>
      <c r="M1667">
        <f>COUNTIF($A$2:A1667,A1667)</f>
        <v>22</v>
      </c>
    </row>
    <row r="1668" spans="1:13" x14ac:dyDescent="0.3">
      <c r="A1668">
        <v>12368</v>
      </c>
      <c r="B1668" t="s">
        <v>957</v>
      </c>
      <c r="C1668" t="s">
        <v>958</v>
      </c>
      <c r="D1668" t="s">
        <v>959</v>
      </c>
      <c r="E1668">
        <v>10</v>
      </c>
      <c r="F1668">
        <v>80</v>
      </c>
      <c r="G1668">
        <v>10</v>
      </c>
      <c r="H1668">
        <v>10</v>
      </c>
      <c r="I1668">
        <v>0</v>
      </c>
      <c r="J1668" s="1">
        <v>45928.089797071756</v>
      </c>
      <c r="K1668" t="s">
        <v>988</v>
      </c>
      <c r="L1668">
        <f t="shared" si="26"/>
        <v>1667</v>
      </c>
      <c r="M1668">
        <f>COUNTIF($A$2:A1668,A1668)</f>
        <v>23</v>
      </c>
    </row>
    <row r="1669" spans="1:13" x14ac:dyDescent="0.3">
      <c r="A1669">
        <v>15959</v>
      </c>
      <c r="B1669" t="s">
        <v>989</v>
      </c>
      <c r="C1669" t="s">
        <v>114</v>
      </c>
      <c r="D1669" t="s">
        <v>115</v>
      </c>
      <c r="F1669">
        <v>97.32</v>
      </c>
      <c r="G1669">
        <v>2.68</v>
      </c>
      <c r="H1669">
        <v>0</v>
      </c>
      <c r="I1669">
        <v>0</v>
      </c>
      <c r="J1669" s="1">
        <v>45928.089882939814</v>
      </c>
      <c r="K1669" t="s">
        <v>990</v>
      </c>
      <c r="L1669">
        <f t="shared" si="26"/>
        <v>1668</v>
      </c>
      <c r="M1669">
        <f>COUNTIF($A$2:A1669,A1669)</f>
        <v>1</v>
      </c>
    </row>
    <row r="1670" spans="1:13" x14ac:dyDescent="0.3">
      <c r="A1670">
        <v>15959</v>
      </c>
      <c r="B1670" t="s">
        <v>989</v>
      </c>
      <c r="C1670" t="s">
        <v>991</v>
      </c>
      <c r="D1670" t="s">
        <v>992</v>
      </c>
      <c r="E1670">
        <v>8</v>
      </c>
      <c r="F1670">
        <v>90.8</v>
      </c>
      <c r="G1670">
        <v>8.81</v>
      </c>
      <c r="H1670">
        <v>0.38</v>
      </c>
      <c r="I1670">
        <v>0.01</v>
      </c>
      <c r="J1670" s="1">
        <v>45928.089901307867</v>
      </c>
      <c r="K1670" t="s">
        <v>990</v>
      </c>
      <c r="L1670">
        <f t="shared" si="26"/>
        <v>1669</v>
      </c>
      <c r="M1670">
        <f>COUNTIF($A$2:A1670,A1670)</f>
        <v>2</v>
      </c>
    </row>
    <row r="1671" spans="1:13" x14ac:dyDescent="0.3">
      <c r="A1671">
        <v>15959</v>
      </c>
      <c r="B1671" t="s">
        <v>989</v>
      </c>
      <c r="C1671" t="s">
        <v>993</v>
      </c>
      <c r="D1671" t="s">
        <v>994</v>
      </c>
      <c r="E1671">
        <v>13</v>
      </c>
      <c r="F1671">
        <v>71.650000000000006</v>
      </c>
      <c r="G1671">
        <v>27.97</v>
      </c>
      <c r="H1671">
        <v>0.38</v>
      </c>
      <c r="I1671">
        <v>0</v>
      </c>
      <c r="J1671" s="1">
        <v>45928.089946736109</v>
      </c>
      <c r="K1671" t="s">
        <v>990</v>
      </c>
      <c r="L1671">
        <f t="shared" si="26"/>
        <v>1670</v>
      </c>
      <c r="M1671">
        <f>COUNTIF($A$2:A1671,A1671)</f>
        <v>3</v>
      </c>
    </row>
    <row r="1672" spans="1:13" x14ac:dyDescent="0.3">
      <c r="A1672">
        <v>15959</v>
      </c>
      <c r="B1672" t="s">
        <v>989</v>
      </c>
      <c r="C1672" t="s">
        <v>995</v>
      </c>
      <c r="D1672" t="s">
        <v>996</v>
      </c>
      <c r="F1672">
        <v>65.13</v>
      </c>
      <c r="G1672">
        <v>34.479999999999997</v>
      </c>
      <c r="H1672">
        <v>0.38</v>
      </c>
      <c r="I1672">
        <v>0</v>
      </c>
      <c r="J1672" s="1">
        <v>45928.089982743055</v>
      </c>
      <c r="K1672" t="s">
        <v>990</v>
      </c>
      <c r="L1672">
        <f t="shared" si="26"/>
        <v>1671</v>
      </c>
      <c r="M1672">
        <f>COUNTIF($A$2:A1672,A1672)</f>
        <v>4</v>
      </c>
    </row>
    <row r="1673" spans="1:13" x14ac:dyDescent="0.3">
      <c r="A1673">
        <v>15959</v>
      </c>
      <c r="B1673" t="s">
        <v>989</v>
      </c>
      <c r="C1673" t="s">
        <v>997</v>
      </c>
      <c r="D1673" t="s">
        <v>998</v>
      </c>
      <c r="E1673">
        <v>10</v>
      </c>
      <c r="F1673">
        <v>79.69</v>
      </c>
      <c r="G1673">
        <v>19.920000000000002</v>
      </c>
      <c r="H1673">
        <v>0.38</v>
      </c>
      <c r="I1673">
        <v>0.01</v>
      </c>
      <c r="J1673" s="1">
        <v>45928.089999699077</v>
      </c>
      <c r="K1673" t="s">
        <v>990</v>
      </c>
      <c r="L1673">
        <f t="shared" si="26"/>
        <v>1672</v>
      </c>
      <c r="M1673">
        <f>COUNTIF($A$2:A1673,A1673)</f>
        <v>5</v>
      </c>
    </row>
    <row r="1674" spans="1:13" x14ac:dyDescent="0.3">
      <c r="A1674">
        <v>15959</v>
      </c>
      <c r="B1674" t="s">
        <v>989</v>
      </c>
      <c r="C1674" t="s">
        <v>999</v>
      </c>
      <c r="D1674" t="s">
        <v>1000</v>
      </c>
      <c r="E1674">
        <v>14</v>
      </c>
      <c r="F1674">
        <v>62.45</v>
      </c>
      <c r="G1674">
        <v>37.159999999999997</v>
      </c>
      <c r="H1674">
        <v>0.38</v>
      </c>
      <c r="I1674">
        <v>0.01</v>
      </c>
      <c r="J1674" s="1">
        <v>45928.090023668985</v>
      </c>
      <c r="K1674" t="s">
        <v>990</v>
      </c>
      <c r="L1674">
        <f t="shared" si="26"/>
        <v>1673</v>
      </c>
      <c r="M1674">
        <f>COUNTIF($A$2:A1674,A1674)</f>
        <v>6</v>
      </c>
    </row>
    <row r="1675" spans="1:13" x14ac:dyDescent="0.3">
      <c r="A1675">
        <v>15959</v>
      </c>
      <c r="B1675" t="s">
        <v>989</v>
      </c>
      <c r="C1675" t="s">
        <v>1001</v>
      </c>
      <c r="D1675" t="s">
        <v>1002</v>
      </c>
      <c r="F1675">
        <v>48.66</v>
      </c>
      <c r="G1675">
        <v>50.19</v>
      </c>
      <c r="H1675">
        <v>1.1499999999999999</v>
      </c>
      <c r="I1675">
        <v>0</v>
      </c>
      <c r="J1675" s="1">
        <v>45928.090063460651</v>
      </c>
      <c r="K1675" t="s">
        <v>990</v>
      </c>
      <c r="L1675">
        <f t="shared" si="26"/>
        <v>1674</v>
      </c>
      <c r="M1675">
        <f>COUNTIF($A$2:A1675,A1675)</f>
        <v>7</v>
      </c>
    </row>
    <row r="1676" spans="1:13" x14ac:dyDescent="0.3">
      <c r="A1676">
        <v>15959</v>
      </c>
      <c r="B1676" t="s">
        <v>989</v>
      </c>
      <c r="C1676" t="s">
        <v>1003</v>
      </c>
      <c r="D1676" t="s">
        <v>1004</v>
      </c>
      <c r="E1676">
        <v>9</v>
      </c>
      <c r="F1676">
        <v>85.82</v>
      </c>
      <c r="G1676">
        <v>13.03</v>
      </c>
      <c r="H1676">
        <v>1.1499999999999999</v>
      </c>
      <c r="I1676">
        <v>0</v>
      </c>
      <c r="J1676" s="1">
        <v>45928.090107303244</v>
      </c>
      <c r="K1676" t="s">
        <v>990</v>
      </c>
      <c r="L1676">
        <f t="shared" si="26"/>
        <v>1675</v>
      </c>
      <c r="M1676">
        <f>COUNTIF($A$2:A1676,A1676)</f>
        <v>8</v>
      </c>
    </row>
    <row r="1677" spans="1:13" x14ac:dyDescent="0.3">
      <c r="A1677">
        <v>15959</v>
      </c>
      <c r="B1677" t="s">
        <v>989</v>
      </c>
      <c r="C1677" t="s">
        <v>1005</v>
      </c>
      <c r="D1677" t="s">
        <v>1006</v>
      </c>
      <c r="E1677">
        <v>8</v>
      </c>
      <c r="F1677">
        <v>88.12</v>
      </c>
      <c r="G1677">
        <v>10.73</v>
      </c>
      <c r="H1677">
        <v>1.1499999999999999</v>
      </c>
      <c r="I1677">
        <v>0</v>
      </c>
      <c r="J1677" s="1">
        <v>45928.09015398148</v>
      </c>
      <c r="K1677" t="s">
        <v>990</v>
      </c>
      <c r="L1677">
        <f t="shared" si="26"/>
        <v>1676</v>
      </c>
      <c r="M1677">
        <f>COUNTIF($A$2:A1677,A1677)</f>
        <v>9</v>
      </c>
    </row>
    <row r="1678" spans="1:13" x14ac:dyDescent="0.3">
      <c r="A1678">
        <v>15959</v>
      </c>
      <c r="B1678" t="s">
        <v>989</v>
      </c>
      <c r="C1678" t="s">
        <v>1007</v>
      </c>
      <c r="D1678" t="s">
        <v>1008</v>
      </c>
      <c r="E1678">
        <v>12</v>
      </c>
      <c r="F1678">
        <v>78.16</v>
      </c>
      <c r="G1678">
        <v>20.69</v>
      </c>
      <c r="H1678">
        <v>1.1499999999999999</v>
      </c>
      <c r="I1678">
        <v>0</v>
      </c>
      <c r="J1678" s="1">
        <v>45928.090195439814</v>
      </c>
      <c r="K1678" t="s">
        <v>990</v>
      </c>
      <c r="L1678">
        <f t="shared" si="26"/>
        <v>1677</v>
      </c>
      <c r="M1678">
        <f>COUNTIF($A$2:A1678,A1678)</f>
        <v>10</v>
      </c>
    </row>
    <row r="1679" spans="1:13" x14ac:dyDescent="0.3">
      <c r="A1679">
        <v>15959</v>
      </c>
      <c r="B1679" t="s">
        <v>989</v>
      </c>
      <c r="C1679" t="s">
        <v>1009</v>
      </c>
      <c r="D1679" t="s">
        <v>1010</v>
      </c>
      <c r="E1679">
        <v>13</v>
      </c>
      <c r="F1679">
        <v>77.39</v>
      </c>
      <c r="G1679">
        <v>21.07</v>
      </c>
      <c r="H1679">
        <v>1.53</v>
      </c>
      <c r="I1679">
        <v>0.01</v>
      </c>
      <c r="J1679" s="1">
        <v>45928.090217164354</v>
      </c>
      <c r="K1679" t="s">
        <v>990</v>
      </c>
      <c r="L1679">
        <f t="shared" si="26"/>
        <v>1678</v>
      </c>
      <c r="M1679">
        <f>COUNTIF($A$2:A1679,A1679)</f>
        <v>11</v>
      </c>
    </row>
    <row r="1680" spans="1:13" x14ac:dyDescent="0.3">
      <c r="A1680">
        <v>15959</v>
      </c>
      <c r="B1680" t="s">
        <v>989</v>
      </c>
      <c r="C1680" t="s">
        <v>625</v>
      </c>
      <c r="D1680" t="s">
        <v>626</v>
      </c>
      <c r="E1680">
        <v>9</v>
      </c>
      <c r="F1680">
        <v>90.04</v>
      </c>
      <c r="G1680">
        <v>8.0500000000000007</v>
      </c>
      <c r="H1680">
        <v>1.92</v>
      </c>
      <c r="I1680">
        <v>0</v>
      </c>
      <c r="J1680" s="1">
        <v>45928.090260289355</v>
      </c>
      <c r="K1680" t="s">
        <v>990</v>
      </c>
      <c r="L1680">
        <f t="shared" si="26"/>
        <v>1679</v>
      </c>
      <c r="M1680">
        <f>COUNTIF($A$2:A1680,A1680)</f>
        <v>12</v>
      </c>
    </row>
    <row r="1681" spans="1:13" x14ac:dyDescent="0.3">
      <c r="A1681">
        <v>15959</v>
      </c>
      <c r="B1681" t="s">
        <v>989</v>
      </c>
      <c r="C1681" t="s">
        <v>306</v>
      </c>
      <c r="D1681" t="s">
        <v>307</v>
      </c>
      <c r="E1681">
        <v>8</v>
      </c>
      <c r="F1681">
        <v>95.02</v>
      </c>
      <c r="G1681">
        <v>3.07</v>
      </c>
      <c r="H1681">
        <v>1.92</v>
      </c>
      <c r="I1681">
        <v>0</v>
      </c>
      <c r="J1681" s="1">
        <v>45928.090303263889</v>
      </c>
      <c r="K1681" t="s">
        <v>990</v>
      </c>
      <c r="L1681">
        <f t="shared" si="26"/>
        <v>1680</v>
      </c>
      <c r="M1681">
        <f>COUNTIF($A$2:A1681,A1681)</f>
        <v>13</v>
      </c>
    </row>
    <row r="1682" spans="1:13" x14ac:dyDescent="0.3">
      <c r="A1682">
        <v>15959</v>
      </c>
      <c r="B1682" t="s">
        <v>989</v>
      </c>
      <c r="C1682" t="s">
        <v>1011</v>
      </c>
      <c r="D1682" t="s">
        <v>1012</v>
      </c>
      <c r="E1682">
        <v>10</v>
      </c>
      <c r="F1682">
        <v>86.21</v>
      </c>
      <c r="G1682">
        <v>11.49</v>
      </c>
      <c r="H1682">
        <v>2.2999999999999998</v>
      </c>
      <c r="I1682">
        <v>0</v>
      </c>
      <c r="J1682" s="1">
        <v>45928.090344201388</v>
      </c>
      <c r="K1682" t="s">
        <v>990</v>
      </c>
      <c r="L1682">
        <f t="shared" si="26"/>
        <v>1681</v>
      </c>
      <c r="M1682">
        <f>COUNTIF($A$2:A1682,A1682)</f>
        <v>14</v>
      </c>
    </row>
    <row r="1683" spans="1:13" x14ac:dyDescent="0.3">
      <c r="A1683">
        <v>15959</v>
      </c>
      <c r="B1683" t="s">
        <v>989</v>
      </c>
      <c r="C1683" t="s">
        <v>1013</v>
      </c>
      <c r="D1683" t="s">
        <v>1014</v>
      </c>
      <c r="E1683">
        <v>11</v>
      </c>
      <c r="F1683">
        <v>80.08</v>
      </c>
      <c r="G1683">
        <v>17.62</v>
      </c>
      <c r="H1683">
        <v>2.2999999999999998</v>
      </c>
      <c r="I1683">
        <v>0</v>
      </c>
      <c r="J1683" s="1">
        <v>45928.090388321762</v>
      </c>
      <c r="K1683" t="s">
        <v>990</v>
      </c>
      <c r="L1683">
        <f t="shared" si="26"/>
        <v>1682</v>
      </c>
      <c r="M1683">
        <f>COUNTIF($A$2:A1683,A1683)</f>
        <v>15</v>
      </c>
    </row>
    <row r="1684" spans="1:13" x14ac:dyDescent="0.3">
      <c r="A1684">
        <v>15959</v>
      </c>
      <c r="B1684" t="s">
        <v>989</v>
      </c>
      <c r="C1684" t="s">
        <v>308</v>
      </c>
      <c r="D1684" t="s">
        <v>309</v>
      </c>
      <c r="E1684">
        <v>17</v>
      </c>
      <c r="F1684">
        <v>0.77</v>
      </c>
      <c r="G1684">
        <v>1.1499999999999999</v>
      </c>
      <c r="H1684">
        <v>0</v>
      </c>
      <c r="I1684">
        <v>98.08</v>
      </c>
      <c r="J1684" s="1">
        <v>45928.090408738426</v>
      </c>
      <c r="K1684" t="s">
        <v>990</v>
      </c>
      <c r="L1684">
        <f t="shared" si="26"/>
        <v>1683</v>
      </c>
      <c r="M1684">
        <f>COUNTIF($A$2:A1684,A1684)</f>
        <v>16</v>
      </c>
    </row>
    <row r="1685" spans="1:13" x14ac:dyDescent="0.3">
      <c r="A1685">
        <v>15959</v>
      </c>
      <c r="B1685" t="s">
        <v>989</v>
      </c>
      <c r="C1685" t="s">
        <v>310</v>
      </c>
      <c r="D1685" t="s">
        <v>311</v>
      </c>
      <c r="F1685">
        <v>32.57</v>
      </c>
      <c r="G1685">
        <v>62.45</v>
      </c>
      <c r="H1685">
        <v>4.9800000000000004</v>
      </c>
      <c r="I1685">
        <v>0</v>
      </c>
      <c r="J1685" s="1">
        <v>45928.09044054398</v>
      </c>
      <c r="K1685" t="s">
        <v>990</v>
      </c>
      <c r="L1685">
        <f t="shared" si="26"/>
        <v>1684</v>
      </c>
      <c r="M1685">
        <f>COUNTIF($A$2:A1685,A1685)</f>
        <v>17</v>
      </c>
    </row>
    <row r="1686" spans="1:13" x14ac:dyDescent="0.3">
      <c r="A1686">
        <v>15959</v>
      </c>
      <c r="B1686" t="s">
        <v>989</v>
      </c>
      <c r="C1686" t="s">
        <v>1015</v>
      </c>
      <c r="D1686" t="s">
        <v>1016</v>
      </c>
      <c r="E1686">
        <v>34</v>
      </c>
      <c r="F1686">
        <v>14.18</v>
      </c>
      <c r="G1686">
        <v>78.16</v>
      </c>
      <c r="H1686">
        <v>7.66</v>
      </c>
      <c r="I1686">
        <v>0</v>
      </c>
      <c r="J1686" s="1">
        <v>45928.090483796295</v>
      </c>
      <c r="K1686" t="s">
        <v>990</v>
      </c>
      <c r="L1686">
        <f t="shared" si="26"/>
        <v>1685</v>
      </c>
      <c r="M1686">
        <f>COUNTIF($A$2:A1686,A1686)</f>
        <v>18</v>
      </c>
    </row>
    <row r="1687" spans="1:13" x14ac:dyDescent="0.3">
      <c r="A1687">
        <v>15959</v>
      </c>
      <c r="B1687" t="s">
        <v>989</v>
      </c>
      <c r="C1687" t="s">
        <v>312</v>
      </c>
      <c r="D1687" t="s">
        <v>313</v>
      </c>
      <c r="E1687">
        <v>17</v>
      </c>
      <c r="F1687">
        <v>68.97</v>
      </c>
      <c r="G1687">
        <v>26.05</v>
      </c>
      <c r="H1687">
        <v>4.9800000000000004</v>
      </c>
      <c r="I1687">
        <v>0</v>
      </c>
      <c r="J1687" s="1">
        <v>45928.090502812498</v>
      </c>
      <c r="K1687" t="s">
        <v>990</v>
      </c>
      <c r="L1687">
        <f t="shared" si="26"/>
        <v>1686</v>
      </c>
      <c r="M1687">
        <f>COUNTIF($A$2:A1687,A1687)</f>
        <v>19</v>
      </c>
    </row>
    <row r="1688" spans="1:13" x14ac:dyDescent="0.3">
      <c r="A1688">
        <v>15959</v>
      </c>
      <c r="B1688" t="s">
        <v>989</v>
      </c>
      <c r="C1688" t="s">
        <v>627</v>
      </c>
      <c r="D1688" t="s">
        <v>628</v>
      </c>
      <c r="E1688">
        <v>13</v>
      </c>
      <c r="F1688">
        <v>68.2</v>
      </c>
      <c r="G1688">
        <v>26.82</v>
      </c>
      <c r="H1688">
        <v>4.9800000000000004</v>
      </c>
      <c r="I1688">
        <v>0</v>
      </c>
      <c r="J1688" s="1">
        <v>45928.090546886575</v>
      </c>
      <c r="K1688" t="s">
        <v>990</v>
      </c>
      <c r="L1688">
        <f t="shared" si="26"/>
        <v>1687</v>
      </c>
      <c r="M1688">
        <f>COUNTIF($A$2:A1688,A1688)</f>
        <v>20</v>
      </c>
    </row>
    <row r="1689" spans="1:13" x14ac:dyDescent="0.3">
      <c r="A1689">
        <v>15959</v>
      </c>
      <c r="B1689" t="s">
        <v>989</v>
      </c>
      <c r="C1689" t="s">
        <v>1017</v>
      </c>
      <c r="D1689" t="s">
        <v>1018</v>
      </c>
      <c r="E1689">
        <v>21</v>
      </c>
      <c r="F1689">
        <v>58.62</v>
      </c>
      <c r="G1689">
        <v>35.630000000000003</v>
      </c>
      <c r="H1689">
        <v>5.75</v>
      </c>
      <c r="I1689">
        <v>0</v>
      </c>
      <c r="J1689" s="1">
        <v>45928.090567812498</v>
      </c>
      <c r="K1689" t="s">
        <v>990</v>
      </c>
      <c r="L1689">
        <f t="shared" si="26"/>
        <v>1688</v>
      </c>
      <c r="M1689">
        <f>COUNTIF($A$2:A1689,A1689)</f>
        <v>21</v>
      </c>
    </row>
    <row r="1690" spans="1:13" x14ac:dyDescent="0.3">
      <c r="A1690">
        <v>15959</v>
      </c>
      <c r="B1690" t="s">
        <v>989</v>
      </c>
      <c r="C1690" t="s">
        <v>629</v>
      </c>
      <c r="D1690" t="s">
        <v>630</v>
      </c>
      <c r="E1690">
        <v>19</v>
      </c>
      <c r="F1690">
        <v>65.13</v>
      </c>
      <c r="G1690">
        <v>29.5</v>
      </c>
      <c r="H1690">
        <v>5.36</v>
      </c>
      <c r="I1690">
        <v>0.01</v>
      </c>
      <c r="J1690" s="1">
        <v>45928.090588067127</v>
      </c>
      <c r="K1690" t="s">
        <v>990</v>
      </c>
      <c r="L1690">
        <f t="shared" si="26"/>
        <v>1689</v>
      </c>
      <c r="M1690">
        <f>COUNTIF($A$2:A1690,A1690)</f>
        <v>22</v>
      </c>
    </row>
    <row r="1691" spans="1:13" x14ac:dyDescent="0.3">
      <c r="A1691">
        <v>15959</v>
      </c>
      <c r="B1691" t="s">
        <v>989</v>
      </c>
      <c r="C1691" t="s">
        <v>1019</v>
      </c>
      <c r="D1691" t="s">
        <v>1020</v>
      </c>
      <c r="E1691">
        <v>13</v>
      </c>
      <c r="F1691">
        <v>77.39</v>
      </c>
      <c r="G1691">
        <v>18.77</v>
      </c>
      <c r="H1691">
        <v>3.83</v>
      </c>
      <c r="I1691">
        <v>0.01</v>
      </c>
      <c r="J1691" s="1">
        <v>45928.090607997685</v>
      </c>
      <c r="K1691" t="s">
        <v>990</v>
      </c>
      <c r="L1691">
        <f t="shared" si="26"/>
        <v>1690</v>
      </c>
      <c r="M1691">
        <f>COUNTIF($A$2:A1691,A1691)</f>
        <v>23</v>
      </c>
    </row>
    <row r="1692" spans="1:13" x14ac:dyDescent="0.3">
      <c r="A1692">
        <v>15959</v>
      </c>
      <c r="B1692" t="s">
        <v>989</v>
      </c>
      <c r="C1692" t="s">
        <v>631</v>
      </c>
      <c r="D1692" t="s">
        <v>632</v>
      </c>
      <c r="E1692">
        <v>13</v>
      </c>
      <c r="F1692">
        <v>82.76</v>
      </c>
      <c r="G1692">
        <v>13.03</v>
      </c>
      <c r="H1692">
        <v>4.21</v>
      </c>
      <c r="I1692">
        <v>0</v>
      </c>
      <c r="J1692" s="1">
        <v>45928.090652997686</v>
      </c>
      <c r="K1692" t="s">
        <v>990</v>
      </c>
      <c r="L1692">
        <f t="shared" si="26"/>
        <v>1691</v>
      </c>
      <c r="M1692">
        <f>COUNTIF($A$2:A1692,A1692)</f>
        <v>24</v>
      </c>
    </row>
    <row r="1693" spans="1:13" x14ac:dyDescent="0.3">
      <c r="A1693">
        <v>15959</v>
      </c>
      <c r="B1693" t="s">
        <v>989</v>
      </c>
      <c r="C1693" t="s">
        <v>633</v>
      </c>
      <c r="D1693" t="s">
        <v>634</v>
      </c>
      <c r="E1693">
        <v>12</v>
      </c>
      <c r="F1693">
        <v>82.76</v>
      </c>
      <c r="G1693">
        <v>13.41</v>
      </c>
      <c r="H1693">
        <v>3.45</v>
      </c>
      <c r="I1693">
        <v>0.38</v>
      </c>
      <c r="J1693" s="1">
        <v>45928.090670972226</v>
      </c>
      <c r="K1693" t="s">
        <v>990</v>
      </c>
      <c r="L1693">
        <f t="shared" si="26"/>
        <v>1692</v>
      </c>
      <c r="M1693">
        <f>COUNTIF($A$2:A1693,A1693)</f>
        <v>25</v>
      </c>
    </row>
    <row r="1694" spans="1:13" x14ac:dyDescent="0.3">
      <c r="A1694">
        <v>15959</v>
      </c>
      <c r="B1694" t="s">
        <v>989</v>
      </c>
      <c r="C1694" t="s">
        <v>1021</v>
      </c>
      <c r="D1694" t="s">
        <v>1022</v>
      </c>
      <c r="E1694">
        <v>18</v>
      </c>
      <c r="F1694">
        <v>74.33</v>
      </c>
      <c r="G1694">
        <v>21.46</v>
      </c>
      <c r="H1694">
        <v>3.83</v>
      </c>
      <c r="I1694">
        <v>0.38</v>
      </c>
      <c r="J1694" s="1">
        <v>45928.090693217593</v>
      </c>
      <c r="K1694" t="s">
        <v>990</v>
      </c>
      <c r="L1694">
        <f t="shared" si="26"/>
        <v>1693</v>
      </c>
      <c r="M1694">
        <f>COUNTIF($A$2:A1694,A1694)</f>
        <v>26</v>
      </c>
    </row>
    <row r="1695" spans="1:13" x14ac:dyDescent="0.3">
      <c r="A1695">
        <v>15959</v>
      </c>
      <c r="B1695" t="s">
        <v>989</v>
      </c>
      <c r="C1695" t="s">
        <v>1023</v>
      </c>
      <c r="D1695" t="s">
        <v>1024</v>
      </c>
      <c r="E1695">
        <v>10</v>
      </c>
      <c r="F1695">
        <v>1.53</v>
      </c>
      <c r="G1695">
        <v>0.38</v>
      </c>
      <c r="H1695">
        <v>0</v>
      </c>
      <c r="I1695">
        <v>98.09</v>
      </c>
      <c r="J1695" s="1">
        <v>45928.090716921295</v>
      </c>
      <c r="K1695" t="s">
        <v>990</v>
      </c>
      <c r="L1695">
        <f t="shared" si="26"/>
        <v>1694</v>
      </c>
      <c r="M1695">
        <f>COUNTIF($A$2:A1695,A1695)</f>
        <v>27</v>
      </c>
    </row>
    <row r="1696" spans="1:13" x14ac:dyDescent="0.3">
      <c r="A1696">
        <v>15959</v>
      </c>
      <c r="B1696" t="s">
        <v>989</v>
      </c>
      <c r="C1696" t="s">
        <v>1025</v>
      </c>
      <c r="D1696" t="s">
        <v>1026</v>
      </c>
      <c r="E1696">
        <v>37</v>
      </c>
      <c r="F1696">
        <v>6.9</v>
      </c>
      <c r="G1696">
        <v>85.06</v>
      </c>
      <c r="H1696">
        <v>8.0500000000000007</v>
      </c>
      <c r="I1696">
        <v>0</v>
      </c>
      <c r="J1696" s="1">
        <v>45928.09076240741</v>
      </c>
      <c r="K1696" t="s">
        <v>990</v>
      </c>
      <c r="L1696">
        <f t="shared" si="26"/>
        <v>1695</v>
      </c>
      <c r="M1696">
        <f>COUNTIF($A$2:A1696,A1696)</f>
        <v>28</v>
      </c>
    </row>
    <row r="1697" spans="1:13" x14ac:dyDescent="0.3">
      <c r="A1697">
        <v>15959</v>
      </c>
      <c r="B1697" t="s">
        <v>989</v>
      </c>
      <c r="C1697" t="s">
        <v>635</v>
      </c>
      <c r="D1697" t="s">
        <v>636</v>
      </c>
      <c r="E1697">
        <v>35</v>
      </c>
      <c r="F1697">
        <v>10.73</v>
      </c>
      <c r="G1697">
        <v>80.84</v>
      </c>
      <c r="H1697">
        <v>8.43</v>
      </c>
      <c r="I1697">
        <v>0</v>
      </c>
      <c r="J1697" s="1">
        <v>45928.090805891203</v>
      </c>
      <c r="K1697" t="s">
        <v>990</v>
      </c>
      <c r="L1697">
        <f t="shared" si="26"/>
        <v>1696</v>
      </c>
      <c r="M1697">
        <f>COUNTIF($A$2:A1697,A1697)</f>
        <v>29</v>
      </c>
    </row>
    <row r="1698" spans="1:13" x14ac:dyDescent="0.3">
      <c r="A1698">
        <v>15959</v>
      </c>
      <c r="B1698" t="s">
        <v>989</v>
      </c>
      <c r="C1698" t="s">
        <v>637</v>
      </c>
      <c r="D1698" t="s">
        <v>638</v>
      </c>
      <c r="E1698">
        <v>17</v>
      </c>
      <c r="F1698">
        <v>72.8</v>
      </c>
      <c r="G1698">
        <v>21.46</v>
      </c>
      <c r="H1698">
        <v>5.75</v>
      </c>
      <c r="I1698">
        <v>0</v>
      </c>
      <c r="J1698" s="1">
        <v>45928.090848229163</v>
      </c>
      <c r="K1698" t="s">
        <v>990</v>
      </c>
      <c r="L1698">
        <f t="shared" si="26"/>
        <v>1697</v>
      </c>
      <c r="M1698">
        <f>COUNTIF($A$2:A1698,A1698)</f>
        <v>30</v>
      </c>
    </row>
    <row r="1699" spans="1:13" x14ac:dyDescent="0.3">
      <c r="A1699">
        <v>15959</v>
      </c>
      <c r="B1699" t="s">
        <v>989</v>
      </c>
      <c r="C1699" t="s">
        <v>1027</v>
      </c>
      <c r="D1699" t="s">
        <v>1028</v>
      </c>
      <c r="E1699">
        <v>20</v>
      </c>
      <c r="F1699">
        <v>65.52</v>
      </c>
      <c r="G1699">
        <v>26.05</v>
      </c>
      <c r="H1699">
        <v>6.13</v>
      </c>
      <c r="I1699">
        <v>2.2999999999999998</v>
      </c>
      <c r="J1699" s="1">
        <v>45928.090869652777</v>
      </c>
      <c r="K1699" t="s">
        <v>990</v>
      </c>
      <c r="L1699">
        <f t="shared" si="26"/>
        <v>1698</v>
      </c>
      <c r="M1699">
        <f>COUNTIF($A$2:A1699,A1699)</f>
        <v>31</v>
      </c>
    </row>
    <row r="1700" spans="1:13" x14ac:dyDescent="0.3">
      <c r="A1700">
        <v>15959</v>
      </c>
      <c r="B1700" t="s">
        <v>989</v>
      </c>
      <c r="C1700" t="s">
        <v>1029</v>
      </c>
      <c r="D1700" t="s">
        <v>1030</v>
      </c>
      <c r="E1700">
        <v>23</v>
      </c>
      <c r="F1700">
        <v>59.39</v>
      </c>
      <c r="G1700">
        <v>30.27</v>
      </c>
      <c r="H1700">
        <v>8.0500000000000007</v>
      </c>
      <c r="I1700">
        <v>2.29</v>
      </c>
      <c r="J1700" s="1">
        <v>45928.090889803243</v>
      </c>
      <c r="K1700" t="s">
        <v>990</v>
      </c>
      <c r="L1700">
        <f t="shared" si="26"/>
        <v>1699</v>
      </c>
      <c r="M1700">
        <f>COUNTIF($A$2:A1700,A1700)</f>
        <v>32</v>
      </c>
    </row>
    <row r="1701" spans="1:13" x14ac:dyDescent="0.3">
      <c r="A1701">
        <v>15959</v>
      </c>
      <c r="B1701" t="s">
        <v>989</v>
      </c>
      <c r="C1701" t="s">
        <v>639</v>
      </c>
      <c r="D1701" t="s">
        <v>640</v>
      </c>
      <c r="E1701">
        <v>24</v>
      </c>
      <c r="F1701">
        <v>55.17</v>
      </c>
      <c r="G1701">
        <v>34.479999999999997</v>
      </c>
      <c r="H1701">
        <v>8.0500000000000007</v>
      </c>
      <c r="I1701">
        <v>2.2999999999999998</v>
      </c>
      <c r="J1701" s="1">
        <v>45928.090907546299</v>
      </c>
      <c r="K1701" t="s">
        <v>990</v>
      </c>
      <c r="L1701">
        <f t="shared" si="26"/>
        <v>1700</v>
      </c>
      <c r="M1701">
        <f>COUNTIF($A$2:A1701,A1701)</f>
        <v>33</v>
      </c>
    </row>
    <row r="1702" spans="1:13" x14ac:dyDescent="0.3">
      <c r="A1702">
        <v>15959</v>
      </c>
      <c r="B1702" t="s">
        <v>989</v>
      </c>
      <c r="C1702" t="s">
        <v>1031</v>
      </c>
      <c r="D1702" t="s">
        <v>1032</v>
      </c>
      <c r="E1702">
        <v>27</v>
      </c>
      <c r="F1702">
        <v>48.28</v>
      </c>
      <c r="G1702">
        <v>41.38</v>
      </c>
      <c r="H1702">
        <v>8.0500000000000007</v>
      </c>
      <c r="I1702">
        <v>2.29</v>
      </c>
      <c r="J1702" s="1">
        <v>45928.090925543984</v>
      </c>
      <c r="K1702" t="s">
        <v>990</v>
      </c>
      <c r="L1702">
        <f t="shared" si="26"/>
        <v>1701</v>
      </c>
      <c r="M1702">
        <f>COUNTIF($A$2:A1702,A1702)</f>
        <v>34</v>
      </c>
    </row>
    <row r="1703" spans="1:13" x14ac:dyDescent="0.3">
      <c r="A1703">
        <v>15959</v>
      </c>
      <c r="B1703" t="s">
        <v>989</v>
      </c>
      <c r="C1703" t="s">
        <v>1033</v>
      </c>
      <c r="D1703" t="s">
        <v>1033</v>
      </c>
      <c r="E1703">
        <v>28</v>
      </c>
      <c r="F1703">
        <v>44.44</v>
      </c>
      <c r="G1703">
        <v>44.83</v>
      </c>
      <c r="H1703">
        <v>8.43</v>
      </c>
      <c r="I1703">
        <v>2.2999999999999998</v>
      </c>
      <c r="J1703" s="1">
        <v>45928.090948229168</v>
      </c>
      <c r="K1703" t="s">
        <v>990</v>
      </c>
      <c r="L1703">
        <f t="shared" si="26"/>
        <v>1702</v>
      </c>
      <c r="M1703">
        <f>COUNTIF($A$2:A1703,A1703)</f>
        <v>35</v>
      </c>
    </row>
    <row r="1704" spans="1:13" x14ac:dyDescent="0.3">
      <c r="A1704">
        <v>15959</v>
      </c>
      <c r="B1704" t="s">
        <v>989</v>
      </c>
      <c r="C1704" t="s">
        <v>1034</v>
      </c>
      <c r="D1704" t="s">
        <v>1035</v>
      </c>
      <c r="E1704">
        <v>30</v>
      </c>
      <c r="F1704">
        <v>41.38</v>
      </c>
      <c r="G1704">
        <v>47.89</v>
      </c>
      <c r="H1704">
        <v>8.43</v>
      </c>
      <c r="I1704">
        <v>2.2999999999999998</v>
      </c>
      <c r="J1704" s="1">
        <v>45928.090969930556</v>
      </c>
      <c r="K1704" t="s">
        <v>990</v>
      </c>
      <c r="L1704">
        <f t="shared" si="26"/>
        <v>1703</v>
      </c>
      <c r="M1704">
        <f>COUNTIF($A$2:A1704,A1704)</f>
        <v>36</v>
      </c>
    </row>
    <row r="1705" spans="1:13" x14ac:dyDescent="0.3">
      <c r="A1705">
        <v>15959</v>
      </c>
      <c r="B1705" t="s">
        <v>989</v>
      </c>
      <c r="C1705" t="s">
        <v>641</v>
      </c>
      <c r="D1705" t="s">
        <v>642</v>
      </c>
      <c r="E1705">
        <v>26</v>
      </c>
      <c r="F1705">
        <v>55.17</v>
      </c>
      <c r="G1705">
        <v>34.1</v>
      </c>
      <c r="H1705">
        <v>8.43</v>
      </c>
      <c r="I1705">
        <v>2.2999999999999998</v>
      </c>
      <c r="J1705" s="1">
        <v>45928.090990891207</v>
      </c>
      <c r="K1705" t="s">
        <v>990</v>
      </c>
      <c r="L1705">
        <f t="shared" si="26"/>
        <v>1704</v>
      </c>
      <c r="M1705">
        <f>COUNTIF($A$2:A1705,A1705)</f>
        <v>37</v>
      </c>
    </row>
    <row r="1706" spans="1:13" x14ac:dyDescent="0.3">
      <c r="A1706">
        <v>15959</v>
      </c>
      <c r="B1706" t="s">
        <v>989</v>
      </c>
      <c r="C1706" t="s">
        <v>643</v>
      </c>
      <c r="D1706" t="s">
        <v>644</v>
      </c>
      <c r="E1706">
        <v>23</v>
      </c>
      <c r="F1706">
        <v>63.6</v>
      </c>
      <c r="G1706">
        <v>28.35</v>
      </c>
      <c r="H1706">
        <v>8.0500000000000007</v>
      </c>
      <c r="I1706">
        <v>0</v>
      </c>
      <c r="J1706" s="1">
        <v>45928.091034849538</v>
      </c>
      <c r="K1706" t="s">
        <v>990</v>
      </c>
      <c r="L1706">
        <f t="shared" si="26"/>
        <v>1705</v>
      </c>
      <c r="M1706">
        <f>COUNTIF($A$2:A1706,A1706)</f>
        <v>38</v>
      </c>
    </row>
    <row r="1707" spans="1:13" x14ac:dyDescent="0.3">
      <c r="A1707">
        <v>15959</v>
      </c>
      <c r="B1707" t="s">
        <v>989</v>
      </c>
      <c r="C1707" t="s">
        <v>645</v>
      </c>
      <c r="D1707" t="s">
        <v>646</v>
      </c>
      <c r="E1707">
        <v>32</v>
      </c>
      <c r="F1707">
        <v>41</v>
      </c>
      <c r="G1707">
        <v>47.51</v>
      </c>
      <c r="H1707">
        <v>11.49</v>
      </c>
      <c r="I1707">
        <v>0</v>
      </c>
      <c r="J1707" s="1">
        <v>45928.091077337966</v>
      </c>
      <c r="K1707" t="s">
        <v>990</v>
      </c>
      <c r="L1707">
        <f t="shared" si="26"/>
        <v>1706</v>
      </c>
      <c r="M1707">
        <f>COUNTIF($A$2:A1707,A1707)</f>
        <v>39</v>
      </c>
    </row>
    <row r="1708" spans="1:13" x14ac:dyDescent="0.3">
      <c r="A1708">
        <v>15959</v>
      </c>
      <c r="B1708" t="s">
        <v>989</v>
      </c>
      <c r="C1708" t="s">
        <v>850</v>
      </c>
      <c r="D1708" t="s">
        <v>851</v>
      </c>
      <c r="E1708">
        <v>35</v>
      </c>
      <c r="F1708">
        <v>38.31</v>
      </c>
      <c r="G1708">
        <v>47.89</v>
      </c>
      <c r="H1708">
        <v>13.79</v>
      </c>
      <c r="I1708">
        <v>0.01</v>
      </c>
      <c r="J1708" s="1">
        <v>45928.091098599536</v>
      </c>
      <c r="K1708" t="s">
        <v>990</v>
      </c>
      <c r="L1708">
        <f t="shared" si="26"/>
        <v>1707</v>
      </c>
      <c r="M1708">
        <f>COUNTIF($A$2:A1708,A1708)</f>
        <v>40</v>
      </c>
    </row>
    <row r="1709" spans="1:13" x14ac:dyDescent="0.3">
      <c r="A1709">
        <v>15959</v>
      </c>
      <c r="B1709" t="s">
        <v>989</v>
      </c>
      <c r="C1709" t="s">
        <v>1036</v>
      </c>
      <c r="D1709" t="s">
        <v>1037</v>
      </c>
      <c r="E1709">
        <v>37</v>
      </c>
      <c r="F1709">
        <v>36.78</v>
      </c>
      <c r="G1709">
        <v>47.51</v>
      </c>
      <c r="H1709">
        <v>15.71</v>
      </c>
      <c r="I1709">
        <v>0</v>
      </c>
      <c r="J1709" s="1">
        <v>45928.091119189812</v>
      </c>
      <c r="K1709" t="s">
        <v>990</v>
      </c>
      <c r="L1709">
        <f t="shared" si="26"/>
        <v>1708</v>
      </c>
      <c r="M1709">
        <f>COUNTIF($A$2:A1709,A1709)</f>
        <v>41</v>
      </c>
    </row>
    <row r="1710" spans="1:13" x14ac:dyDescent="0.3">
      <c r="A1710">
        <v>15959</v>
      </c>
      <c r="B1710" t="s">
        <v>989</v>
      </c>
      <c r="C1710" t="s">
        <v>1038</v>
      </c>
      <c r="D1710" t="s">
        <v>1039</v>
      </c>
      <c r="E1710">
        <v>36</v>
      </c>
      <c r="F1710">
        <v>41</v>
      </c>
      <c r="G1710">
        <v>42.53</v>
      </c>
      <c r="H1710">
        <v>16.48</v>
      </c>
      <c r="I1710">
        <v>0</v>
      </c>
      <c r="J1710" s="1">
        <v>45928.091161481483</v>
      </c>
      <c r="K1710" t="s">
        <v>990</v>
      </c>
      <c r="L1710">
        <f t="shared" si="26"/>
        <v>1709</v>
      </c>
      <c r="M1710">
        <f>COUNTIF($A$2:A1710,A1710)</f>
        <v>42</v>
      </c>
    </row>
    <row r="1711" spans="1:13" x14ac:dyDescent="0.3">
      <c r="A1711">
        <v>15959</v>
      </c>
      <c r="B1711" t="s">
        <v>989</v>
      </c>
      <c r="C1711" t="s">
        <v>848</v>
      </c>
      <c r="D1711" t="s">
        <v>849</v>
      </c>
      <c r="E1711">
        <v>47</v>
      </c>
      <c r="F1711">
        <v>20.69</v>
      </c>
      <c r="G1711">
        <v>57.85</v>
      </c>
      <c r="H1711">
        <v>21.46</v>
      </c>
      <c r="I1711">
        <v>0</v>
      </c>
      <c r="J1711" s="1">
        <v>45928.091183530094</v>
      </c>
      <c r="K1711" t="s">
        <v>990</v>
      </c>
      <c r="L1711">
        <f t="shared" si="26"/>
        <v>1710</v>
      </c>
      <c r="M1711">
        <f>COUNTIF($A$2:A1711,A1711)</f>
        <v>43</v>
      </c>
    </row>
    <row r="1712" spans="1:13" x14ac:dyDescent="0.3">
      <c r="A1712">
        <v>15959</v>
      </c>
      <c r="B1712" t="s">
        <v>989</v>
      </c>
      <c r="C1712" t="s">
        <v>846</v>
      </c>
      <c r="D1712" t="s">
        <v>847</v>
      </c>
      <c r="E1712">
        <v>48</v>
      </c>
      <c r="F1712">
        <v>16.09</v>
      </c>
      <c r="G1712">
        <v>62.84</v>
      </c>
      <c r="H1712">
        <v>21.07</v>
      </c>
      <c r="I1712">
        <v>0</v>
      </c>
      <c r="J1712" s="1">
        <v>45928.09123327546</v>
      </c>
      <c r="K1712" t="s">
        <v>990</v>
      </c>
      <c r="L1712">
        <f t="shared" si="26"/>
        <v>1711</v>
      </c>
      <c r="M1712">
        <f>COUNTIF($A$2:A1712,A1712)</f>
        <v>44</v>
      </c>
    </row>
    <row r="1713" spans="1:13" x14ac:dyDescent="0.3">
      <c r="A1713">
        <v>15959</v>
      </c>
      <c r="B1713" t="s">
        <v>989</v>
      </c>
      <c r="C1713" t="s">
        <v>844</v>
      </c>
      <c r="D1713" t="s">
        <v>845</v>
      </c>
      <c r="E1713">
        <v>49</v>
      </c>
      <c r="F1713">
        <v>17.62</v>
      </c>
      <c r="G1713">
        <v>62.07</v>
      </c>
      <c r="H1713">
        <v>20.309999999999999</v>
      </c>
      <c r="I1713">
        <v>0</v>
      </c>
      <c r="J1713" s="1">
        <v>45928.091277083331</v>
      </c>
      <c r="K1713" t="s">
        <v>990</v>
      </c>
      <c r="L1713">
        <f t="shared" si="26"/>
        <v>1712</v>
      </c>
      <c r="M1713">
        <f>COUNTIF($A$2:A1713,A1713)</f>
        <v>45</v>
      </c>
    </row>
    <row r="1714" spans="1:13" x14ac:dyDescent="0.3">
      <c r="A1714">
        <v>15959</v>
      </c>
      <c r="B1714" t="s">
        <v>989</v>
      </c>
      <c r="C1714" t="s">
        <v>1040</v>
      </c>
      <c r="D1714" t="s">
        <v>1041</v>
      </c>
      <c r="E1714">
        <v>47</v>
      </c>
      <c r="F1714">
        <v>20.69</v>
      </c>
      <c r="G1714">
        <v>60.15</v>
      </c>
      <c r="H1714">
        <v>19.16</v>
      </c>
      <c r="I1714">
        <v>0</v>
      </c>
      <c r="J1714" s="1">
        <v>45928.091325034722</v>
      </c>
      <c r="K1714" t="s">
        <v>990</v>
      </c>
      <c r="L1714">
        <f t="shared" si="26"/>
        <v>1713</v>
      </c>
      <c r="M1714">
        <f>COUNTIF($A$2:A1714,A1714)</f>
        <v>46</v>
      </c>
    </row>
    <row r="1715" spans="1:13" x14ac:dyDescent="0.3">
      <c r="A1715">
        <v>15959</v>
      </c>
      <c r="B1715" t="s">
        <v>989</v>
      </c>
      <c r="C1715" t="s">
        <v>1042</v>
      </c>
      <c r="D1715" t="s">
        <v>1043</v>
      </c>
      <c r="E1715">
        <v>48</v>
      </c>
      <c r="F1715">
        <v>19.920000000000002</v>
      </c>
      <c r="G1715">
        <v>60.54</v>
      </c>
      <c r="H1715">
        <v>19.54</v>
      </c>
      <c r="I1715">
        <v>0</v>
      </c>
      <c r="J1715" s="1">
        <v>45928.0913462963</v>
      </c>
      <c r="K1715" t="s">
        <v>990</v>
      </c>
      <c r="L1715">
        <f t="shared" si="26"/>
        <v>1714</v>
      </c>
      <c r="M1715">
        <f>COUNTIF($A$2:A1715,A1715)</f>
        <v>47</v>
      </c>
    </row>
    <row r="1716" spans="1:13" x14ac:dyDescent="0.3">
      <c r="A1716">
        <v>15959</v>
      </c>
      <c r="B1716" t="s">
        <v>989</v>
      </c>
      <c r="C1716" t="s">
        <v>1044</v>
      </c>
      <c r="D1716" t="s">
        <v>1045</v>
      </c>
      <c r="E1716">
        <v>21</v>
      </c>
      <c r="F1716">
        <v>76.63</v>
      </c>
      <c r="G1716">
        <v>13.41</v>
      </c>
      <c r="H1716">
        <v>9.9600000000000009</v>
      </c>
      <c r="I1716">
        <v>0</v>
      </c>
      <c r="J1716" s="1">
        <v>45928.091394143521</v>
      </c>
      <c r="K1716" t="s">
        <v>990</v>
      </c>
      <c r="L1716">
        <f t="shared" si="26"/>
        <v>1715</v>
      </c>
      <c r="M1716">
        <f>COUNTIF($A$2:A1716,A1716)</f>
        <v>48</v>
      </c>
    </row>
    <row r="1717" spans="1:13" x14ac:dyDescent="0.3">
      <c r="A1717">
        <v>15959</v>
      </c>
      <c r="B1717" t="s">
        <v>989</v>
      </c>
      <c r="C1717" t="s">
        <v>842</v>
      </c>
      <c r="D1717" t="s">
        <v>843</v>
      </c>
      <c r="E1717">
        <v>39</v>
      </c>
      <c r="F1717">
        <v>39.46</v>
      </c>
      <c r="G1717">
        <v>43.68</v>
      </c>
      <c r="H1717">
        <v>16.86</v>
      </c>
      <c r="I1717">
        <v>0</v>
      </c>
      <c r="J1717" s="1">
        <v>45928.091418518517</v>
      </c>
      <c r="K1717" t="s">
        <v>990</v>
      </c>
      <c r="L1717">
        <f t="shared" si="26"/>
        <v>1716</v>
      </c>
      <c r="M1717">
        <f>COUNTIF($A$2:A1717,A1717)</f>
        <v>49</v>
      </c>
    </row>
    <row r="1718" spans="1:13" x14ac:dyDescent="0.3">
      <c r="A1718">
        <v>15959</v>
      </c>
      <c r="B1718" t="s">
        <v>989</v>
      </c>
      <c r="C1718" t="s">
        <v>1046</v>
      </c>
      <c r="D1718" t="s">
        <v>1047</v>
      </c>
      <c r="E1718">
        <v>46</v>
      </c>
      <c r="F1718">
        <v>11.49</v>
      </c>
      <c r="G1718">
        <v>70.88</v>
      </c>
      <c r="H1718">
        <v>17.62</v>
      </c>
      <c r="I1718">
        <v>0.01</v>
      </c>
      <c r="J1718" s="1">
        <v>45928.091438495372</v>
      </c>
      <c r="K1718" t="s">
        <v>990</v>
      </c>
      <c r="L1718">
        <f t="shared" si="26"/>
        <v>1717</v>
      </c>
      <c r="M1718">
        <f>COUNTIF($A$2:A1718,A1718)</f>
        <v>50</v>
      </c>
    </row>
    <row r="1719" spans="1:13" x14ac:dyDescent="0.3">
      <c r="A1719">
        <v>15959</v>
      </c>
      <c r="B1719" t="s">
        <v>989</v>
      </c>
      <c r="C1719" t="s">
        <v>1048</v>
      </c>
      <c r="D1719" t="s">
        <v>1049</v>
      </c>
      <c r="E1719">
        <v>42</v>
      </c>
      <c r="F1719">
        <v>21.46</v>
      </c>
      <c r="G1719">
        <v>63.22</v>
      </c>
      <c r="H1719">
        <v>15.33</v>
      </c>
      <c r="I1719">
        <v>0</v>
      </c>
      <c r="J1719" s="1">
        <v>45928.091484548611</v>
      </c>
      <c r="K1719" t="s">
        <v>990</v>
      </c>
      <c r="L1719">
        <f t="shared" si="26"/>
        <v>1718</v>
      </c>
      <c r="M1719">
        <f>COUNTIF($A$2:A1719,A1719)</f>
        <v>51</v>
      </c>
    </row>
    <row r="1720" spans="1:13" x14ac:dyDescent="0.3">
      <c r="A1720">
        <v>15959</v>
      </c>
      <c r="B1720" t="s">
        <v>989</v>
      </c>
      <c r="C1720" t="s">
        <v>1050</v>
      </c>
      <c r="D1720" t="s">
        <v>1051</v>
      </c>
      <c r="E1720">
        <v>51</v>
      </c>
      <c r="F1720">
        <v>9.1999999999999993</v>
      </c>
      <c r="G1720">
        <v>72.03</v>
      </c>
      <c r="H1720">
        <v>18.77</v>
      </c>
      <c r="I1720">
        <v>0</v>
      </c>
      <c r="J1720" s="1">
        <v>45928.091531828701</v>
      </c>
      <c r="K1720" t="s">
        <v>990</v>
      </c>
      <c r="L1720">
        <f t="shared" si="26"/>
        <v>1719</v>
      </c>
      <c r="M1720">
        <f>COUNTIF($A$2:A1720,A1720)</f>
        <v>52</v>
      </c>
    </row>
    <row r="1721" spans="1:13" x14ac:dyDescent="0.3">
      <c r="A1721">
        <v>15959</v>
      </c>
      <c r="B1721" t="s">
        <v>989</v>
      </c>
      <c r="C1721" t="s">
        <v>1052</v>
      </c>
      <c r="D1721" t="s">
        <v>1053</v>
      </c>
      <c r="E1721">
        <v>54</v>
      </c>
      <c r="F1721">
        <v>6.9</v>
      </c>
      <c r="G1721">
        <v>71.650000000000006</v>
      </c>
      <c r="H1721">
        <v>21.46</v>
      </c>
      <c r="I1721">
        <v>0</v>
      </c>
      <c r="J1721" s="1">
        <v>45928.091579108797</v>
      </c>
      <c r="K1721" t="s">
        <v>990</v>
      </c>
      <c r="L1721">
        <f t="shared" si="26"/>
        <v>1720</v>
      </c>
      <c r="M1721">
        <f>COUNTIF($A$2:A1721,A1721)</f>
        <v>53</v>
      </c>
    </row>
    <row r="1722" spans="1:13" x14ac:dyDescent="0.3">
      <c r="A1722">
        <v>15959</v>
      </c>
      <c r="B1722" t="s">
        <v>989</v>
      </c>
      <c r="C1722" t="s">
        <v>1054</v>
      </c>
      <c r="D1722" t="s">
        <v>1055</v>
      </c>
      <c r="E1722">
        <v>56</v>
      </c>
      <c r="F1722">
        <v>6.51</v>
      </c>
      <c r="G1722">
        <v>70.5</v>
      </c>
      <c r="H1722">
        <v>22.99</v>
      </c>
      <c r="I1722">
        <v>0</v>
      </c>
      <c r="J1722" s="1">
        <v>45928.091624849534</v>
      </c>
      <c r="K1722" t="s">
        <v>990</v>
      </c>
      <c r="L1722">
        <f t="shared" si="26"/>
        <v>1721</v>
      </c>
      <c r="M1722">
        <f>COUNTIF($A$2:A1722,A1722)</f>
        <v>54</v>
      </c>
    </row>
    <row r="1723" spans="1:13" x14ac:dyDescent="0.3">
      <c r="A1723">
        <v>15959</v>
      </c>
      <c r="B1723" t="s">
        <v>989</v>
      </c>
      <c r="C1723" t="s">
        <v>1056</v>
      </c>
      <c r="D1723" t="s">
        <v>1057</v>
      </c>
      <c r="E1723">
        <v>56</v>
      </c>
      <c r="F1723">
        <v>7.28</v>
      </c>
      <c r="G1723">
        <v>68.97</v>
      </c>
      <c r="H1723">
        <v>23.75</v>
      </c>
      <c r="I1723">
        <v>0</v>
      </c>
      <c r="J1723" s="1">
        <v>45928.091649618058</v>
      </c>
      <c r="K1723" t="s">
        <v>990</v>
      </c>
      <c r="L1723">
        <f t="shared" si="26"/>
        <v>1722</v>
      </c>
      <c r="M1723">
        <f>COUNTIF($A$2:A1723,A1723)</f>
        <v>55</v>
      </c>
    </row>
    <row r="1724" spans="1:13" x14ac:dyDescent="0.3">
      <c r="A1724">
        <v>15959</v>
      </c>
      <c r="B1724" t="s">
        <v>989</v>
      </c>
      <c r="C1724" t="s">
        <v>840</v>
      </c>
      <c r="D1724" t="s">
        <v>841</v>
      </c>
      <c r="E1724">
        <v>53</v>
      </c>
      <c r="F1724">
        <v>13.79</v>
      </c>
      <c r="G1724">
        <v>65.52</v>
      </c>
      <c r="H1724">
        <v>20.69</v>
      </c>
      <c r="I1724">
        <v>0</v>
      </c>
      <c r="J1724" s="1">
        <v>45928.091698472221</v>
      </c>
      <c r="K1724" t="s">
        <v>990</v>
      </c>
      <c r="L1724">
        <f t="shared" si="26"/>
        <v>1723</v>
      </c>
      <c r="M1724">
        <f>COUNTIF($A$2:A1724,A1724)</f>
        <v>56</v>
      </c>
    </row>
    <row r="1725" spans="1:13" x14ac:dyDescent="0.3">
      <c r="A1725">
        <v>15959</v>
      </c>
      <c r="B1725" t="s">
        <v>989</v>
      </c>
      <c r="C1725" t="s">
        <v>837</v>
      </c>
      <c r="D1725" t="s">
        <v>838</v>
      </c>
      <c r="E1725">
        <v>17</v>
      </c>
      <c r="F1725">
        <v>71.260000000000005</v>
      </c>
      <c r="G1725">
        <v>16.09</v>
      </c>
      <c r="H1725">
        <v>12.64</v>
      </c>
      <c r="I1725">
        <v>0.01</v>
      </c>
      <c r="J1725" s="1">
        <v>45928.091717280091</v>
      </c>
      <c r="K1725" t="s">
        <v>990</v>
      </c>
      <c r="L1725">
        <f t="shared" si="26"/>
        <v>1724</v>
      </c>
      <c r="M1725">
        <f>COUNTIF($A$2:A1725,A1725)</f>
        <v>57</v>
      </c>
    </row>
    <row r="1726" spans="1:13" x14ac:dyDescent="0.3">
      <c r="A1726">
        <v>15960</v>
      </c>
      <c r="B1726" t="s">
        <v>989</v>
      </c>
      <c r="C1726" t="s">
        <v>837</v>
      </c>
      <c r="D1726" t="s">
        <v>838</v>
      </c>
      <c r="F1726">
        <v>96.54</v>
      </c>
      <c r="G1726">
        <v>2.69</v>
      </c>
      <c r="H1726">
        <v>0.77</v>
      </c>
      <c r="I1726">
        <v>0</v>
      </c>
      <c r="J1726" s="1">
        <v>45928.091790081016</v>
      </c>
      <c r="K1726" t="s">
        <v>1058</v>
      </c>
      <c r="L1726">
        <f t="shared" si="26"/>
        <v>1725</v>
      </c>
      <c r="M1726">
        <f>COUNTIF($A$2:A1726,A1726)</f>
        <v>1</v>
      </c>
    </row>
    <row r="1727" spans="1:13" x14ac:dyDescent="0.3">
      <c r="A1727">
        <v>15960</v>
      </c>
      <c r="B1727" t="s">
        <v>989</v>
      </c>
      <c r="C1727" t="s">
        <v>840</v>
      </c>
      <c r="D1727" t="s">
        <v>841</v>
      </c>
      <c r="E1727">
        <v>15</v>
      </c>
      <c r="F1727">
        <v>65.77</v>
      </c>
      <c r="G1727">
        <v>30.38</v>
      </c>
      <c r="H1727">
        <v>3.85</v>
      </c>
      <c r="I1727">
        <v>0</v>
      </c>
      <c r="J1727" s="1">
        <v>45928.091838796296</v>
      </c>
      <c r="K1727" t="s">
        <v>1058</v>
      </c>
      <c r="L1727">
        <f t="shared" si="26"/>
        <v>1726</v>
      </c>
      <c r="M1727">
        <f>COUNTIF($A$2:A1727,A1727)</f>
        <v>2</v>
      </c>
    </row>
    <row r="1728" spans="1:13" x14ac:dyDescent="0.3">
      <c r="A1728">
        <v>15960</v>
      </c>
      <c r="B1728" t="s">
        <v>989</v>
      </c>
      <c r="C1728" t="s">
        <v>1056</v>
      </c>
      <c r="D1728" t="s">
        <v>1057</v>
      </c>
      <c r="E1728">
        <v>18</v>
      </c>
      <c r="F1728">
        <v>57.31</v>
      </c>
      <c r="G1728">
        <v>37.69</v>
      </c>
      <c r="H1728">
        <v>5</v>
      </c>
      <c r="I1728">
        <v>0</v>
      </c>
      <c r="J1728" s="1">
        <v>45928.091858113425</v>
      </c>
      <c r="K1728" t="s">
        <v>1058</v>
      </c>
      <c r="L1728">
        <f t="shared" si="26"/>
        <v>1727</v>
      </c>
      <c r="M1728">
        <f>COUNTIF($A$2:A1728,A1728)</f>
        <v>3</v>
      </c>
    </row>
    <row r="1729" spans="1:13" x14ac:dyDescent="0.3">
      <c r="A1729">
        <v>15960</v>
      </c>
      <c r="B1729" t="s">
        <v>989</v>
      </c>
      <c r="C1729" t="s">
        <v>1054</v>
      </c>
      <c r="D1729" t="s">
        <v>1055</v>
      </c>
      <c r="E1729">
        <v>23</v>
      </c>
      <c r="F1729">
        <v>44.62</v>
      </c>
      <c r="G1729">
        <v>48.85</v>
      </c>
      <c r="H1729">
        <v>6.54</v>
      </c>
      <c r="I1729">
        <v>0</v>
      </c>
      <c r="J1729" s="1">
        <v>45928.09190673611</v>
      </c>
      <c r="K1729" t="s">
        <v>1058</v>
      </c>
      <c r="L1729">
        <f t="shared" si="26"/>
        <v>1728</v>
      </c>
      <c r="M1729">
        <f>COUNTIF($A$2:A1729,A1729)</f>
        <v>4</v>
      </c>
    </row>
    <row r="1730" spans="1:13" x14ac:dyDescent="0.3">
      <c r="A1730">
        <v>15960</v>
      </c>
      <c r="B1730" t="s">
        <v>989</v>
      </c>
      <c r="C1730" t="s">
        <v>1052</v>
      </c>
      <c r="D1730" t="s">
        <v>1053</v>
      </c>
      <c r="E1730">
        <v>20</v>
      </c>
      <c r="F1730">
        <v>50</v>
      </c>
      <c r="G1730">
        <v>43.08</v>
      </c>
      <c r="H1730">
        <v>6.92</v>
      </c>
      <c r="I1730">
        <v>0</v>
      </c>
      <c r="J1730" s="1">
        <v>45928.09195115741</v>
      </c>
      <c r="K1730" t="s">
        <v>1058</v>
      </c>
      <c r="L1730">
        <f t="shared" ref="L1730:L1793" si="27">ROW()-1</f>
        <v>1729</v>
      </c>
      <c r="M1730">
        <f>COUNTIF($A$2:A1730,A1730)</f>
        <v>5</v>
      </c>
    </row>
    <row r="1731" spans="1:13" x14ac:dyDescent="0.3">
      <c r="A1731">
        <v>15960</v>
      </c>
      <c r="B1731" t="s">
        <v>989</v>
      </c>
      <c r="C1731" t="s">
        <v>1050</v>
      </c>
      <c r="D1731" t="s">
        <v>1051</v>
      </c>
      <c r="E1731">
        <v>29</v>
      </c>
      <c r="F1731">
        <v>41.15</v>
      </c>
      <c r="G1731">
        <v>49.23</v>
      </c>
      <c r="H1731">
        <v>9.6199999999999992</v>
      </c>
      <c r="I1731">
        <v>0</v>
      </c>
      <c r="J1731" s="1">
        <v>45928.091992384259</v>
      </c>
      <c r="K1731" t="s">
        <v>1058</v>
      </c>
      <c r="L1731">
        <f t="shared" si="27"/>
        <v>1730</v>
      </c>
      <c r="M1731">
        <f>COUNTIF($A$2:A1731,A1731)</f>
        <v>6</v>
      </c>
    </row>
    <row r="1732" spans="1:13" x14ac:dyDescent="0.3">
      <c r="A1732">
        <v>15960</v>
      </c>
      <c r="B1732" t="s">
        <v>989</v>
      </c>
      <c r="C1732" t="s">
        <v>1048</v>
      </c>
      <c r="D1732" t="s">
        <v>1049</v>
      </c>
      <c r="E1732">
        <v>44</v>
      </c>
      <c r="F1732">
        <v>19.23</v>
      </c>
      <c r="G1732">
        <v>51.92</v>
      </c>
      <c r="H1732">
        <v>28.85</v>
      </c>
      <c r="I1732">
        <v>0</v>
      </c>
      <c r="J1732" s="1">
        <v>45928.092033263893</v>
      </c>
      <c r="K1732" t="s">
        <v>1058</v>
      </c>
      <c r="L1732">
        <f t="shared" si="27"/>
        <v>1731</v>
      </c>
      <c r="M1732">
        <f>COUNTIF($A$2:A1732,A1732)</f>
        <v>7</v>
      </c>
    </row>
    <row r="1733" spans="1:13" x14ac:dyDescent="0.3">
      <c r="A1733">
        <v>15960</v>
      </c>
      <c r="B1733" t="s">
        <v>989</v>
      </c>
      <c r="C1733" t="s">
        <v>1046</v>
      </c>
      <c r="D1733" t="s">
        <v>1047</v>
      </c>
      <c r="E1733">
        <v>50</v>
      </c>
      <c r="F1733">
        <v>10.38</v>
      </c>
      <c r="G1733">
        <v>53.08</v>
      </c>
      <c r="H1733">
        <v>36.54</v>
      </c>
      <c r="I1733">
        <v>0</v>
      </c>
      <c r="J1733" s="1">
        <v>45928.092078043985</v>
      </c>
      <c r="K1733" t="s">
        <v>1058</v>
      </c>
      <c r="L1733">
        <f t="shared" si="27"/>
        <v>1732</v>
      </c>
      <c r="M1733">
        <f>COUNTIF($A$2:A1733,A1733)</f>
        <v>8</v>
      </c>
    </row>
    <row r="1734" spans="1:13" x14ac:dyDescent="0.3">
      <c r="A1734">
        <v>15960</v>
      </c>
      <c r="B1734" t="s">
        <v>989</v>
      </c>
      <c r="C1734" t="s">
        <v>842</v>
      </c>
      <c r="D1734" t="s">
        <v>843</v>
      </c>
      <c r="E1734">
        <v>34</v>
      </c>
      <c r="F1734">
        <v>16.149999999999999</v>
      </c>
      <c r="G1734">
        <v>77.69</v>
      </c>
      <c r="H1734">
        <v>6.15</v>
      </c>
      <c r="I1734">
        <v>0.01</v>
      </c>
      <c r="J1734" s="1">
        <v>45928.09209578704</v>
      </c>
      <c r="K1734" t="s">
        <v>1058</v>
      </c>
      <c r="L1734">
        <f t="shared" si="27"/>
        <v>1733</v>
      </c>
      <c r="M1734">
        <f>COUNTIF($A$2:A1734,A1734)</f>
        <v>9</v>
      </c>
    </row>
    <row r="1735" spans="1:13" x14ac:dyDescent="0.3">
      <c r="A1735">
        <v>15960</v>
      </c>
      <c r="B1735" t="s">
        <v>989</v>
      </c>
      <c r="C1735" t="s">
        <v>1044</v>
      </c>
      <c r="D1735" t="s">
        <v>1045</v>
      </c>
      <c r="E1735">
        <v>8</v>
      </c>
      <c r="F1735">
        <v>91.15</v>
      </c>
      <c r="G1735">
        <v>6.54</v>
      </c>
      <c r="H1735">
        <v>2.31</v>
      </c>
      <c r="I1735">
        <v>0</v>
      </c>
      <c r="J1735" s="1">
        <v>45928.092139328706</v>
      </c>
      <c r="K1735" t="s">
        <v>1058</v>
      </c>
      <c r="L1735">
        <f t="shared" si="27"/>
        <v>1734</v>
      </c>
      <c r="M1735">
        <f>COUNTIF($A$2:A1735,A1735)</f>
        <v>10</v>
      </c>
    </row>
    <row r="1736" spans="1:13" x14ac:dyDescent="0.3">
      <c r="A1736">
        <v>15960</v>
      </c>
      <c r="B1736" t="s">
        <v>989</v>
      </c>
      <c r="C1736" t="s">
        <v>1042</v>
      </c>
      <c r="D1736" t="s">
        <v>1043</v>
      </c>
      <c r="E1736">
        <v>11</v>
      </c>
      <c r="F1736">
        <v>85</v>
      </c>
      <c r="G1736">
        <v>11.92</v>
      </c>
      <c r="H1736">
        <v>3.08</v>
      </c>
      <c r="I1736">
        <v>0</v>
      </c>
      <c r="J1736" s="1">
        <v>45928.0921590625</v>
      </c>
      <c r="K1736" t="s">
        <v>1058</v>
      </c>
      <c r="L1736">
        <f t="shared" si="27"/>
        <v>1735</v>
      </c>
      <c r="M1736">
        <f>COUNTIF($A$2:A1736,A1736)</f>
        <v>11</v>
      </c>
    </row>
    <row r="1737" spans="1:13" x14ac:dyDescent="0.3">
      <c r="A1737">
        <v>15960</v>
      </c>
      <c r="B1737" t="s">
        <v>989</v>
      </c>
      <c r="C1737" t="s">
        <v>1040</v>
      </c>
      <c r="D1737" t="s">
        <v>1041</v>
      </c>
      <c r="E1737">
        <v>13</v>
      </c>
      <c r="F1737">
        <v>80.38</v>
      </c>
      <c r="G1737">
        <v>16.149999999999999</v>
      </c>
      <c r="H1737">
        <v>3.46</v>
      </c>
      <c r="I1737">
        <v>0.01</v>
      </c>
      <c r="J1737" s="1">
        <v>45928.092176469909</v>
      </c>
      <c r="K1737" t="s">
        <v>1058</v>
      </c>
      <c r="L1737">
        <f t="shared" si="27"/>
        <v>1736</v>
      </c>
      <c r="M1737">
        <f>COUNTIF($A$2:A1737,A1737)</f>
        <v>12</v>
      </c>
    </row>
    <row r="1738" spans="1:13" x14ac:dyDescent="0.3">
      <c r="A1738">
        <v>15960</v>
      </c>
      <c r="B1738" t="s">
        <v>989</v>
      </c>
      <c r="C1738" t="s">
        <v>844</v>
      </c>
      <c r="D1738" t="s">
        <v>845</v>
      </c>
      <c r="E1738">
        <v>20</v>
      </c>
      <c r="F1738">
        <v>50</v>
      </c>
      <c r="G1738">
        <v>45.77</v>
      </c>
      <c r="H1738">
        <v>4.2300000000000004</v>
      </c>
      <c r="I1738">
        <v>0</v>
      </c>
      <c r="J1738" s="1">
        <v>45928.092221597224</v>
      </c>
      <c r="K1738" t="s">
        <v>1058</v>
      </c>
      <c r="L1738">
        <f t="shared" si="27"/>
        <v>1737</v>
      </c>
      <c r="M1738">
        <f>COUNTIF($A$2:A1738,A1738)</f>
        <v>13</v>
      </c>
    </row>
    <row r="1739" spans="1:13" x14ac:dyDescent="0.3">
      <c r="A1739">
        <v>15960</v>
      </c>
      <c r="B1739" t="s">
        <v>989</v>
      </c>
      <c r="C1739" t="s">
        <v>846</v>
      </c>
      <c r="D1739" t="s">
        <v>847</v>
      </c>
      <c r="F1739">
        <v>38.08</v>
      </c>
      <c r="G1739">
        <v>56.92</v>
      </c>
      <c r="H1739">
        <v>5</v>
      </c>
      <c r="I1739">
        <v>0</v>
      </c>
      <c r="J1739" s="1">
        <v>45928.092250937501</v>
      </c>
      <c r="K1739" t="s">
        <v>1058</v>
      </c>
      <c r="L1739">
        <f t="shared" si="27"/>
        <v>1738</v>
      </c>
      <c r="M1739">
        <f>COUNTIF($A$2:A1739,A1739)</f>
        <v>14</v>
      </c>
    </row>
    <row r="1740" spans="1:13" x14ac:dyDescent="0.3">
      <c r="A1740">
        <v>15960</v>
      </c>
      <c r="B1740" t="s">
        <v>989</v>
      </c>
      <c r="C1740" t="s">
        <v>848</v>
      </c>
      <c r="D1740" t="s">
        <v>849</v>
      </c>
      <c r="E1740">
        <v>23</v>
      </c>
      <c r="F1740">
        <v>50</v>
      </c>
      <c r="G1740">
        <v>44.62</v>
      </c>
      <c r="H1740">
        <v>5.38</v>
      </c>
      <c r="I1740">
        <v>0</v>
      </c>
      <c r="J1740" s="1">
        <v>45928.092291909721</v>
      </c>
      <c r="K1740" t="s">
        <v>1058</v>
      </c>
      <c r="L1740">
        <f t="shared" si="27"/>
        <v>1739</v>
      </c>
      <c r="M1740">
        <f>COUNTIF($A$2:A1740,A1740)</f>
        <v>15</v>
      </c>
    </row>
    <row r="1741" spans="1:13" x14ac:dyDescent="0.3">
      <c r="A1741">
        <v>15960</v>
      </c>
      <c r="B1741" t="s">
        <v>989</v>
      </c>
      <c r="C1741" t="s">
        <v>1038</v>
      </c>
      <c r="D1741" t="s">
        <v>1039</v>
      </c>
      <c r="E1741">
        <v>19</v>
      </c>
      <c r="F1741">
        <v>56.92</v>
      </c>
      <c r="G1741">
        <v>37.31</v>
      </c>
      <c r="H1741">
        <v>5.77</v>
      </c>
      <c r="I1741">
        <v>0</v>
      </c>
      <c r="J1741" s="1">
        <v>45928.092332152781</v>
      </c>
      <c r="K1741" t="s">
        <v>1058</v>
      </c>
      <c r="L1741">
        <f t="shared" si="27"/>
        <v>1740</v>
      </c>
      <c r="M1741">
        <f>COUNTIF($A$2:A1741,A1741)</f>
        <v>16</v>
      </c>
    </row>
    <row r="1742" spans="1:13" x14ac:dyDescent="0.3">
      <c r="A1742">
        <v>15960</v>
      </c>
      <c r="B1742" t="s">
        <v>989</v>
      </c>
      <c r="C1742" t="s">
        <v>1036</v>
      </c>
      <c r="D1742" t="s">
        <v>1037</v>
      </c>
      <c r="E1742">
        <v>21</v>
      </c>
      <c r="F1742">
        <v>53.85</v>
      </c>
      <c r="G1742">
        <v>40</v>
      </c>
      <c r="H1742">
        <v>6.15</v>
      </c>
      <c r="I1742">
        <v>0</v>
      </c>
      <c r="J1742" s="1">
        <v>45928.092376666667</v>
      </c>
      <c r="K1742" t="s">
        <v>1058</v>
      </c>
      <c r="L1742">
        <f t="shared" si="27"/>
        <v>1741</v>
      </c>
      <c r="M1742">
        <f>COUNTIF($A$2:A1742,A1742)</f>
        <v>17</v>
      </c>
    </row>
    <row r="1743" spans="1:13" x14ac:dyDescent="0.3">
      <c r="A1743">
        <v>15960</v>
      </c>
      <c r="B1743" t="s">
        <v>989</v>
      </c>
      <c r="C1743" t="s">
        <v>850</v>
      </c>
      <c r="D1743" t="s">
        <v>851</v>
      </c>
      <c r="E1743">
        <v>25</v>
      </c>
      <c r="F1743">
        <v>45.77</v>
      </c>
      <c r="G1743">
        <v>46.54</v>
      </c>
      <c r="H1743">
        <v>7.69</v>
      </c>
      <c r="I1743">
        <v>0</v>
      </c>
      <c r="J1743" s="1">
        <v>45928.092420393521</v>
      </c>
      <c r="K1743" t="s">
        <v>1058</v>
      </c>
      <c r="L1743">
        <f t="shared" si="27"/>
        <v>1742</v>
      </c>
      <c r="M1743">
        <f>COUNTIF($A$2:A1743,A1743)</f>
        <v>18</v>
      </c>
    </row>
    <row r="1744" spans="1:13" x14ac:dyDescent="0.3">
      <c r="A1744">
        <v>15960</v>
      </c>
      <c r="B1744" t="s">
        <v>989</v>
      </c>
      <c r="C1744" t="s">
        <v>645</v>
      </c>
      <c r="D1744" t="s">
        <v>646</v>
      </c>
      <c r="F1744">
        <v>35.770000000000003</v>
      </c>
      <c r="G1744">
        <v>50.38</v>
      </c>
      <c r="H1744">
        <v>13.85</v>
      </c>
      <c r="I1744">
        <v>0</v>
      </c>
      <c r="J1744" s="1">
        <v>45928.092452500001</v>
      </c>
      <c r="K1744" t="s">
        <v>1058</v>
      </c>
      <c r="L1744">
        <f t="shared" si="27"/>
        <v>1743</v>
      </c>
      <c r="M1744">
        <f>COUNTIF($A$2:A1744,A1744)</f>
        <v>19</v>
      </c>
    </row>
    <row r="1745" spans="1:13" x14ac:dyDescent="0.3">
      <c r="A1745">
        <v>15960</v>
      </c>
      <c r="B1745" t="s">
        <v>989</v>
      </c>
      <c r="C1745" t="s">
        <v>643</v>
      </c>
      <c r="D1745" t="s">
        <v>644</v>
      </c>
      <c r="E1745">
        <v>35</v>
      </c>
      <c r="F1745">
        <v>33.46</v>
      </c>
      <c r="G1745">
        <v>51.92</v>
      </c>
      <c r="H1745">
        <v>14.62</v>
      </c>
      <c r="I1745">
        <v>0</v>
      </c>
      <c r="J1745" s="1">
        <v>45928.092498611113</v>
      </c>
      <c r="K1745" t="s">
        <v>1058</v>
      </c>
      <c r="L1745">
        <f t="shared" si="27"/>
        <v>1744</v>
      </c>
      <c r="M1745">
        <f>COUNTIF($A$2:A1745,A1745)</f>
        <v>20</v>
      </c>
    </row>
    <row r="1746" spans="1:13" x14ac:dyDescent="0.3">
      <c r="A1746">
        <v>15960</v>
      </c>
      <c r="B1746" t="s">
        <v>989</v>
      </c>
      <c r="C1746" t="s">
        <v>641</v>
      </c>
      <c r="D1746" t="s">
        <v>642</v>
      </c>
      <c r="F1746">
        <v>65.77</v>
      </c>
      <c r="G1746">
        <v>25.77</v>
      </c>
      <c r="H1746">
        <v>7.31</v>
      </c>
      <c r="I1746">
        <v>1.1499999999999999</v>
      </c>
      <c r="J1746" s="1">
        <v>45928.092527569446</v>
      </c>
      <c r="K1746" t="s">
        <v>1058</v>
      </c>
      <c r="L1746">
        <f t="shared" si="27"/>
        <v>1745</v>
      </c>
      <c r="M1746">
        <f>COUNTIF($A$2:A1746,A1746)</f>
        <v>21</v>
      </c>
    </row>
    <row r="1747" spans="1:13" x14ac:dyDescent="0.3">
      <c r="A1747">
        <v>15960</v>
      </c>
      <c r="B1747" t="s">
        <v>989</v>
      </c>
      <c r="C1747" t="s">
        <v>1034</v>
      </c>
      <c r="D1747" t="s">
        <v>1035</v>
      </c>
      <c r="E1747">
        <v>23</v>
      </c>
      <c r="F1747">
        <v>58.08</v>
      </c>
      <c r="G1747">
        <v>33.08</v>
      </c>
      <c r="H1747">
        <v>7.69</v>
      </c>
      <c r="I1747">
        <v>1.1499999999999999</v>
      </c>
      <c r="J1747" s="1">
        <v>45928.09254391204</v>
      </c>
      <c r="K1747" t="s">
        <v>1058</v>
      </c>
      <c r="L1747">
        <f t="shared" si="27"/>
        <v>1746</v>
      </c>
      <c r="M1747">
        <f>COUNTIF($A$2:A1747,A1747)</f>
        <v>22</v>
      </c>
    </row>
    <row r="1748" spans="1:13" x14ac:dyDescent="0.3">
      <c r="A1748">
        <v>15960</v>
      </c>
      <c r="B1748" t="s">
        <v>989</v>
      </c>
      <c r="C1748" t="s">
        <v>1033</v>
      </c>
      <c r="D1748" t="s">
        <v>1033</v>
      </c>
      <c r="E1748">
        <v>26</v>
      </c>
      <c r="F1748">
        <v>48.08</v>
      </c>
      <c r="G1748">
        <v>40.770000000000003</v>
      </c>
      <c r="H1748">
        <v>10</v>
      </c>
      <c r="I1748">
        <v>1.1499999999999999</v>
      </c>
      <c r="J1748" s="1">
        <v>45928.092561041667</v>
      </c>
      <c r="K1748" t="s">
        <v>1058</v>
      </c>
      <c r="L1748">
        <f t="shared" si="27"/>
        <v>1747</v>
      </c>
      <c r="M1748">
        <f>COUNTIF($A$2:A1748,A1748)</f>
        <v>23</v>
      </c>
    </row>
    <row r="1749" spans="1:13" x14ac:dyDescent="0.3">
      <c r="A1749">
        <v>15960</v>
      </c>
      <c r="B1749" t="s">
        <v>989</v>
      </c>
      <c r="C1749" t="s">
        <v>1031</v>
      </c>
      <c r="D1749" t="s">
        <v>1032</v>
      </c>
      <c r="E1749">
        <v>30</v>
      </c>
      <c r="F1749">
        <v>36.54</v>
      </c>
      <c r="G1749">
        <v>50.38</v>
      </c>
      <c r="H1749">
        <v>11.92</v>
      </c>
      <c r="I1749">
        <v>1.1599999999999999</v>
      </c>
      <c r="J1749" s="1">
        <v>45928.092580613426</v>
      </c>
      <c r="K1749" t="s">
        <v>1058</v>
      </c>
      <c r="L1749">
        <f t="shared" si="27"/>
        <v>1748</v>
      </c>
      <c r="M1749">
        <f>COUNTIF($A$2:A1749,A1749)</f>
        <v>24</v>
      </c>
    </row>
    <row r="1750" spans="1:13" x14ac:dyDescent="0.3">
      <c r="A1750">
        <v>15960</v>
      </c>
      <c r="B1750" t="s">
        <v>989</v>
      </c>
      <c r="C1750" t="s">
        <v>639</v>
      </c>
      <c r="D1750" t="s">
        <v>640</v>
      </c>
      <c r="E1750">
        <v>31</v>
      </c>
      <c r="F1750">
        <v>36.92</v>
      </c>
      <c r="G1750">
        <v>49.62</v>
      </c>
      <c r="H1750">
        <v>12.31</v>
      </c>
      <c r="I1750">
        <v>1.1499999999999999</v>
      </c>
      <c r="J1750" s="1">
        <v>45928.092597199073</v>
      </c>
      <c r="K1750" t="s">
        <v>1058</v>
      </c>
      <c r="L1750">
        <f t="shared" si="27"/>
        <v>1749</v>
      </c>
      <c r="M1750">
        <f>COUNTIF($A$2:A1750,A1750)</f>
        <v>25</v>
      </c>
    </row>
    <row r="1751" spans="1:13" x14ac:dyDescent="0.3">
      <c r="A1751">
        <v>15960</v>
      </c>
      <c r="B1751" t="s">
        <v>989</v>
      </c>
      <c r="C1751" t="s">
        <v>1029</v>
      </c>
      <c r="D1751" t="s">
        <v>1030</v>
      </c>
      <c r="E1751">
        <v>35</v>
      </c>
      <c r="F1751">
        <v>27.69</v>
      </c>
      <c r="G1751">
        <v>56.92</v>
      </c>
      <c r="H1751">
        <v>14.23</v>
      </c>
      <c r="I1751">
        <v>1.1599999999999999</v>
      </c>
      <c r="J1751" s="1">
        <v>45928.092614699075</v>
      </c>
      <c r="K1751" t="s">
        <v>1058</v>
      </c>
      <c r="L1751">
        <f t="shared" si="27"/>
        <v>1750</v>
      </c>
      <c r="M1751">
        <f>COUNTIF($A$2:A1751,A1751)</f>
        <v>26</v>
      </c>
    </row>
    <row r="1752" spans="1:13" x14ac:dyDescent="0.3">
      <c r="A1752">
        <v>15960</v>
      </c>
      <c r="B1752" t="s">
        <v>989</v>
      </c>
      <c r="C1752" t="s">
        <v>1027</v>
      </c>
      <c r="D1752" t="s">
        <v>1028</v>
      </c>
      <c r="E1752">
        <v>41</v>
      </c>
      <c r="F1752">
        <v>17.690000000000001</v>
      </c>
      <c r="G1752">
        <v>63.08</v>
      </c>
      <c r="H1752">
        <v>18.079999999999998</v>
      </c>
      <c r="I1752">
        <v>1.1499999999999999</v>
      </c>
      <c r="J1752" s="1">
        <v>45928.09263136574</v>
      </c>
      <c r="K1752" t="s">
        <v>1058</v>
      </c>
      <c r="L1752">
        <f t="shared" si="27"/>
        <v>1751</v>
      </c>
      <c r="M1752">
        <f>COUNTIF($A$2:A1752,A1752)</f>
        <v>27</v>
      </c>
    </row>
    <row r="1753" spans="1:13" x14ac:dyDescent="0.3">
      <c r="A1753">
        <v>15960</v>
      </c>
      <c r="B1753" t="s">
        <v>989</v>
      </c>
      <c r="C1753" t="s">
        <v>637</v>
      </c>
      <c r="D1753" t="s">
        <v>638</v>
      </c>
      <c r="E1753">
        <v>28</v>
      </c>
      <c r="F1753">
        <v>59.62</v>
      </c>
      <c r="G1753">
        <v>25.38</v>
      </c>
      <c r="H1753">
        <v>15</v>
      </c>
      <c r="I1753">
        <v>0</v>
      </c>
      <c r="J1753" s="1">
        <v>45928.092672314815</v>
      </c>
      <c r="K1753" t="s">
        <v>1058</v>
      </c>
      <c r="L1753">
        <f t="shared" si="27"/>
        <v>1752</v>
      </c>
      <c r="M1753">
        <f>COUNTIF($A$2:A1753,A1753)</f>
        <v>28</v>
      </c>
    </row>
    <row r="1754" spans="1:13" x14ac:dyDescent="0.3">
      <c r="A1754">
        <v>15960</v>
      </c>
      <c r="B1754" t="s">
        <v>989</v>
      </c>
      <c r="C1754" t="s">
        <v>635</v>
      </c>
      <c r="D1754" t="s">
        <v>636</v>
      </c>
      <c r="E1754">
        <v>32</v>
      </c>
      <c r="F1754">
        <v>53.08</v>
      </c>
      <c r="G1754">
        <v>30</v>
      </c>
      <c r="H1754">
        <v>16.920000000000002</v>
      </c>
      <c r="I1754">
        <v>0</v>
      </c>
      <c r="J1754" s="1">
        <v>45928.092690219906</v>
      </c>
      <c r="K1754" t="s">
        <v>1058</v>
      </c>
      <c r="L1754">
        <f t="shared" si="27"/>
        <v>1753</v>
      </c>
      <c r="M1754">
        <f>COUNTIF($A$2:A1754,A1754)</f>
        <v>29</v>
      </c>
    </row>
    <row r="1755" spans="1:13" x14ac:dyDescent="0.3">
      <c r="A1755">
        <v>15960</v>
      </c>
      <c r="B1755" t="s">
        <v>989</v>
      </c>
      <c r="C1755" t="s">
        <v>1025</v>
      </c>
      <c r="D1755" t="s">
        <v>1026</v>
      </c>
      <c r="E1755">
        <v>35</v>
      </c>
      <c r="F1755">
        <v>49.23</v>
      </c>
      <c r="G1755">
        <v>33.08</v>
      </c>
      <c r="H1755">
        <v>17.690000000000001</v>
      </c>
      <c r="I1755">
        <v>0</v>
      </c>
      <c r="J1755" s="1">
        <v>45928.092729988428</v>
      </c>
      <c r="K1755" t="s">
        <v>1058</v>
      </c>
      <c r="L1755">
        <f t="shared" si="27"/>
        <v>1754</v>
      </c>
      <c r="M1755">
        <f>COUNTIF($A$2:A1755,A1755)</f>
        <v>30</v>
      </c>
    </row>
    <row r="1756" spans="1:13" x14ac:dyDescent="0.3">
      <c r="A1756">
        <v>15960</v>
      </c>
      <c r="B1756" t="s">
        <v>989</v>
      </c>
      <c r="C1756" t="s">
        <v>1023</v>
      </c>
      <c r="D1756" t="s">
        <v>1024</v>
      </c>
      <c r="E1756">
        <v>11</v>
      </c>
      <c r="F1756">
        <v>1.1499999999999999</v>
      </c>
      <c r="G1756">
        <v>0.38</v>
      </c>
      <c r="H1756">
        <v>0</v>
      </c>
      <c r="I1756">
        <v>98.47</v>
      </c>
      <c r="J1756" s="1">
        <v>45928.092745983799</v>
      </c>
      <c r="K1756" t="s">
        <v>1058</v>
      </c>
      <c r="L1756">
        <f t="shared" si="27"/>
        <v>1755</v>
      </c>
      <c r="M1756">
        <f>COUNTIF($A$2:A1756,A1756)</f>
        <v>31</v>
      </c>
    </row>
    <row r="1757" spans="1:13" x14ac:dyDescent="0.3">
      <c r="A1757">
        <v>15960</v>
      </c>
      <c r="B1757" t="s">
        <v>989</v>
      </c>
      <c r="C1757" t="s">
        <v>1021</v>
      </c>
      <c r="D1757" t="s">
        <v>1022</v>
      </c>
      <c r="E1757">
        <v>39</v>
      </c>
      <c r="F1757">
        <v>40</v>
      </c>
      <c r="G1757">
        <v>40.770000000000003</v>
      </c>
      <c r="H1757">
        <v>18.850000000000001</v>
      </c>
      <c r="I1757">
        <v>0.38</v>
      </c>
      <c r="J1757" s="1">
        <v>45928.092764328707</v>
      </c>
      <c r="K1757" t="s">
        <v>1058</v>
      </c>
      <c r="L1757">
        <f t="shared" si="27"/>
        <v>1756</v>
      </c>
      <c r="M1757">
        <f>COUNTIF($A$2:A1757,A1757)</f>
        <v>32</v>
      </c>
    </row>
    <row r="1758" spans="1:13" x14ac:dyDescent="0.3">
      <c r="A1758">
        <v>15960</v>
      </c>
      <c r="B1758" t="s">
        <v>989</v>
      </c>
      <c r="C1758" t="s">
        <v>633</v>
      </c>
      <c r="D1758" t="s">
        <v>634</v>
      </c>
      <c r="E1758">
        <v>37</v>
      </c>
      <c r="F1758">
        <v>44.62</v>
      </c>
      <c r="G1758">
        <v>36.15</v>
      </c>
      <c r="H1758">
        <v>18.46</v>
      </c>
      <c r="I1758">
        <v>0.77</v>
      </c>
      <c r="J1758" s="1">
        <v>45928.092784837965</v>
      </c>
      <c r="K1758" t="s">
        <v>1058</v>
      </c>
      <c r="L1758">
        <f t="shared" si="27"/>
        <v>1757</v>
      </c>
      <c r="M1758">
        <f>COUNTIF($A$2:A1758,A1758)</f>
        <v>33</v>
      </c>
    </row>
    <row r="1759" spans="1:13" x14ac:dyDescent="0.3">
      <c r="A1759">
        <v>15960</v>
      </c>
      <c r="B1759" t="s">
        <v>989</v>
      </c>
      <c r="C1759" t="s">
        <v>631</v>
      </c>
      <c r="D1759" t="s">
        <v>632</v>
      </c>
      <c r="E1759">
        <v>43</v>
      </c>
      <c r="F1759">
        <v>36.15</v>
      </c>
      <c r="G1759">
        <v>42.69</v>
      </c>
      <c r="H1759">
        <v>21.15</v>
      </c>
      <c r="I1759">
        <v>0.01</v>
      </c>
      <c r="J1759" s="1">
        <v>45928.092804525462</v>
      </c>
      <c r="K1759" t="s">
        <v>1058</v>
      </c>
      <c r="L1759">
        <f t="shared" si="27"/>
        <v>1758</v>
      </c>
      <c r="M1759">
        <f>COUNTIF($A$2:A1759,A1759)</f>
        <v>34</v>
      </c>
    </row>
    <row r="1760" spans="1:13" x14ac:dyDescent="0.3">
      <c r="A1760">
        <v>15960</v>
      </c>
      <c r="B1760" t="s">
        <v>989</v>
      </c>
      <c r="C1760" t="s">
        <v>1019</v>
      </c>
      <c r="D1760" t="s">
        <v>1020</v>
      </c>
      <c r="F1760">
        <v>16.149999999999999</v>
      </c>
      <c r="G1760">
        <v>58.85</v>
      </c>
      <c r="H1760">
        <v>24.62</v>
      </c>
      <c r="I1760">
        <v>0.38</v>
      </c>
      <c r="J1760" s="1">
        <v>45928.092830601854</v>
      </c>
      <c r="K1760" t="s">
        <v>1058</v>
      </c>
      <c r="L1760">
        <f t="shared" si="27"/>
        <v>1759</v>
      </c>
      <c r="M1760">
        <f>COUNTIF($A$2:A1760,A1760)</f>
        <v>35</v>
      </c>
    </row>
    <row r="1761" spans="1:13" x14ac:dyDescent="0.3">
      <c r="A1761">
        <v>15960</v>
      </c>
      <c r="B1761" t="s">
        <v>989</v>
      </c>
      <c r="C1761" t="s">
        <v>629</v>
      </c>
      <c r="D1761" t="s">
        <v>630</v>
      </c>
      <c r="E1761">
        <v>46</v>
      </c>
      <c r="F1761">
        <v>28.46</v>
      </c>
      <c r="G1761">
        <v>49.23</v>
      </c>
      <c r="H1761">
        <v>21.92</v>
      </c>
      <c r="I1761">
        <v>0.39</v>
      </c>
      <c r="J1761" s="1">
        <v>45928.092846481479</v>
      </c>
      <c r="K1761" t="s">
        <v>1058</v>
      </c>
      <c r="L1761">
        <f t="shared" si="27"/>
        <v>1760</v>
      </c>
      <c r="M1761">
        <f>COUNTIF($A$2:A1761,A1761)</f>
        <v>36</v>
      </c>
    </row>
    <row r="1762" spans="1:13" x14ac:dyDescent="0.3">
      <c r="A1762">
        <v>15960</v>
      </c>
      <c r="B1762" t="s">
        <v>989</v>
      </c>
      <c r="C1762" t="s">
        <v>1017</v>
      </c>
      <c r="D1762" t="s">
        <v>1018</v>
      </c>
      <c r="E1762">
        <v>46</v>
      </c>
      <c r="F1762">
        <v>27.69</v>
      </c>
      <c r="G1762">
        <v>48.08</v>
      </c>
      <c r="H1762">
        <v>23.85</v>
      </c>
      <c r="I1762">
        <v>0.38</v>
      </c>
      <c r="J1762" s="1">
        <v>45928.09286326389</v>
      </c>
      <c r="K1762" t="s">
        <v>1058</v>
      </c>
      <c r="L1762">
        <f t="shared" si="27"/>
        <v>1761</v>
      </c>
      <c r="M1762">
        <f>COUNTIF($A$2:A1762,A1762)</f>
        <v>37</v>
      </c>
    </row>
    <row r="1763" spans="1:13" x14ac:dyDescent="0.3">
      <c r="A1763">
        <v>15960</v>
      </c>
      <c r="B1763" t="s">
        <v>989</v>
      </c>
      <c r="C1763" t="s">
        <v>627</v>
      </c>
      <c r="D1763" t="s">
        <v>628</v>
      </c>
      <c r="E1763">
        <v>48</v>
      </c>
      <c r="F1763">
        <v>24.23</v>
      </c>
      <c r="G1763">
        <v>51.54</v>
      </c>
      <c r="H1763">
        <v>24.23</v>
      </c>
      <c r="I1763">
        <v>0</v>
      </c>
      <c r="J1763" s="1">
        <v>45928.092903159719</v>
      </c>
      <c r="K1763" t="s">
        <v>1058</v>
      </c>
      <c r="L1763">
        <f t="shared" si="27"/>
        <v>1762</v>
      </c>
      <c r="M1763">
        <f>COUNTIF($A$2:A1763,A1763)</f>
        <v>38</v>
      </c>
    </row>
    <row r="1764" spans="1:13" x14ac:dyDescent="0.3">
      <c r="A1764">
        <v>15960</v>
      </c>
      <c r="B1764" t="s">
        <v>989</v>
      </c>
      <c r="C1764" t="s">
        <v>312</v>
      </c>
      <c r="D1764" t="s">
        <v>313</v>
      </c>
      <c r="E1764">
        <v>28</v>
      </c>
      <c r="F1764">
        <v>66.540000000000006</v>
      </c>
      <c r="G1764">
        <v>18.46</v>
      </c>
      <c r="H1764">
        <v>15</v>
      </c>
      <c r="I1764">
        <v>0</v>
      </c>
      <c r="J1764" s="1">
        <v>45928.092946099539</v>
      </c>
      <c r="K1764" t="s">
        <v>1058</v>
      </c>
      <c r="L1764">
        <f t="shared" si="27"/>
        <v>1763</v>
      </c>
      <c r="M1764">
        <f>COUNTIF($A$2:A1764,A1764)</f>
        <v>39</v>
      </c>
    </row>
    <row r="1765" spans="1:13" x14ac:dyDescent="0.3">
      <c r="A1765">
        <v>15960</v>
      </c>
      <c r="B1765" t="s">
        <v>989</v>
      </c>
      <c r="C1765" t="s">
        <v>1015</v>
      </c>
      <c r="D1765" t="s">
        <v>1016</v>
      </c>
      <c r="E1765">
        <v>36</v>
      </c>
      <c r="F1765">
        <v>55</v>
      </c>
      <c r="G1765">
        <v>26.54</v>
      </c>
      <c r="H1765">
        <v>18.46</v>
      </c>
      <c r="I1765">
        <v>0</v>
      </c>
      <c r="J1765" s="1">
        <v>45928.092965231481</v>
      </c>
      <c r="K1765" t="s">
        <v>1058</v>
      </c>
      <c r="L1765">
        <f t="shared" si="27"/>
        <v>1764</v>
      </c>
      <c r="M1765">
        <f>COUNTIF($A$2:A1765,A1765)</f>
        <v>40</v>
      </c>
    </row>
    <row r="1766" spans="1:13" x14ac:dyDescent="0.3">
      <c r="A1766">
        <v>15960</v>
      </c>
      <c r="B1766" t="s">
        <v>989</v>
      </c>
      <c r="C1766" t="s">
        <v>310</v>
      </c>
      <c r="D1766" t="s">
        <v>311</v>
      </c>
      <c r="E1766">
        <v>37</v>
      </c>
      <c r="F1766">
        <v>54.62</v>
      </c>
      <c r="G1766">
        <v>26.54</v>
      </c>
      <c r="H1766">
        <v>18.850000000000001</v>
      </c>
      <c r="I1766">
        <v>0</v>
      </c>
      <c r="J1766" s="1">
        <v>45928.093006782408</v>
      </c>
      <c r="K1766" t="s">
        <v>1058</v>
      </c>
      <c r="L1766">
        <f t="shared" si="27"/>
        <v>1765</v>
      </c>
      <c r="M1766">
        <f>COUNTIF($A$2:A1766,A1766)</f>
        <v>41</v>
      </c>
    </row>
    <row r="1767" spans="1:13" x14ac:dyDescent="0.3">
      <c r="A1767">
        <v>15960</v>
      </c>
      <c r="B1767" t="s">
        <v>989</v>
      </c>
      <c r="C1767" t="s">
        <v>308</v>
      </c>
      <c r="D1767" t="s">
        <v>309</v>
      </c>
      <c r="E1767">
        <v>15</v>
      </c>
      <c r="F1767">
        <v>1.1499999999999999</v>
      </c>
      <c r="G1767">
        <v>0.77</v>
      </c>
      <c r="H1767">
        <v>0</v>
      </c>
      <c r="I1767">
        <v>98.08</v>
      </c>
      <c r="J1767" s="1">
        <v>45928.093026932867</v>
      </c>
      <c r="K1767" t="s">
        <v>1058</v>
      </c>
      <c r="L1767">
        <f t="shared" si="27"/>
        <v>1766</v>
      </c>
      <c r="M1767">
        <f>COUNTIF($A$2:A1767,A1767)</f>
        <v>42</v>
      </c>
    </row>
    <row r="1768" spans="1:13" x14ac:dyDescent="0.3">
      <c r="A1768">
        <v>15960</v>
      </c>
      <c r="B1768" t="s">
        <v>989</v>
      </c>
      <c r="C1768" t="s">
        <v>1013</v>
      </c>
      <c r="D1768" t="s">
        <v>1014</v>
      </c>
      <c r="F1768">
        <v>33.46</v>
      </c>
      <c r="G1768">
        <v>44.62</v>
      </c>
      <c r="H1768">
        <v>21.92</v>
      </c>
      <c r="I1768">
        <v>0</v>
      </c>
      <c r="J1768" s="1">
        <v>45928.09305909722</v>
      </c>
      <c r="K1768" t="s">
        <v>1058</v>
      </c>
      <c r="L1768">
        <f t="shared" si="27"/>
        <v>1767</v>
      </c>
      <c r="M1768">
        <f>COUNTIF($A$2:A1768,A1768)</f>
        <v>43</v>
      </c>
    </row>
    <row r="1769" spans="1:13" x14ac:dyDescent="0.3">
      <c r="A1769">
        <v>15960</v>
      </c>
      <c r="B1769" t="s">
        <v>989</v>
      </c>
      <c r="C1769" t="s">
        <v>1011</v>
      </c>
      <c r="D1769" t="s">
        <v>1012</v>
      </c>
      <c r="E1769">
        <v>49</v>
      </c>
      <c r="F1769">
        <v>28.08</v>
      </c>
      <c r="G1769">
        <v>48.46</v>
      </c>
      <c r="H1769">
        <v>23.46</v>
      </c>
      <c r="I1769">
        <v>0</v>
      </c>
      <c r="J1769" s="1">
        <v>45928.093079525461</v>
      </c>
      <c r="K1769" t="s">
        <v>1058</v>
      </c>
      <c r="L1769">
        <f t="shared" si="27"/>
        <v>1768</v>
      </c>
      <c r="M1769">
        <f>COUNTIF($A$2:A1769,A1769)</f>
        <v>44</v>
      </c>
    </row>
    <row r="1770" spans="1:13" x14ac:dyDescent="0.3">
      <c r="A1770">
        <v>15960</v>
      </c>
      <c r="B1770" t="s">
        <v>989</v>
      </c>
      <c r="C1770" t="s">
        <v>306</v>
      </c>
      <c r="D1770" t="s">
        <v>307</v>
      </c>
      <c r="E1770">
        <v>36</v>
      </c>
      <c r="F1770">
        <v>66.92</v>
      </c>
      <c r="G1770">
        <v>8.85</v>
      </c>
      <c r="H1770">
        <v>24.23</v>
      </c>
      <c r="I1770">
        <v>0</v>
      </c>
      <c r="J1770" s="1">
        <v>45928.093125196756</v>
      </c>
      <c r="K1770" t="s">
        <v>1058</v>
      </c>
      <c r="L1770">
        <f t="shared" si="27"/>
        <v>1769</v>
      </c>
      <c r="M1770">
        <f>COUNTIF($A$2:A1770,A1770)</f>
        <v>45</v>
      </c>
    </row>
    <row r="1771" spans="1:13" x14ac:dyDescent="0.3">
      <c r="A1771">
        <v>15960</v>
      </c>
      <c r="B1771" t="s">
        <v>989</v>
      </c>
      <c r="C1771" t="s">
        <v>625</v>
      </c>
      <c r="D1771" t="s">
        <v>626</v>
      </c>
      <c r="E1771">
        <v>37</v>
      </c>
      <c r="F1771">
        <v>64.62</v>
      </c>
      <c r="G1771">
        <v>10.77</v>
      </c>
      <c r="H1771">
        <v>24.62</v>
      </c>
      <c r="I1771">
        <v>0</v>
      </c>
      <c r="J1771" s="1">
        <v>45928.093165231483</v>
      </c>
      <c r="K1771" t="s">
        <v>1058</v>
      </c>
      <c r="L1771">
        <f t="shared" si="27"/>
        <v>1770</v>
      </c>
      <c r="M1771">
        <f>COUNTIF($A$2:A1771,A1771)</f>
        <v>46</v>
      </c>
    </row>
    <row r="1772" spans="1:13" x14ac:dyDescent="0.3">
      <c r="A1772">
        <v>15960</v>
      </c>
      <c r="B1772" t="s">
        <v>989</v>
      </c>
      <c r="C1772" t="s">
        <v>1009</v>
      </c>
      <c r="D1772" t="s">
        <v>1010</v>
      </c>
      <c r="E1772">
        <v>37</v>
      </c>
      <c r="F1772">
        <v>64.23</v>
      </c>
      <c r="G1772">
        <v>11.15</v>
      </c>
      <c r="H1772">
        <v>24.62</v>
      </c>
      <c r="I1772">
        <v>0</v>
      </c>
      <c r="J1772" s="1">
        <v>45928.093209930557</v>
      </c>
      <c r="K1772" t="s">
        <v>1058</v>
      </c>
      <c r="L1772">
        <f t="shared" si="27"/>
        <v>1771</v>
      </c>
      <c r="M1772">
        <f>COUNTIF($A$2:A1772,A1772)</f>
        <v>47</v>
      </c>
    </row>
    <row r="1773" spans="1:13" x14ac:dyDescent="0.3">
      <c r="A1773">
        <v>15960</v>
      </c>
      <c r="B1773" t="s">
        <v>989</v>
      </c>
      <c r="C1773" t="s">
        <v>1007</v>
      </c>
      <c r="D1773" t="s">
        <v>1008</v>
      </c>
      <c r="E1773">
        <v>40</v>
      </c>
      <c r="F1773">
        <v>61.15</v>
      </c>
      <c r="G1773">
        <v>13.85</v>
      </c>
      <c r="H1773">
        <v>25</v>
      </c>
      <c r="I1773">
        <v>0</v>
      </c>
      <c r="J1773" s="1">
        <v>45928.09322732639</v>
      </c>
      <c r="K1773" t="s">
        <v>1058</v>
      </c>
      <c r="L1773">
        <f t="shared" si="27"/>
        <v>1772</v>
      </c>
      <c r="M1773">
        <f>COUNTIF($A$2:A1773,A1773)</f>
        <v>48</v>
      </c>
    </row>
    <row r="1774" spans="1:13" x14ac:dyDescent="0.3">
      <c r="A1774">
        <v>15960</v>
      </c>
      <c r="B1774" t="s">
        <v>989</v>
      </c>
      <c r="C1774" t="s">
        <v>1005</v>
      </c>
      <c r="D1774" t="s">
        <v>1006</v>
      </c>
      <c r="E1774">
        <v>41</v>
      </c>
      <c r="F1774">
        <v>58.85</v>
      </c>
      <c r="G1774">
        <v>16.54</v>
      </c>
      <c r="H1774">
        <v>24.62</v>
      </c>
      <c r="I1774">
        <v>0</v>
      </c>
      <c r="J1774" s="1">
        <v>45928.093268877317</v>
      </c>
      <c r="K1774" t="s">
        <v>1058</v>
      </c>
      <c r="L1774">
        <f t="shared" si="27"/>
        <v>1773</v>
      </c>
      <c r="M1774">
        <f>COUNTIF($A$2:A1774,A1774)</f>
        <v>49</v>
      </c>
    </row>
    <row r="1775" spans="1:13" x14ac:dyDescent="0.3">
      <c r="A1775">
        <v>15960</v>
      </c>
      <c r="B1775" t="s">
        <v>989</v>
      </c>
      <c r="C1775" t="s">
        <v>1003</v>
      </c>
      <c r="D1775" t="s">
        <v>1004</v>
      </c>
      <c r="E1775">
        <v>33</v>
      </c>
      <c r="F1775">
        <v>68.459999999999994</v>
      </c>
      <c r="G1775">
        <v>8.4600000000000009</v>
      </c>
      <c r="H1775">
        <v>23.08</v>
      </c>
      <c r="I1775">
        <v>0</v>
      </c>
      <c r="J1775" s="1">
        <v>45928.093312060184</v>
      </c>
      <c r="K1775" t="s">
        <v>1058</v>
      </c>
      <c r="L1775">
        <f t="shared" si="27"/>
        <v>1774</v>
      </c>
      <c r="M1775">
        <f>COUNTIF($A$2:A1775,A1775)</f>
        <v>50</v>
      </c>
    </row>
    <row r="1776" spans="1:13" x14ac:dyDescent="0.3">
      <c r="A1776">
        <v>15960</v>
      </c>
      <c r="B1776" t="s">
        <v>989</v>
      </c>
      <c r="C1776" t="s">
        <v>1001</v>
      </c>
      <c r="D1776" t="s">
        <v>1002</v>
      </c>
      <c r="E1776">
        <v>38</v>
      </c>
      <c r="F1776">
        <v>66.150000000000006</v>
      </c>
      <c r="G1776">
        <v>8.85</v>
      </c>
      <c r="H1776">
        <v>25</v>
      </c>
      <c r="I1776">
        <v>0</v>
      </c>
      <c r="J1776" s="1">
        <v>45928.09335703704</v>
      </c>
      <c r="K1776" t="s">
        <v>1058</v>
      </c>
      <c r="L1776">
        <f t="shared" si="27"/>
        <v>1775</v>
      </c>
      <c r="M1776">
        <f>COUNTIF($A$2:A1776,A1776)</f>
        <v>51</v>
      </c>
    </row>
    <row r="1777" spans="1:13" x14ac:dyDescent="0.3">
      <c r="A1777">
        <v>15960</v>
      </c>
      <c r="B1777" t="s">
        <v>989</v>
      </c>
      <c r="C1777" t="s">
        <v>999</v>
      </c>
      <c r="D1777" t="s">
        <v>1000</v>
      </c>
      <c r="E1777">
        <v>45</v>
      </c>
      <c r="F1777">
        <v>50</v>
      </c>
      <c r="G1777">
        <v>23.85</v>
      </c>
      <c r="H1777">
        <v>26.15</v>
      </c>
      <c r="I1777">
        <v>0</v>
      </c>
      <c r="J1777" s="1">
        <v>45928.09337952546</v>
      </c>
      <c r="K1777" t="s">
        <v>1058</v>
      </c>
      <c r="L1777">
        <f t="shared" si="27"/>
        <v>1776</v>
      </c>
      <c r="M1777">
        <f>COUNTIF($A$2:A1777,A1777)</f>
        <v>52</v>
      </c>
    </row>
    <row r="1778" spans="1:13" x14ac:dyDescent="0.3">
      <c r="A1778">
        <v>15960</v>
      </c>
      <c r="B1778" t="s">
        <v>989</v>
      </c>
      <c r="C1778" t="s">
        <v>997</v>
      </c>
      <c r="D1778" t="s">
        <v>998</v>
      </c>
      <c r="F1778">
        <v>65.77</v>
      </c>
      <c r="G1778">
        <v>10.38</v>
      </c>
      <c r="H1778">
        <v>23.85</v>
      </c>
      <c r="I1778">
        <v>0</v>
      </c>
      <c r="J1778" s="1">
        <v>45928.09340597222</v>
      </c>
      <c r="K1778" t="s">
        <v>1058</v>
      </c>
      <c r="L1778">
        <f t="shared" si="27"/>
        <v>1777</v>
      </c>
      <c r="M1778">
        <f>COUNTIF($A$2:A1778,A1778)</f>
        <v>53</v>
      </c>
    </row>
    <row r="1779" spans="1:13" x14ac:dyDescent="0.3">
      <c r="A1779">
        <v>15960</v>
      </c>
      <c r="B1779" t="s">
        <v>989</v>
      </c>
      <c r="C1779" t="s">
        <v>995</v>
      </c>
      <c r="D1779" t="s">
        <v>996</v>
      </c>
      <c r="E1779">
        <v>36</v>
      </c>
      <c r="F1779">
        <v>65.38</v>
      </c>
      <c r="G1779">
        <v>12.69</v>
      </c>
      <c r="H1779">
        <v>21.92</v>
      </c>
      <c r="I1779">
        <v>0.01</v>
      </c>
      <c r="J1779" s="1">
        <v>45928.093423321756</v>
      </c>
      <c r="K1779" t="s">
        <v>1058</v>
      </c>
      <c r="L1779">
        <f t="shared" si="27"/>
        <v>1778</v>
      </c>
      <c r="M1779">
        <f>COUNTIF($A$2:A1779,A1779)</f>
        <v>54</v>
      </c>
    </row>
    <row r="1780" spans="1:13" x14ac:dyDescent="0.3">
      <c r="A1780">
        <v>15960</v>
      </c>
      <c r="B1780" t="s">
        <v>989</v>
      </c>
      <c r="C1780" t="s">
        <v>993</v>
      </c>
      <c r="D1780" t="s">
        <v>994</v>
      </c>
      <c r="E1780">
        <v>38</v>
      </c>
      <c r="F1780">
        <v>63.85</v>
      </c>
      <c r="G1780">
        <v>13.08</v>
      </c>
      <c r="H1780">
        <v>23.08</v>
      </c>
      <c r="I1780">
        <v>0</v>
      </c>
      <c r="J1780" s="1">
        <v>45928.093463576392</v>
      </c>
      <c r="K1780" t="s">
        <v>1058</v>
      </c>
      <c r="L1780">
        <f t="shared" si="27"/>
        <v>1779</v>
      </c>
      <c r="M1780">
        <f>COUNTIF($A$2:A1780,A1780)</f>
        <v>55</v>
      </c>
    </row>
    <row r="1781" spans="1:13" x14ac:dyDescent="0.3">
      <c r="A1781">
        <v>15960</v>
      </c>
      <c r="B1781" t="s">
        <v>989</v>
      </c>
      <c r="C1781" t="s">
        <v>991</v>
      </c>
      <c r="D1781" t="s">
        <v>992</v>
      </c>
      <c r="E1781">
        <v>38</v>
      </c>
      <c r="F1781">
        <v>49.62</v>
      </c>
      <c r="G1781">
        <v>32.31</v>
      </c>
      <c r="H1781">
        <v>18.079999999999998</v>
      </c>
      <c r="I1781">
        <v>0</v>
      </c>
      <c r="J1781" s="1">
        <v>45928.093508391205</v>
      </c>
      <c r="K1781" t="s">
        <v>1058</v>
      </c>
      <c r="L1781">
        <f t="shared" si="27"/>
        <v>1780</v>
      </c>
      <c r="M1781">
        <f>COUNTIF($A$2:A1781,A1781)</f>
        <v>56</v>
      </c>
    </row>
    <row r="1782" spans="1:13" x14ac:dyDescent="0.3">
      <c r="A1782">
        <v>15960</v>
      </c>
      <c r="B1782" t="s">
        <v>989</v>
      </c>
      <c r="C1782" t="s">
        <v>114</v>
      </c>
      <c r="D1782" t="s">
        <v>115</v>
      </c>
      <c r="E1782">
        <v>5</v>
      </c>
      <c r="F1782">
        <v>79.62</v>
      </c>
      <c r="G1782">
        <v>8.4600000000000009</v>
      </c>
      <c r="H1782">
        <v>11.92</v>
      </c>
      <c r="I1782">
        <v>0</v>
      </c>
      <c r="J1782" s="1">
        <v>45928.093550439815</v>
      </c>
      <c r="K1782" t="s">
        <v>1058</v>
      </c>
      <c r="L1782">
        <f t="shared" si="27"/>
        <v>1781</v>
      </c>
      <c r="M1782">
        <f>COUNTIF($A$2:A1782,A1782)</f>
        <v>57</v>
      </c>
    </row>
    <row r="1783" spans="1:13" x14ac:dyDescent="0.3">
      <c r="A1783">
        <v>12201</v>
      </c>
      <c r="B1783" t="s">
        <v>1059</v>
      </c>
      <c r="C1783" t="s">
        <v>465</v>
      </c>
      <c r="D1783" t="s">
        <v>466</v>
      </c>
      <c r="E1783">
        <v>4</v>
      </c>
      <c r="F1783">
        <v>87.5</v>
      </c>
      <c r="G1783">
        <v>12.5</v>
      </c>
      <c r="H1783">
        <v>0</v>
      </c>
      <c r="I1783">
        <v>0</v>
      </c>
      <c r="J1783" s="1">
        <v>45928.09362482639</v>
      </c>
      <c r="K1783" t="s">
        <v>1060</v>
      </c>
      <c r="L1783">
        <f t="shared" si="27"/>
        <v>1782</v>
      </c>
      <c r="M1783">
        <f>COUNTIF($A$2:A1783,A1783)</f>
        <v>1</v>
      </c>
    </row>
    <row r="1784" spans="1:13" x14ac:dyDescent="0.3">
      <c r="A1784">
        <v>12201</v>
      </c>
      <c r="B1784" t="s">
        <v>1059</v>
      </c>
      <c r="C1784" t="s">
        <v>384</v>
      </c>
      <c r="D1784" t="s">
        <v>385</v>
      </c>
      <c r="E1784">
        <v>11</v>
      </c>
      <c r="F1784">
        <v>87.5</v>
      </c>
      <c r="G1784">
        <v>12.5</v>
      </c>
      <c r="H1784">
        <v>0</v>
      </c>
      <c r="I1784">
        <v>0</v>
      </c>
      <c r="J1784" s="1">
        <v>45928.09364298611</v>
      </c>
      <c r="K1784" t="s">
        <v>1060</v>
      </c>
      <c r="L1784">
        <f t="shared" si="27"/>
        <v>1783</v>
      </c>
      <c r="M1784">
        <f>COUNTIF($A$2:A1784,A1784)</f>
        <v>2</v>
      </c>
    </row>
    <row r="1785" spans="1:13" x14ac:dyDescent="0.3">
      <c r="A1785">
        <v>12201</v>
      </c>
      <c r="B1785" t="s">
        <v>1059</v>
      </c>
      <c r="C1785" t="s">
        <v>1061</v>
      </c>
      <c r="D1785" t="s">
        <v>1062</v>
      </c>
      <c r="E1785">
        <v>13</v>
      </c>
      <c r="F1785">
        <v>62.5</v>
      </c>
      <c r="G1785">
        <v>37.5</v>
      </c>
      <c r="H1785">
        <v>0</v>
      </c>
      <c r="I1785">
        <v>0</v>
      </c>
      <c r="J1785" s="1">
        <v>45928.093665046297</v>
      </c>
      <c r="K1785" t="s">
        <v>1060</v>
      </c>
      <c r="L1785">
        <f t="shared" si="27"/>
        <v>1784</v>
      </c>
      <c r="M1785">
        <f>COUNTIF($A$2:A1785,A1785)</f>
        <v>3</v>
      </c>
    </row>
    <row r="1786" spans="1:13" x14ac:dyDescent="0.3">
      <c r="A1786">
        <v>12201</v>
      </c>
      <c r="B1786" t="s">
        <v>1059</v>
      </c>
      <c r="C1786" t="s">
        <v>1063</v>
      </c>
      <c r="D1786" t="s">
        <v>1064</v>
      </c>
      <c r="E1786">
        <v>58</v>
      </c>
      <c r="F1786">
        <v>12.5</v>
      </c>
      <c r="G1786">
        <v>37.5</v>
      </c>
      <c r="H1786">
        <v>50</v>
      </c>
      <c r="I1786">
        <v>0</v>
      </c>
      <c r="J1786" s="1">
        <v>45928.09368189815</v>
      </c>
      <c r="K1786" t="s">
        <v>1060</v>
      </c>
      <c r="L1786">
        <f t="shared" si="27"/>
        <v>1785</v>
      </c>
      <c r="M1786">
        <f>COUNTIF($A$2:A1786,A1786)</f>
        <v>4</v>
      </c>
    </row>
    <row r="1787" spans="1:13" x14ac:dyDescent="0.3">
      <c r="A1787">
        <v>12201</v>
      </c>
      <c r="B1787" t="s">
        <v>1059</v>
      </c>
      <c r="C1787" t="s">
        <v>1065</v>
      </c>
      <c r="D1787" t="s">
        <v>1066</v>
      </c>
      <c r="E1787">
        <v>41</v>
      </c>
      <c r="F1787">
        <v>37.5</v>
      </c>
      <c r="G1787">
        <v>37.5</v>
      </c>
      <c r="H1787">
        <v>25</v>
      </c>
      <c r="I1787">
        <v>0</v>
      </c>
      <c r="J1787" s="1">
        <v>45928.09369883102</v>
      </c>
      <c r="K1787" t="s">
        <v>1060</v>
      </c>
      <c r="L1787">
        <f t="shared" si="27"/>
        <v>1786</v>
      </c>
      <c r="M1787">
        <f>COUNTIF($A$2:A1787,A1787)</f>
        <v>5</v>
      </c>
    </row>
    <row r="1788" spans="1:13" x14ac:dyDescent="0.3">
      <c r="A1788">
        <v>12201</v>
      </c>
      <c r="B1788" t="s">
        <v>1059</v>
      </c>
      <c r="C1788" t="s">
        <v>1067</v>
      </c>
      <c r="D1788" t="s">
        <v>1068</v>
      </c>
      <c r="E1788">
        <v>51</v>
      </c>
      <c r="F1788">
        <v>37.5</v>
      </c>
      <c r="G1788">
        <v>25</v>
      </c>
      <c r="H1788">
        <v>37.5</v>
      </c>
      <c r="I1788">
        <v>0</v>
      </c>
      <c r="J1788" s="1">
        <v>45928.093718391203</v>
      </c>
      <c r="K1788" t="s">
        <v>1060</v>
      </c>
      <c r="L1788">
        <f t="shared" si="27"/>
        <v>1787</v>
      </c>
      <c r="M1788">
        <f>COUNTIF($A$2:A1788,A1788)</f>
        <v>6</v>
      </c>
    </row>
    <row r="1789" spans="1:13" x14ac:dyDescent="0.3">
      <c r="A1789">
        <v>12201</v>
      </c>
      <c r="B1789" t="s">
        <v>1059</v>
      </c>
      <c r="C1789" t="s">
        <v>1069</v>
      </c>
      <c r="D1789" t="s">
        <v>1070</v>
      </c>
      <c r="E1789">
        <v>53</v>
      </c>
      <c r="F1789">
        <v>37.5</v>
      </c>
      <c r="G1789">
        <v>25</v>
      </c>
      <c r="H1789">
        <v>37.5</v>
      </c>
      <c r="I1789">
        <v>0</v>
      </c>
      <c r="J1789" s="1">
        <v>45928.093735717594</v>
      </c>
      <c r="K1789" t="s">
        <v>1060</v>
      </c>
      <c r="L1789">
        <f t="shared" si="27"/>
        <v>1788</v>
      </c>
      <c r="M1789">
        <f>COUNTIF($A$2:A1789,A1789)</f>
        <v>7</v>
      </c>
    </row>
    <row r="1790" spans="1:13" x14ac:dyDescent="0.3">
      <c r="A1790">
        <v>12201</v>
      </c>
      <c r="B1790" t="s">
        <v>1059</v>
      </c>
      <c r="C1790" t="s">
        <v>1071</v>
      </c>
      <c r="D1790" t="s">
        <v>1072</v>
      </c>
      <c r="E1790">
        <v>20</v>
      </c>
      <c r="F1790">
        <v>50</v>
      </c>
      <c r="G1790">
        <v>37.5</v>
      </c>
      <c r="H1790">
        <v>12.5</v>
      </c>
      <c r="I1790">
        <v>0</v>
      </c>
      <c r="J1790" s="1">
        <v>45928.09375576389</v>
      </c>
      <c r="K1790" t="s">
        <v>1060</v>
      </c>
      <c r="L1790">
        <f t="shared" si="27"/>
        <v>1789</v>
      </c>
      <c r="M1790">
        <f>COUNTIF($A$2:A1790,A1790)</f>
        <v>8</v>
      </c>
    </row>
    <row r="1791" spans="1:13" x14ac:dyDescent="0.3">
      <c r="A1791">
        <v>12201</v>
      </c>
      <c r="B1791" t="s">
        <v>1059</v>
      </c>
      <c r="C1791" t="s">
        <v>1073</v>
      </c>
      <c r="D1791" t="s">
        <v>1074</v>
      </c>
      <c r="E1791">
        <v>24</v>
      </c>
      <c r="F1791">
        <v>50</v>
      </c>
      <c r="G1791">
        <v>37.5</v>
      </c>
      <c r="H1791">
        <v>12.5</v>
      </c>
      <c r="I1791">
        <v>0</v>
      </c>
      <c r="J1791" s="1">
        <v>45928.093775300928</v>
      </c>
      <c r="K1791" t="s">
        <v>1060</v>
      </c>
      <c r="L1791">
        <f t="shared" si="27"/>
        <v>1790</v>
      </c>
      <c r="M1791">
        <f>COUNTIF($A$2:A1791,A1791)</f>
        <v>9</v>
      </c>
    </row>
    <row r="1792" spans="1:13" x14ac:dyDescent="0.3">
      <c r="A1792">
        <v>12201</v>
      </c>
      <c r="B1792" t="s">
        <v>1059</v>
      </c>
      <c r="C1792" t="s">
        <v>1075</v>
      </c>
      <c r="D1792" t="s">
        <v>1076</v>
      </c>
      <c r="F1792">
        <v>75</v>
      </c>
      <c r="G1792">
        <v>12.5</v>
      </c>
      <c r="H1792">
        <v>12.5</v>
      </c>
      <c r="I1792">
        <v>0</v>
      </c>
      <c r="J1792" s="1">
        <v>45928.093795856483</v>
      </c>
      <c r="K1792" t="s">
        <v>1060</v>
      </c>
      <c r="L1792">
        <f t="shared" si="27"/>
        <v>1791</v>
      </c>
      <c r="M1792">
        <f>COUNTIF($A$2:A1792,A1792)</f>
        <v>10</v>
      </c>
    </row>
    <row r="1793" spans="1:13" x14ac:dyDescent="0.3">
      <c r="A1793">
        <v>12201</v>
      </c>
      <c r="B1793" t="s">
        <v>1059</v>
      </c>
      <c r="C1793" t="s">
        <v>1077</v>
      </c>
      <c r="D1793" t="s">
        <v>1078</v>
      </c>
      <c r="E1793">
        <v>23</v>
      </c>
      <c r="F1793">
        <v>75</v>
      </c>
      <c r="G1793">
        <v>12.5</v>
      </c>
      <c r="H1793">
        <v>12.5</v>
      </c>
      <c r="I1793">
        <v>0</v>
      </c>
      <c r="J1793" s="1">
        <v>45928.093813356485</v>
      </c>
      <c r="K1793" t="s">
        <v>1060</v>
      </c>
      <c r="L1793">
        <f t="shared" si="27"/>
        <v>1792</v>
      </c>
      <c r="M1793">
        <f>COUNTIF($A$2:A1793,A1793)</f>
        <v>11</v>
      </c>
    </row>
    <row r="1794" spans="1:13" x14ac:dyDescent="0.3">
      <c r="A1794">
        <v>12201</v>
      </c>
      <c r="B1794" t="s">
        <v>1059</v>
      </c>
      <c r="C1794" t="s">
        <v>1079</v>
      </c>
      <c r="D1794" t="s">
        <v>1080</v>
      </c>
      <c r="E1794">
        <v>26</v>
      </c>
      <c r="F1794">
        <v>50</v>
      </c>
      <c r="G1794">
        <v>37.5</v>
      </c>
      <c r="H1794">
        <v>12.5</v>
      </c>
      <c r="I1794">
        <v>0</v>
      </c>
      <c r="J1794" s="1">
        <v>45928.093831122686</v>
      </c>
      <c r="K1794" t="s">
        <v>1060</v>
      </c>
      <c r="L1794">
        <f t="shared" ref="L1794:L1830" si="28">ROW()-1</f>
        <v>1793</v>
      </c>
      <c r="M1794">
        <f>COUNTIF($A$2:A1794,A1794)</f>
        <v>12</v>
      </c>
    </row>
    <row r="1795" spans="1:13" x14ac:dyDescent="0.3">
      <c r="A1795">
        <v>12201</v>
      </c>
      <c r="B1795" t="s">
        <v>1059</v>
      </c>
      <c r="C1795" t="s">
        <v>1081</v>
      </c>
      <c r="D1795" t="s">
        <v>1082</v>
      </c>
      <c r="E1795">
        <v>18</v>
      </c>
      <c r="F1795">
        <v>75</v>
      </c>
      <c r="G1795">
        <v>12.5</v>
      </c>
      <c r="H1795">
        <v>12.5</v>
      </c>
      <c r="I1795">
        <v>0</v>
      </c>
      <c r="J1795" s="1">
        <v>45928.093850671299</v>
      </c>
      <c r="K1795" t="s">
        <v>1060</v>
      </c>
      <c r="L1795">
        <f t="shared" si="28"/>
        <v>1794</v>
      </c>
      <c r="M1795">
        <f>COUNTIF($A$2:A1795,A1795)</f>
        <v>13</v>
      </c>
    </row>
    <row r="1796" spans="1:13" x14ac:dyDescent="0.3">
      <c r="A1796">
        <v>12201</v>
      </c>
      <c r="B1796" t="s">
        <v>1059</v>
      </c>
      <c r="C1796" t="s">
        <v>1083</v>
      </c>
      <c r="D1796" t="s">
        <v>1084</v>
      </c>
      <c r="E1796">
        <v>23</v>
      </c>
      <c r="F1796">
        <v>50</v>
      </c>
      <c r="G1796">
        <v>37.5</v>
      </c>
      <c r="H1796">
        <v>12.5</v>
      </c>
      <c r="I1796">
        <v>0</v>
      </c>
      <c r="J1796" s="1">
        <v>45928.093871400466</v>
      </c>
      <c r="K1796" t="s">
        <v>1060</v>
      </c>
      <c r="L1796">
        <f t="shared" si="28"/>
        <v>1795</v>
      </c>
      <c r="M1796">
        <f>COUNTIF($A$2:A1796,A1796)</f>
        <v>14</v>
      </c>
    </row>
    <row r="1797" spans="1:13" x14ac:dyDescent="0.3">
      <c r="A1797">
        <v>12201</v>
      </c>
      <c r="B1797" t="s">
        <v>1059</v>
      </c>
      <c r="C1797" t="s">
        <v>1085</v>
      </c>
      <c r="D1797" t="s">
        <v>1086</v>
      </c>
      <c r="E1797">
        <v>21</v>
      </c>
      <c r="F1797">
        <v>75</v>
      </c>
      <c r="G1797">
        <v>12.5</v>
      </c>
      <c r="H1797">
        <v>12.5</v>
      </c>
      <c r="I1797">
        <v>0</v>
      </c>
      <c r="J1797" s="1">
        <v>45928.093889664349</v>
      </c>
      <c r="K1797" t="s">
        <v>1060</v>
      </c>
      <c r="L1797">
        <f t="shared" si="28"/>
        <v>1796</v>
      </c>
      <c r="M1797">
        <f>COUNTIF($A$2:A1797,A1797)</f>
        <v>15</v>
      </c>
    </row>
    <row r="1798" spans="1:13" x14ac:dyDescent="0.3">
      <c r="A1798">
        <v>12201</v>
      </c>
      <c r="B1798" t="s">
        <v>1059</v>
      </c>
      <c r="C1798" t="s">
        <v>265</v>
      </c>
      <c r="D1798" t="s">
        <v>266</v>
      </c>
      <c r="E1798">
        <v>21</v>
      </c>
      <c r="F1798">
        <v>75</v>
      </c>
      <c r="G1798">
        <v>12.5</v>
      </c>
      <c r="H1798">
        <v>12.5</v>
      </c>
      <c r="I1798">
        <v>0</v>
      </c>
      <c r="J1798" s="1">
        <v>45928.093907326387</v>
      </c>
      <c r="K1798" t="s">
        <v>1060</v>
      </c>
      <c r="L1798">
        <f t="shared" si="28"/>
        <v>1797</v>
      </c>
      <c r="M1798">
        <f>COUNTIF($A$2:A1798,A1798)</f>
        <v>16</v>
      </c>
    </row>
    <row r="1799" spans="1:13" x14ac:dyDescent="0.3">
      <c r="A1799">
        <v>12201</v>
      </c>
      <c r="B1799" t="s">
        <v>1059</v>
      </c>
      <c r="C1799" t="s">
        <v>261</v>
      </c>
      <c r="D1799" t="s">
        <v>262</v>
      </c>
      <c r="F1799">
        <v>62.5</v>
      </c>
      <c r="G1799">
        <v>25</v>
      </c>
      <c r="H1799">
        <v>12.5</v>
      </c>
      <c r="I1799">
        <v>0</v>
      </c>
      <c r="J1799" s="1">
        <v>45928.093932222226</v>
      </c>
      <c r="K1799" t="s">
        <v>1060</v>
      </c>
      <c r="L1799">
        <f t="shared" si="28"/>
        <v>1798</v>
      </c>
      <c r="M1799">
        <f>COUNTIF($A$2:A1799,A1799)</f>
        <v>17</v>
      </c>
    </row>
    <row r="1800" spans="1:13" x14ac:dyDescent="0.3">
      <c r="A1800">
        <v>12201</v>
      </c>
      <c r="B1800" t="s">
        <v>1059</v>
      </c>
      <c r="C1800" t="s">
        <v>257</v>
      </c>
      <c r="D1800" t="s">
        <v>258</v>
      </c>
      <c r="E1800">
        <v>20</v>
      </c>
      <c r="F1800">
        <v>75</v>
      </c>
      <c r="G1800">
        <v>12.5</v>
      </c>
      <c r="H1800">
        <v>12.5</v>
      </c>
      <c r="I1800">
        <v>0</v>
      </c>
      <c r="J1800" s="1">
        <v>45928.093949953705</v>
      </c>
      <c r="K1800" t="s">
        <v>1060</v>
      </c>
      <c r="L1800">
        <f t="shared" si="28"/>
        <v>1799</v>
      </c>
      <c r="M1800">
        <f>COUNTIF($A$2:A1800,A1800)</f>
        <v>18</v>
      </c>
    </row>
    <row r="1801" spans="1:13" x14ac:dyDescent="0.3">
      <c r="A1801">
        <v>12201</v>
      </c>
      <c r="B1801" t="s">
        <v>1059</v>
      </c>
      <c r="C1801" t="s">
        <v>255</v>
      </c>
      <c r="D1801" t="s">
        <v>256</v>
      </c>
      <c r="E1801">
        <v>20</v>
      </c>
      <c r="F1801">
        <v>75</v>
      </c>
      <c r="G1801">
        <v>12.5</v>
      </c>
      <c r="H1801">
        <v>12.5</v>
      </c>
      <c r="I1801">
        <v>0</v>
      </c>
      <c r="J1801" s="1">
        <v>45928.093968287038</v>
      </c>
      <c r="K1801" t="s">
        <v>1060</v>
      </c>
      <c r="L1801">
        <f t="shared" si="28"/>
        <v>1800</v>
      </c>
      <c r="M1801">
        <f>COUNTIF($A$2:A1801,A1801)</f>
        <v>19</v>
      </c>
    </row>
    <row r="1802" spans="1:13" x14ac:dyDescent="0.3">
      <c r="A1802">
        <v>12201</v>
      </c>
      <c r="B1802" t="s">
        <v>1059</v>
      </c>
      <c r="C1802" t="s">
        <v>253</v>
      </c>
      <c r="D1802" t="s">
        <v>254</v>
      </c>
      <c r="F1802">
        <v>75</v>
      </c>
      <c r="G1802">
        <v>12.5</v>
      </c>
      <c r="H1802">
        <v>12.5</v>
      </c>
      <c r="I1802">
        <v>0</v>
      </c>
      <c r="J1802" s="1">
        <v>45928.093992337963</v>
      </c>
      <c r="K1802" t="s">
        <v>1060</v>
      </c>
      <c r="L1802">
        <f t="shared" si="28"/>
        <v>1801</v>
      </c>
      <c r="M1802">
        <f>COUNTIF($A$2:A1802,A1802)</f>
        <v>20</v>
      </c>
    </row>
    <row r="1803" spans="1:13" x14ac:dyDescent="0.3">
      <c r="A1803">
        <v>12201</v>
      </c>
      <c r="B1803" t="s">
        <v>1059</v>
      </c>
      <c r="C1803" t="s">
        <v>251</v>
      </c>
      <c r="D1803" t="s">
        <v>252</v>
      </c>
      <c r="F1803">
        <v>75</v>
      </c>
      <c r="G1803">
        <v>12.5</v>
      </c>
      <c r="H1803">
        <v>12.5</v>
      </c>
      <c r="I1803">
        <v>0</v>
      </c>
      <c r="J1803" s="1">
        <v>45928.094019791664</v>
      </c>
      <c r="K1803" t="s">
        <v>1060</v>
      </c>
      <c r="L1803">
        <f t="shared" si="28"/>
        <v>1802</v>
      </c>
      <c r="M1803">
        <f>COUNTIF($A$2:A1803,A1803)</f>
        <v>21</v>
      </c>
    </row>
    <row r="1804" spans="1:13" x14ac:dyDescent="0.3">
      <c r="A1804">
        <v>12201</v>
      </c>
      <c r="B1804" t="s">
        <v>1059</v>
      </c>
      <c r="C1804" t="s">
        <v>247</v>
      </c>
      <c r="D1804" t="s">
        <v>248</v>
      </c>
      <c r="E1804">
        <v>22</v>
      </c>
      <c r="F1804">
        <v>75</v>
      </c>
      <c r="G1804">
        <v>12.5</v>
      </c>
      <c r="H1804">
        <v>12.5</v>
      </c>
      <c r="I1804">
        <v>0</v>
      </c>
      <c r="J1804" s="1">
        <v>45928.094037476854</v>
      </c>
      <c r="K1804" t="s">
        <v>1060</v>
      </c>
      <c r="L1804">
        <f t="shared" si="28"/>
        <v>1803</v>
      </c>
      <c r="M1804">
        <f>COUNTIF($A$2:A1804,A1804)</f>
        <v>22</v>
      </c>
    </row>
    <row r="1805" spans="1:13" x14ac:dyDescent="0.3">
      <c r="A1805">
        <v>12201</v>
      </c>
      <c r="B1805" t="s">
        <v>1059</v>
      </c>
      <c r="C1805" t="s">
        <v>245</v>
      </c>
      <c r="D1805" t="s">
        <v>246</v>
      </c>
      <c r="F1805">
        <v>62.5</v>
      </c>
      <c r="G1805">
        <v>25</v>
      </c>
      <c r="H1805">
        <v>12.5</v>
      </c>
      <c r="I1805">
        <v>0</v>
      </c>
      <c r="J1805" s="1">
        <v>45928.094065127312</v>
      </c>
      <c r="K1805" t="s">
        <v>1060</v>
      </c>
      <c r="L1805">
        <f t="shared" si="28"/>
        <v>1804</v>
      </c>
      <c r="M1805">
        <f>COUNTIF($A$2:A1805,A1805)</f>
        <v>23</v>
      </c>
    </row>
    <row r="1806" spans="1:13" x14ac:dyDescent="0.3">
      <c r="A1806">
        <v>12201</v>
      </c>
      <c r="B1806" t="s">
        <v>1059</v>
      </c>
      <c r="C1806" t="s">
        <v>1087</v>
      </c>
      <c r="D1806" t="s">
        <v>1088</v>
      </c>
      <c r="F1806">
        <v>87.5</v>
      </c>
      <c r="G1806">
        <v>12.5</v>
      </c>
      <c r="H1806">
        <v>0</v>
      </c>
      <c r="I1806">
        <v>0</v>
      </c>
      <c r="J1806" s="1">
        <v>45928.094086273151</v>
      </c>
      <c r="K1806" t="s">
        <v>1060</v>
      </c>
      <c r="L1806">
        <f t="shared" si="28"/>
        <v>1805</v>
      </c>
      <c r="M1806">
        <f>COUNTIF($A$2:A1806,A1806)</f>
        <v>24</v>
      </c>
    </row>
    <row r="1807" spans="1:13" x14ac:dyDescent="0.3">
      <c r="A1807">
        <v>12202</v>
      </c>
      <c r="B1807" t="s">
        <v>1059</v>
      </c>
      <c r="C1807" t="s">
        <v>1087</v>
      </c>
      <c r="D1807" t="s">
        <v>1088</v>
      </c>
      <c r="E1807">
        <v>1</v>
      </c>
      <c r="F1807">
        <v>100</v>
      </c>
      <c r="G1807">
        <v>0</v>
      </c>
      <c r="H1807">
        <v>0</v>
      </c>
      <c r="I1807">
        <v>0</v>
      </c>
      <c r="J1807" s="1">
        <v>45928.094163657406</v>
      </c>
      <c r="K1807" t="s">
        <v>1089</v>
      </c>
      <c r="L1807">
        <f t="shared" si="28"/>
        <v>1806</v>
      </c>
      <c r="M1807">
        <f>COUNTIF($A$2:A1807,A1807)</f>
        <v>1</v>
      </c>
    </row>
    <row r="1808" spans="1:13" x14ac:dyDescent="0.3">
      <c r="A1808">
        <v>12202</v>
      </c>
      <c r="B1808" t="s">
        <v>1059</v>
      </c>
      <c r="C1808" t="s">
        <v>245</v>
      </c>
      <c r="D1808" t="s">
        <v>246</v>
      </c>
      <c r="E1808">
        <v>8</v>
      </c>
      <c r="F1808">
        <v>88.89</v>
      </c>
      <c r="G1808">
        <v>11.11</v>
      </c>
      <c r="H1808">
        <v>0</v>
      </c>
      <c r="I1808">
        <v>0</v>
      </c>
      <c r="J1808" s="1">
        <v>45928.094182789355</v>
      </c>
      <c r="K1808" t="s">
        <v>1089</v>
      </c>
      <c r="L1808">
        <f t="shared" si="28"/>
        <v>1807</v>
      </c>
      <c r="M1808">
        <f>COUNTIF($A$2:A1808,A1808)</f>
        <v>2</v>
      </c>
    </row>
    <row r="1809" spans="1:13" x14ac:dyDescent="0.3">
      <c r="A1809">
        <v>12202</v>
      </c>
      <c r="B1809" t="s">
        <v>1059</v>
      </c>
      <c r="C1809" t="s">
        <v>247</v>
      </c>
      <c r="D1809" t="s">
        <v>248</v>
      </c>
      <c r="E1809">
        <v>12</v>
      </c>
      <c r="F1809">
        <v>77.78</v>
      </c>
      <c r="G1809">
        <v>22.22</v>
      </c>
      <c r="H1809">
        <v>0</v>
      </c>
      <c r="I1809">
        <v>0</v>
      </c>
      <c r="J1809" s="1">
        <v>45928.094206655092</v>
      </c>
      <c r="K1809" t="s">
        <v>1089</v>
      </c>
      <c r="L1809">
        <f t="shared" si="28"/>
        <v>1808</v>
      </c>
      <c r="M1809">
        <f>COUNTIF($A$2:A1809,A1809)</f>
        <v>3</v>
      </c>
    </row>
    <row r="1810" spans="1:13" x14ac:dyDescent="0.3">
      <c r="A1810">
        <v>12202</v>
      </c>
      <c r="B1810" t="s">
        <v>1059</v>
      </c>
      <c r="C1810" t="s">
        <v>251</v>
      </c>
      <c r="D1810" t="s">
        <v>252</v>
      </c>
      <c r="E1810">
        <v>14</v>
      </c>
      <c r="F1810">
        <v>66.67</v>
      </c>
      <c r="G1810">
        <v>33.33</v>
      </c>
      <c r="H1810">
        <v>0</v>
      </c>
      <c r="I1810">
        <v>0</v>
      </c>
      <c r="J1810" s="1">
        <v>45928.094228981485</v>
      </c>
      <c r="K1810" t="s">
        <v>1089</v>
      </c>
      <c r="L1810">
        <f t="shared" si="28"/>
        <v>1809</v>
      </c>
      <c r="M1810">
        <f>COUNTIF($A$2:A1810,A1810)</f>
        <v>4</v>
      </c>
    </row>
    <row r="1811" spans="1:13" x14ac:dyDescent="0.3">
      <c r="A1811">
        <v>12202</v>
      </c>
      <c r="B1811" t="s">
        <v>1059</v>
      </c>
      <c r="C1811" t="s">
        <v>253</v>
      </c>
      <c r="D1811" t="s">
        <v>254</v>
      </c>
      <c r="E1811">
        <v>14</v>
      </c>
      <c r="F1811">
        <v>55.56</v>
      </c>
      <c r="G1811">
        <v>44.44</v>
      </c>
      <c r="H1811">
        <v>0</v>
      </c>
      <c r="I1811">
        <v>0</v>
      </c>
      <c r="J1811" s="1">
        <v>45928.094247824076</v>
      </c>
      <c r="K1811" t="s">
        <v>1089</v>
      </c>
      <c r="L1811">
        <f t="shared" si="28"/>
        <v>1810</v>
      </c>
      <c r="M1811">
        <f>COUNTIF($A$2:A1811,A1811)</f>
        <v>5</v>
      </c>
    </row>
    <row r="1812" spans="1:13" x14ac:dyDescent="0.3">
      <c r="A1812">
        <v>12202</v>
      </c>
      <c r="B1812" t="s">
        <v>1059</v>
      </c>
      <c r="C1812" t="s">
        <v>255</v>
      </c>
      <c r="D1812" t="s">
        <v>256</v>
      </c>
      <c r="E1812">
        <v>15</v>
      </c>
      <c r="F1812">
        <v>55.56</v>
      </c>
      <c r="G1812">
        <v>44.44</v>
      </c>
      <c r="H1812">
        <v>0</v>
      </c>
      <c r="I1812">
        <v>0</v>
      </c>
      <c r="J1812" s="1">
        <v>45928.094267777778</v>
      </c>
      <c r="K1812" t="s">
        <v>1089</v>
      </c>
      <c r="L1812">
        <f t="shared" si="28"/>
        <v>1811</v>
      </c>
      <c r="M1812">
        <f>COUNTIF($A$2:A1812,A1812)</f>
        <v>6</v>
      </c>
    </row>
    <row r="1813" spans="1:13" x14ac:dyDescent="0.3">
      <c r="A1813">
        <v>12202</v>
      </c>
      <c r="B1813" t="s">
        <v>1059</v>
      </c>
      <c r="C1813" t="s">
        <v>257</v>
      </c>
      <c r="D1813" t="s">
        <v>258</v>
      </c>
      <c r="E1813">
        <v>18</v>
      </c>
      <c r="F1813">
        <v>33.33</v>
      </c>
      <c r="G1813">
        <v>66.67</v>
      </c>
      <c r="H1813">
        <v>0</v>
      </c>
      <c r="I1813">
        <v>0</v>
      </c>
      <c r="J1813" s="1">
        <v>45928.094288182867</v>
      </c>
      <c r="K1813" t="s">
        <v>1089</v>
      </c>
      <c r="L1813">
        <f t="shared" si="28"/>
        <v>1812</v>
      </c>
      <c r="M1813">
        <f>COUNTIF($A$2:A1813,A1813)</f>
        <v>7</v>
      </c>
    </row>
    <row r="1814" spans="1:13" x14ac:dyDescent="0.3">
      <c r="A1814">
        <v>12202</v>
      </c>
      <c r="B1814" t="s">
        <v>1059</v>
      </c>
      <c r="C1814" t="s">
        <v>261</v>
      </c>
      <c r="D1814" t="s">
        <v>262</v>
      </c>
      <c r="E1814">
        <v>11</v>
      </c>
      <c r="F1814">
        <v>66.67</v>
      </c>
      <c r="G1814">
        <v>33.33</v>
      </c>
      <c r="H1814">
        <v>0</v>
      </c>
      <c r="I1814">
        <v>0</v>
      </c>
      <c r="J1814" s="1">
        <v>45928.094312187503</v>
      </c>
      <c r="K1814" t="s">
        <v>1089</v>
      </c>
      <c r="L1814">
        <f t="shared" si="28"/>
        <v>1813</v>
      </c>
      <c r="M1814">
        <f>COUNTIF($A$2:A1814,A1814)</f>
        <v>8</v>
      </c>
    </row>
    <row r="1815" spans="1:13" x14ac:dyDescent="0.3">
      <c r="A1815">
        <v>12202</v>
      </c>
      <c r="B1815" t="s">
        <v>1059</v>
      </c>
      <c r="C1815" t="s">
        <v>265</v>
      </c>
      <c r="D1815" t="s">
        <v>266</v>
      </c>
      <c r="E1815">
        <v>20</v>
      </c>
      <c r="F1815">
        <v>44.44</v>
      </c>
      <c r="G1815">
        <v>55.56</v>
      </c>
      <c r="H1815">
        <v>0</v>
      </c>
      <c r="I1815">
        <v>0</v>
      </c>
      <c r="J1815" s="1">
        <v>45928.09433709491</v>
      </c>
      <c r="K1815" t="s">
        <v>1089</v>
      </c>
      <c r="L1815">
        <f t="shared" si="28"/>
        <v>1814</v>
      </c>
      <c r="M1815">
        <f>COUNTIF($A$2:A1815,A1815)</f>
        <v>9</v>
      </c>
    </row>
    <row r="1816" spans="1:13" x14ac:dyDescent="0.3">
      <c r="A1816">
        <v>12202</v>
      </c>
      <c r="B1816" t="s">
        <v>1059</v>
      </c>
      <c r="C1816" t="s">
        <v>1085</v>
      </c>
      <c r="D1816" t="s">
        <v>1086</v>
      </c>
      <c r="E1816">
        <v>13</v>
      </c>
      <c r="F1816">
        <v>55.56</v>
      </c>
      <c r="G1816">
        <v>44.44</v>
      </c>
      <c r="H1816">
        <v>0</v>
      </c>
      <c r="I1816">
        <v>0</v>
      </c>
      <c r="J1816" s="1">
        <v>45928.094358495371</v>
      </c>
      <c r="K1816" t="s">
        <v>1089</v>
      </c>
      <c r="L1816">
        <f t="shared" si="28"/>
        <v>1815</v>
      </c>
      <c r="M1816">
        <f>COUNTIF($A$2:A1816,A1816)</f>
        <v>10</v>
      </c>
    </row>
    <row r="1817" spans="1:13" x14ac:dyDescent="0.3">
      <c r="A1817">
        <v>12202</v>
      </c>
      <c r="B1817" t="s">
        <v>1059</v>
      </c>
      <c r="C1817" t="s">
        <v>1083</v>
      </c>
      <c r="D1817" t="s">
        <v>1084</v>
      </c>
      <c r="E1817">
        <v>22</v>
      </c>
      <c r="F1817">
        <v>22.22</v>
      </c>
      <c r="G1817">
        <v>77.78</v>
      </c>
      <c r="H1817">
        <v>0</v>
      </c>
      <c r="I1817">
        <v>0</v>
      </c>
      <c r="J1817" s="1">
        <v>45928.094380868053</v>
      </c>
      <c r="K1817" t="s">
        <v>1089</v>
      </c>
      <c r="L1817">
        <f t="shared" si="28"/>
        <v>1816</v>
      </c>
      <c r="M1817">
        <f>COUNTIF($A$2:A1817,A1817)</f>
        <v>11</v>
      </c>
    </row>
    <row r="1818" spans="1:13" x14ac:dyDescent="0.3">
      <c r="A1818">
        <v>12202</v>
      </c>
      <c r="B1818" t="s">
        <v>1059</v>
      </c>
      <c r="C1818" t="s">
        <v>1081</v>
      </c>
      <c r="D1818" t="s">
        <v>1082</v>
      </c>
      <c r="E1818">
        <v>25</v>
      </c>
      <c r="F1818">
        <v>11.11</v>
      </c>
      <c r="G1818">
        <v>88.89</v>
      </c>
      <c r="H1818">
        <v>0</v>
      </c>
      <c r="I1818">
        <v>0</v>
      </c>
      <c r="J1818" s="1">
        <v>45928.094403101852</v>
      </c>
      <c r="K1818" t="s">
        <v>1089</v>
      </c>
      <c r="L1818">
        <f t="shared" si="28"/>
        <v>1817</v>
      </c>
      <c r="M1818">
        <f>COUNTIF($A$2:A1818,A1818)</f>
        <v>12</v>
      </c>
    </row>
    <row r="1819" spans="1:13" x14ac:dyDescent="0.3">
      <c r="A1819">
        <v>12202</v>
      </c>
      <c r="B1819" t="s">
        <v>1059</v>
      </c>
      <c r="C1819" t="s">
        <v>1079</v>
      </c>
      <c r="D1819" t="s">
        <v>1080</v>
      </c>
      <c r="E1819">
        <v>50</v>
      </c>
      <c r="F1819">
        <v>0</v>
      </c>
      <c r="G1819">
        <v>88.89</v>
      </c>
      <c r="H1819">
        <v>11.11</v>
      </c>
      <c r="I1819">
        <v>0</v>
      </c>
      <c r="J1819" s="1">
        <v>45928.094422662034</v>
      </c>
      <c r="K1819" t="s">
        <v>1089</v>
      </c>
      <c r="L1819">
        <f t="shared" si="28"/>
        <v>1818</v>
      </c>
      <c r="M1819">
        <f>COUNTIF($A$2:A1819,A1819)</f>
        <v>13</v>
      </c>
    </row>
    <row r="1820" spans="1:13" x14ac:dyDescent="0.3">
      <c r="A1820">
        <v>12202</v>
      </c>
      <c r="B1820" t="s">
        <v>1059</v>
      </c>
      <c r="C1820" t="s">
        <v>1077</v>
      </c>
      <c r="D1820" t="s">
        <v>1078</v>
      </c>
      <c r="E1820">
        <v>55</v>
      </c>
      <c r="F1820">
        <v>0</v>
      </c>
      <c r="G1820">
        <v>77.78</v>
      </c>
      <c r="H1820">
        <v>22.22</v>
      </c>
      <c r="I1820">
        <v>0</v>
      </c>
      <c r="J1820" s="1">
        <v>45928.09444119213</v>
      </c>
      <c r="K1820" t="s">
        <v>1089</v>
      </c>
      <c r="L1820">
        <f t="shared" si="28"/>
        <v>1819</v>
      </c>
      <c r="M1820">
        <f>COUNTIF($A$2:A1820,A1820)</f>
        <v>14</v>
      </c>
    </row>
    <row r="1821" spans="1:13" x14ac:dyDescent="0.3">
      <c r="A1821">
        <v>12202</v>
      </c>
      <c r="B1821" t="s">
        <v>1059</v>
      </c>
      <c r="C1821" t="s">
        <v>1075</v>
      </c>
      <c r="D1821" t="s">
        <v>1076</v>
      </c>
      <c r="E1821">
        <v>34</v>
      </c>
      <c r="F1821">
        <v>0</v>
      </c>
      <c r="G1821">
        <v>88.89</v>
      </c>
      <c r="H1821">
        <v>11.11</v>
      </c>
      <c r="I1821">
        <v>0</v>
      </c>
      <c r="J1821" s="1">
        <v>45928.094458553242</v>
      </c>
      <c r="K1821" t="s">
        <v>1089</v>
      </c>
      <c r="L1821">
        <f t="shared" si="28"/>
        <v>1820</v>
      </c>
      <c r="M1821">
        <f>COUNTIF($A$2:A1821,A1821)</f>
        <v>15</v>
      </c>
    </row>
    <row r="1822" spans="1:13" x14ac:dyDescent="0.3">
      <c r="A1822">
        <v>12202</v>
      </c>
      <c r="B1822" t="s">
        <v>1059</v>
      </c>
      <c r="C1822" t="s">
        <v>1073</v>
      </c>
      <c r="D1822" t="s">
        <v>1074</v>
      </c>
      <c r="E1822">
        <v>44</v>
      </c>
      <c r="F1822">
        <v>0</v>
      </c>
      <c r="G1822">
        <v>88.89</v>
      </c>
      <c r="H1822">
        <v>11.11</v>
      </c>
      <c r="I1822">
        <v>0</v>
      </c>
      <c r="J1822" s="1">
        <v>45928.09448255787</v>
      </c>
      <c r="K1822" t="s">
        <v>1089</v>
      </c>
      <c r="L1822">
        <f t="shared" si="28"/>
        <v>1821</v>
      </c>
      <c r="M1822">
        <f>COUNTIF($A$2:A1822,A1822)</f>
        <v>16</v>
      </c>
    </row>
    <row r="1823" spans="1:13" x14ac:dyDescent="0.3">
      <c r="A1823">
        <v>12202</v>
      </c>
      <c r="B1823" t="s">
        <v>1059</v>
      </c>
      <c r="C1823" t="s">
        <v>1071</v>
      </c>
      <c r="D1823" t="s">
        <v>1072</v>
      </c>
      <c r="F1823">
        <v>0</v>
      </c>
      <c r="G1823">
        <v>88.89</v>
      </c>
      <c r="H1823">
        <v>11.11</v>
      </c>
      <c r="I1823">
        <v>0</v>
      </c>
      <c r="J1823" s="1">
        <v>45928.094508275462</v>
      </c>
      <c r="K1823" t="s">
        <v>1089</v>
      </c>
      <c r="L1823">
        <f t="shared" si="28"/>
        <v>1822</v>
      </c>
      <c r="M1823">
        <f>COUNTIF($A$2:A1823,A1823)</f>
        <v>17</v>
      </c>
    </row>
    <row r="1824" spans="1:13" x14ac:dyDescent="0.3">
      <c r="A1824">
        <v>12202</v>
      </c>
      <c r="B1824" t="s">
        <v>1059</v>
      </c>
      <c r="C1824" t="s">
        <v>1069</v>
      </c>
      <c r="D1824" t="s">
        <v>1070</v>
      </c>
      <c r="E1824">
        <v>45</v>
      </c>
      <c r="F1824">
        <v>0</v>
      </c>
      <c r="G1824">
        <v>66.67</v>
      </c>
      <c r="H1824">
        <v>33.33</v>
      </c>
      <c r="I1824">
        <v>0</v>
      </c>
      <c r="J1824" s="1">
        <v>45928.094530046299</v>
      </c>
      <c r="K1824" t="s">
        <v>1089</v>
      </c>
      <c r="L1824">
        <f t="shared" si="28"/>
        <v>1823</v>
      </c>
      <c r="M1824">
        <f>COUNTIF($A$2:A1824,A1824)</f>
        <v>18</v>
      </c>
    </row>
    <row r="1825" spans="1:13" x14ac:dyDescent="0.3">
      <c r="A1825">
        <v>12202</v>
      </c>
      <c r="B1825" t="s">
        <v>1059</v>
      </c>
      <c r="C1825" t="s">
        <v>1067</v>
      </c>
      <c r="D1825" t="s">
        <v>1068</v>
      </c>
      <c r="E1825">
        <v>48</v>
      </c>
      <c r="F1825">
        <v>0</v>
      </c>
      <c r="G1825">
        <v>77.78</v>
      </c>
      <c r="H1825">
        <v>22.22</v>
      </c>
      <c r="I1825">
        <v>0</v>
      </c>
      <c r="J1825" s="1">
        <v>45928.094550092595</v>
      </c>
      <c r="K1825" t="s">
        <v>1089</v>
      </c>
      <c r="L1825">
        <f t="shared" si="28"/>
        <v>1824</v>
      </c>
      <c r="M1825">
        <f>COUNTIF($A$2:A1825,A1825)</f>
        <v>19</v>
      </c>
    </row>
    <row r="1826" spans="1:13" x14ac:dyDescent="0.3">
      <c r="A1826">
        <v>12202</v>
      </c>
      <c r="B1826" t="s">
        <v>1059</v>
      </c>
      <c r="C1826" t="s">
        <v>1065</v>
      </c>
      <c r="D1826" t="s">
        <v>1066</v>
      </c>
      <c r="E1826">
        <v>35</v>
      </c>
      <c r="F1826">
        <v>11.11</v>
      </c>
      <c r="G1826">
        <v>77.78</v>
      </c>
      <c r="H1826">
        <v>11.11</v>
      </c>
      <c r="I1826">
        <v>0</v>
      </c>
      <c r="J1826" s="1">
        <v>45928.09457173611</v>
      </c>
      <c r="K1826" t="s">
        <v>1089</v>
      </c>
      <c r="L1826">
        <f t="shared" si="28"/>
        <v>1825</v>
      </c>
      <c r="M1826">
        <f>COUNTIF($A$2:A1826,A1826)</f>
        <v>20</v>
      </c>
    </row>
    <row r="1827" spans="1:13" x14ac:dyDescent="0.3">
      <c r="A1827">
        <v>12202</v>
      </c>
      <c r="B1827" t="s">
        <v>1059</v>
      </c>
      <c r="C1827" t="s">
        <v>1063</v>
      </c>
      <c r="D1827" t="s">
        <v>1064</v>
      </c>
      <c r="E1827">
        <v>66</v>
      </c>
      <c r="F1827">
        <v>11.11</v>
      </c>
      <c r="G1827">
        <v>22.22</v>
      </c>
      <c r="H1827">
        <v>66.67</v>
      </c>
      <c r="I1827">
        <v>0</v>
      </c>
      <c r="J1827" s="1">
        <v>45928.094592800924</v>
      </c>
      <c r="K1827" t="s">
        <v>1089</v>
      </c>
      <c r="L1827">
        <f t="shared" si="28"/>
        <v>1826</v>
      </c>
      <c r="M1827">
        <f>COUNTIF($A$2:A1827,A1827)</f>
        <v>21</v>
      </c>
    </row>
    <row r="1828" spans="1:13" x14ac:dyDescent="0.3">
      <c r="A1828">
        <v>12202</v>
      </c>
      <c r="B1828" t="s">
        <v>1059</v>
      </c>
      <c r="C1828" t="s">
        <v>1061</v>
      </c>
      <c r="D1828" t="s">
        <v>1062</v>
      </c>
      <c r="E1828">
        <v>41</v>
      </c>
      <c r="F1828">
        <v>11.11</v>
      </c>
      <c r="G1828">
        <v>77.78</v>
      </c>
      <c r="H1828">
        <v>11.11</v>
      </c>
      <c r="I1828">
        <v>0</v>
      </c>
      <c r="J1828" s="1">
        <v>45928.094612638888</v>
      </c>
      <c r="K1828" t="s">
        <v>1089</v>
      </c>
      <c r="L1828">
        <f t="shared" si="28"/>
        <v>1827</v>
      </c>
      <c r="M1828">
        <f>COUNTIF($A$2:A1828,A1828)</f>
        <v>22</v>
      </c>
    </row>
    <row r="1829" spans="1:13" x14ac:dyDescent="0.3">
      <c r="A1829">
        <v>12202</v>
      </c>
      <c r="B1829" t="s">
        <v>1059</v>
      </c>
      <c r="C1829" t="s">
        <v>384</v>
      </c>
      <c r="D1829" t="s">
        <v>385</v>
      </c>
      <c r="E1829">
        <v>45</v>
      </c>
      <c r="F1829">
        <v>11.11</v>
      </c>
      <c r="G1829">
        <v>66.67</v>
      </c>
      <c r="H1829">
        <v>22.22</v>
      </c>
      <c r="I1829">
        <v>0</v>
      </c>
      <c r="J1829" s="1">
        <v>45928.094634456022</v>
      </c>
      <c r="K1829" t="s">
        <v>1089</v>
      </c>
      <c r="L1829">
        <f t="shared" si="28"/>
        <v>1828</v>
      </c>
      <c r="M1829">
        <f>COUNTIF($A$2:A1829,A1829)</f>
        <v>23</v>
      </c>
    </row>
    <row r="1830" spans="1:13" x14ac:dyDescent="0.3">
      <c r="A1830">
        <v>12202</v>
      </c>
      <c r="B1830" t="s">
        <v>1059</v>
      </c>
      <c r="C1830" t="s">
        <v>465</v>
      </c>
      <c r="D1830" t="s">
        <v>466</v>
      </c>
      <c r="E1830">
        <v>17</v>
      </c>
      <c r="F1830">
        <v>55.56</v>
      </c>
      <c r="G1830">
        <v>33.33</v>
      </c>
      <c r="H1830">
        <v>11.11</v>
      </c>
      <c r="I1830">
        <v>0</v>
      </c>
      <c r="J1830" s="1">
        <v>45928.09465900463</v>
      </c>
      <c r="K1830" t="s">
        <v>1089</v>
      </c>
      <c r="L1830">
        <f t="shared" si="28"/>
        <v>1829</v>
      </c>
      <c r="M1830">
        <f>COUNTIF($A$2:A1830,A1830)</f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E6B8-4FDD-4C48-A43B-A758754FDEF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898921-6B3B-420E-880F-B933C828EB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Indian-Railways-Delay-Project </vt:lpstr>
      <vt:lpstr>etrain_delays_cleaned</vt:lpstr>
      <vt:lpstr>etrain_delays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Dhole</dc:creator>
  <cp:lastModifiedBy>Vaishnavi Dhole</cp:lastModifiedBy>
  <dcterms:created xsi:type="dcterms:W3CDTF">2026-06-21T07:07:13Z</dcterms:created>
  <dcterms:modified xsi:type="dcterms:W3CDTF">2026-06-24T11:55:55Z</dcterms:modified>
</cp:coreProperties>
</file>